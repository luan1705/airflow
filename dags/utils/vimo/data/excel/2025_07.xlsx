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dmin\Dropbox\TKTH\Báo cáo tháng 7 2025\"/>
    </mc:Choice>
  </mc:AlternateContent>
  <xr:revisionPtr revIDLastSave="0" documentId="8_{D5C5B1BD-BE9C-4558-B078-BF2FDF270626}" xr6:coauthVersionLast="46" xr6:coauthVersionMax="46" xr10:uidLastSave="{00000000-0000-0000-0000-000000000000}"/>
  <bookViews>
    <workbookView xWindow="-120" yWindow="-120" windowWidth="29040" windowHeight="17520" xr2:uid="{00000000-000D-0000-FFFF-FFFF00000000}"/>
  </bookViews>
  <sheets>
    <sheet name="1. Nong nghiep" sheetId="1" r:id="rId1"/>
    <sheet name="2.IIPthang" sheetId="2" r:id="rId2"/>
    <sheet name="3.SPCNthang" sheetId="3" r:id="rId3"/>
    <sheet name="4.LĐCN" sheetId="4" r:id="rId4"/>
    <sheet name="5. LĐCN_DP" sheetId="26" r:id="rId5"/>
    <sheet name="6. Chỉ tiêu DN" sheetId="19" r:id="rId6"/>
    <sheet name="7. ĐK thành lập mới" sheetId="20" r:id="rId7"/>
    <sheet name="8. Quay trở lại HĐ" sheetId="21" r:id="rId8"/>
    <sheet name="9. Tạm ngừng có thời hạn" sheetId="22" r:id="rId9"/>
    <sheet name="10. Giải thể" sheetId="23" r:id="rId10"/>
    <sheet name="11.VDT" sheetId="6" r:id="rId11"/>
    <sheet name="12.FDI" sheetId="27" r:id="rId12"/>
    <sheet name="13. Tongmuc" sheetId="7" r:id="rId13"/>
    <sheet name="14.XK tháng" sheetId="24" r:id="rId14"/>
    <sheet name="15.NK tháng" sheetId="25" r:id="rId15"/>
    <sheet name="16.CPI" sheetId="28" r:id="rId16"/>
    <sheet name="17. VT HK" sheetId="8" r:id="rId17"/>
    <sheet name="18. VT HH" sheetId="9" r:id="rId18"/>
    <sheet name="19. KQT" sheetId="10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\0" localSheetId="0">'[1]PNT-QUOT-#3'!#REF!</definedName>
    <definedName name="\0" localSheetId="12">'[2]PNT-QUOT-#3'!#REF!</definedName>
    <definedName name="\0" localSheetId="15">'[1]PNT-QUOT-#3'!#REF!</definedName>
    <definedName name="\0" localSheetId="16">'[2]PNT-QUOT-#3'!#REF!</definedName>
    <definedName name="\0" localSheetId="4">'[3]PNT-QUOT-#3'!#REF!</definedName>
    <definedName name="\0">'[4]PNT-QUOT-#3'!#REF!</definedName>
    <definedName name="\z" localSheetId="0">'[1]COAT&amp;WRAP-QIOT-#3'!#REF!</definedName>
    <definedName name="\z" localSheetId="12">'[2]COAT&amp;WRAP-QIOT-#3'!#REF!</definedName>
    <definedName name="\z" localSheetId="15">'[1]COAT&amp;WRAP-QIOT-#3'!#REF!</definedName>
    <definedName name="\z" localSheetId="16">'[2]COAT&amp;WRAP-QIOT-#3'!#REF!</definedName>
    <definedName name="\z" localSheetId="4">'[3]COAT&amp;WRAP-QIOT-#3'!#REF!</definedName>
    <definedName name="\z">'[4]COAT&amp;WRAP-QIOT-#3'!#REF!</definedName>
    <definedName name="_________h1" localSheetId="0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2" hidden="1">{"'TDTGT (theo Dphuong)'!$A$4:$F$75"}</definedName>
    <definedName name="_________h1" localSheetId="4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2" hidden="1">{"'TDTGT (theo Dphuong)'!$A$4:$F$75"}</definedName>
    <definedName name="________h1" localSheetId="4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2" hidden="1">{"'TDTGT (theo Dphuong)'!$A$4:$F$75"}</definedName>
    <definedName name="_______h1" localSheetId="4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2" hidden="1">{#N/A,#N/A,FALSE,"Chung"}</definedName>
    <definedName name="______B5" localSheetId="4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2" hidden="1">{"'TDTGT (theo Dphuong)'!$A$4:$F$75"}</definedName>
    <definedName name="______h1" localSheetId="4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2" hidden="1">{"'TDTGT (theo Dphuong)'!$A$4:$F$75"}</definedName>
    <definedName name="______h2" localSheetId="4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2" hidden="1">{#N/A,#N/A,FALSE,"Chung"}</definedName>
    <definedName name="_____B5" localSheetId="4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2" hidden="1">{"'TDTGT (theo Dphuong)'!$A$4:$F$75"}</definedName>
    <definedName name="_____h1" localSheetId="4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2" hidden="1">{"'TDTGT (theo Dphuong)'!$A$4:$F$75"}</definedName>
    <definedName name="_____h2" localSheetId="4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2" hidden="1">{#N/A,#N/A,FALSE,"Chung"}</definedName>
    <definedName name="____B5" localSheetId="4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2" hidden="1">{"'TDTGT (theo Dphuong)'!$A$4:$F$75"}</definedName>
    <definedName name="____h1" localSheetId="4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2" hidden="1">{"'TDTGT (theo Dphuong)'!$A$4:$F$75"}</definedName>
    <definedName name="____h2" localSheetId="4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2" hidden="1">{#N/A,#N/A,FALSE,"Chung"}</definedName>
    <definedName name="___B5" localSheetId="4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2" hidden="1">{"'TDTGT (theo Dphuong)'!$A$4:$F$75"}</definedName>
    <definedName name="___h1" localSheetId="4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2" hidden="1">{"'TDTGT (theo Dphuong)'!$A$4:$F$75"}</definedName>
    <definedName name="___h2" localSheetId="4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2" hidden="1">{#N/A,#N/A,FALSE,"Chung"}</definedName>
    <definedName name="__B5" localSheetId="4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2" hidden="1">{"'TDTGT (theo Dphuong)'!$A$4:$F$75"}</definedName>
    <definedName name="__h1" localSheetId="4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2" hidden="1">{"'TDTGT (theo Dphuong)'!$A$4:$F$75"}</definedName>
    <definedName name="__h2" localSheetId="4" hidden="1">{"'TDTGT (theo Dphuong)'!$A$4:$F$75"}</definedName>
    <definedName name="__h2" hidden="1">{"'TDTGT (theo Dphuong)'!$A$4:$F$75"}</definedName>
    <definedName name="__l1" localSheetId="15" hidden="1">{"'TDTGT (theo Dphuong)'!$A$4:$F$75"}</definedName>
    <definedName name="__l1" localSheetId="4" hidden="1">{"'TDTGT (theo Dphuong)'!$A$4:$F$75"}</definedName>
    <definedName name="__l1" hidden="1">{"'TDTGT (theo Dphuong)'!$A$4:$F$75"}</definedName>
    <definedName name="__M9" localSheetId="15" hidden="1">{"'TDTGT (theo Dphuong)'!$A$4:$F$75"}</definedName>
    <definedName name="__M9" localSheetId="4" hidden="1">{"'TDTGT (theo Dphuong)'!$A$4:$F$75"}</definedName>
    <definedName name="__M9" hidden="1">{"'TDTGT (theo Dphuong)'!$A$4:$F$75"}</definedName>
    <definedName name="_7" localSheetId="15" hidden="1">{"'TDTGT (theo Dphuong)'!$A$4:$F$75"}</definedName>
    <definedName name="_7" localSheetId="4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2" hidden="1">{#N/A,#N/A,FALSE,"Chung"}</definedName>
    <definedName name="_B5" localSheetId="4" hidden="1">{#N/A,#N/A,FALSE,"Chung"}</definedName>
    <definedName name="_B5" hidden="1">{#N/A,#N/A,FALSE,"Chung"}</definedName>
    <definedName name="_B8" localSheetId="15" hidden="1">{#N/A,#N/A,FALSE,"Chung"}</definedName>
    <definedName name="_B8" localSheetId="4" hidden="1">{#N/A,#N/A,FALSE,"Chung"}</definedName>
    <definedName name="_B8" hidden="1">{#N/A,#N/A,FALSE,"Chung"}</definedName>
    <definedName name="_Fill" localSheetId="0" hidden="1">#REF!</definedName>
    <definedName name="_Fill" localSheetId="12" hidden="1">#REF!</definedName>
    <definedName name="_Fill" localSheetId="15" hidden="1">#REF!</definedName>
    <definedName name="_Fill" localSheetId="16" hidden="1">#REF!</definedName>
    <definedName name="_Fill" localSheetId="2" hidden="1">#REF!</definedName>
    <definedName name="_Fill" localSheetId="4" hidden="1">#REF!</definedName>
    <definedName name="_Fill" hidden="1">#REF!</definedName>
    <definedName name="_xlnm._FilterDatabase" localSheetId="2" hidden="1">'3.SPCNthang'!$A$8:$WUX$8</definedName>
    <definedName name="_h1" localSheetId="0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2" hidden="1">{"'TDTGT (theo Dphuong)'!$A$4:$F$75"}</definedName>
    <definedName name="_h1" localSheetId="4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2" hidden="1">{"'TDTGT (theo Dphuong)'!$A$4:$F$75"}</definedName>
    <definedName name="_h2" localSheetId="4" hidden="1">{"'TDTGT (theo Dphuong)'!$A$4:$F$75"}</definedName>
    <definedName name="_h2" hidden="1">{"'TDTGT (theo Dphuong)'!$A$4:$F$75"}</definedName>
    <definedName name="_K2" localSheetId="15" hidden="1">{#N/A,#N/A,FALSE,"Chung"}</definedName>
    <definedName name="_K2" localSheetId="4" hidden="1">{#N/A,#N/A,FALSE,"Chung"}</definedName>
    <definedName name="_K2" hidden="1">{#N/A,#N/A,FALSE,"Chung"}</definedName>
    <definedName name="_K7" localSheetId="15" hidden="1">{"'TDTGT (theo Dphuong)'!$A$4:$F$75"}</definedName>
    <definedName name="_K7" localSheetId="4" hidden="1">{"'TDTGT (theo Dphuong)'!$A$4:$F$75"}</definedName>
    <definedName name="_K7" hidden="1">{"'TDTGT (theo Dphuong)'!$A$4:$F$75"}</definedName>
    <definedName name="A" localSheetId="0">'[1]PNT-QUOT-#3'!#REF!</definedName>
    <definedName name="A" localSheetId="12">'[2]PNT-QUOT-#3'!#REF!</definedName>
    <definedName name="A" localSheetId="15">'[1]PNT-QUOT-#3'!#REF!</definedName>
    <definedName name="A" localSheetId="16">'[2]PNT-QUOT-#3'!#REF!</definedName>
    <definedName name="A" localSheetId="4">'[3]PNT-QUOT-#3'!#REF!</definedName>
    <definedName name="A">'[4]PNT-QUOT-#3'!#REF!</definedName>
    <definedName name="AAA" localSheetId="0">'[5]MTL$-INTER'!#REF!</definedName>
    <definedName name="AAA" localSheetId="12">'[6]MTL$-INTER'!#REF!</definedName>
    <definedName name="AAA" localSheetId="15">'[7]MTL$-INTER'!#REF!</definedName>
    <definedName name="AAA" localSheetId="16">'[6]MTL$-INTER'!#REF!</definedName>
    <definedName name="AAA" localSheetId="4">'[7]MTL$-INTER'!#REF!</definedName>
    <definedName name="AAA">'[8]MTL$-INTER'!#REF!</definedName>
    <definedName name="abc" localSheetId="0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2" hidden="1">{"'TDTGT (theo Dphuong)'!$A$4:$F$75"}</definedName>
    <definedName name="abc" localSheetId="4" hidden="1">{"'TDTGT (theo Dphuong)'!$A$4:$F$75"}</definedName>
    <definedName name="abc" hidden="1">{"'TDTGT (theo Dphuong)'!$A$4:$F$75"}</definedName>
    <definedName name="adsf" localSheetId="0">#REF!</definedName>
    <definedName name="adsf" localSheetId="12">#REF!</definedName>
    <definedName name="adsf" localSheetId="15">#REF!</definedName>
    <definedName name="adsf" localSheetId="16">#REF!</definedName>
    <definedName name="adsf" localSheetId="2">#REF!</definedName>
    <definedName name="adsf" localSheetId="4">#REF!</definedName>
    <definedName name="adsf">#REF!</definedName>
    <definedName name="anpha" localSheetId="0">#REF!</definedName>
    <definedName name="anpha" localSheetId="12">#REF!</definedName>
    <definedName name="anpha" localSheetId="15">#REF!</definedName>
    <definedName name="anpha" localSheetId="16">#REF!</definedName>
    <definedName name="anpha" localSheetId="2">#REF!</definedName>
    <definedName name="anpha" localSheetId="4">#REF!</definedName>
    <definedName name="anpha">#REF!</definedName>
    <definedName name="B" localSheetId="0">'[1]PNT-QUOT-#3'!#REF!</definedName>
    <definedName name="B" localSheetId="12">'[2]PNT-QUOT-#3'!#REF!</definedName>
    <definedName name="B" localSheetId="15">'[1]PNT-QUOT-#3'!#REF!</definedName>
    <definedName name="B" localSheetId="16">'[2]PNT-QUOT-#3'!#REF!</definedName>
    <definedName name="B" localSheetId="2">'[1]PNT-QUOT-#3'!#REF!</definedName>
    <definedName name="B" localSheetId="4">'[3]PNT-QUOT-#3'!#REF!</definedName>
    <definedName name="B">'[4]PNT-QUOT-#3'!#REF!</definedName>
    <definedName name="B5new" localSheetId="0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2" hidden="1">{"'TDTGT (theo Dphuong)'!$A$4:$F$75"}</definedName>
    <definedName name="B5new" localSheetId="4" hidden="1">{"'TDTGT (theo Dphuong)'!$A$4:$F$75"}</definedName>
    <definedName name="B5new" hidden="1">{"'TDTGT (theo Dphuong)'!$A$4:$F$75"}</definedName>
    <definedName name="beta" localSheetId="0">#REF!</definedName>
    <definedName name="beta" localSheetId="12">#REF!</definedName>
    <definedName name="beta" localSheetId="15">#REF!</definedName>
    <definedName name="beta" localSheetId="16">#REF!</definedName>
    <definedName name="beta" localSheetId="2">#REF!</definedName>
    <definedName name="beta" localSheetId="4">#REF!</definedName>
    <definedName name="beta">#REF!</definedName>
    <definedName name="BT" localSheetId="0">#REF!</definedName>
    <definedName name="BT" localSheetId="12">#REF!</definedName>
    <definedName name="BT" localSheetId="15">#REF!</definedName>
    <definedName name="BT" localSheetId="16">#REF!</definedName>
    <definedName name="BT" localSheetId="2">#REF!</definedName>
    <definedName name="BT" localSheetId="4">#REF!</definedName>
    <definedName name="BT">#REF!</definedName>
    <definedName name="bv" localSheetId="0">#REF!</definedName>
    <definedName name="bv" localSheetId="12">#REF!</definedName>
    <definedName name="bv" localSheetId="15">#REF!</definedName>
    <definedName name="bv" localSheetId="16">#REF!</definedName>
    <definedName name="bv" localSheetId="2">#REF!</definedName>
    <definedName name="bv" localSheetId="4">#REF!</definedName>
    <definedName name="bv">#REF!</definedName>
    <definedName name="COAT" localSheetId="0">'[1]PNT-QUOT-#3'!#REF!</definedName>
    <definedName name="COAT" localSheetId="12">'[2]PNT-QUOT-#3'!#REF!</definedName>
    <definedName name="COAT" localSheetId="15">'[1]PNT-QUOT-#3'!#REF!</definedName>
    <definedName name="COAT" localSheetId="16">'[2]PNT-QUOT-#3'!#REF!</definedName>
    <definedName name="COAT" localSheetId="2">'[1]PNT-QUOT-#3'!#REF!</definedName>
    <definedName name="COAT" localSheetId="4">'[3]PNT-QUOT-#3'!#REF!</definedName>
    <definedName name="COAT">'[4]PNT-QUOT-#3'!#REF!</definedName>
    <definedName name="CS_10" localSheetId="0">#REF!</definedName>
    <definedName name="CS_10" localSheetId="12">#REF!</definedName>
    <definedName name="CS_10" localSheetId="15">#REF!</definedName>
    <definedName name="CS_10" localSheetId="16">#REF!</definedName>
    <definedName name="CS_10" localSheetId="2">#REF!</definedName>
    <definedName name="CS_10" localSheetId="4">#REF!</definedName>
    <definedName name="CS_10">#REF!</definedName>
    <definedName name="CS_100" localSheetId="0">#REF!</definedName>
    <definedName name="CS_100" localSheetId="12">#REF!</definedName>
    <definedName name="CS_100" localSheetId="15">#REF!</definedName>
    <definedName name="CS_100" localSheetId="16">#REF!</definedName>
    <definedName name="CS_100" localSheetId="2">#REF!</definedName>
    <definedName name="CS_100" localSheetId="4">#REF!</definedName>
    <definedName name="CS_100">#REF!</definedName>
    <definedName name="CS_10S" localSheetId="0">#REF!</definedName>
    <definedName name="CS_10S" localSheetId="12">#REF!</definedName>
    <definedName name="CS_10S" localSheetId="15">#REF!</definedName>
    <definedName name="CS_10S" localSheetId="16">#REF!</definedName>
    <definedName name="CS_10S" localSheetId="2">#REF!</definedName>
    <definedName name="CS_10S" localSheetId="4">#REF!</definedName>
    <definedName name="CS_10S">#REF!</definedName>
    <definedName name="CS_120" localSheetId="0">#REF!</definedName>
    <definedName name="CS_120" localSheetId="12">#REF!</definedName>
    <definedName name="CS_120" localSheetId="15">#REF!</definedName>
    <definedName name="CS_120" localSheetId="16">#REF!</definedName>
    <definedName name="CS_120" localSheetId="2">#REF!</definedName>
    <definedName name="CS_120" localSheetId="4">#REF!</definedName>
    <definedName name="CS_120">#REF!</definedName>
    <definedName name="CS_140" localSheetId="0">#REF!</definedName>
    <definedName name="CS_140" localSheetId="12">#REF!</definedName>
    <definedName name="CS_140" localSheetId="15">#REF!</definedName>
    <definedName name="CS_140" localSheetId="16">#REF!</definedName>
    <definedName name="CS_140" localSheetId="2">#REF!</definedName>
    <definedName name="CS_140" localSheetId="4">#REF!</definedName>
    <definedName name="CS_140">#REF!</definedName>
    <definedName name="CS_160" localSheetId="0">#REF!</definedName>
    <definedName name="CS_160" localSheetId="12">#REF!</definedName>
    <definedName name="CS_160" localSheetId="15">#REF!</definedName>
    <definedName name="CS_160" localSheetId="16">#REF!</definedName>
    <definedName name="CS_160" localSheetId="2">#REF!</definedName>
    <definedName name="CS_160" localSheetId="4">#REF!</definedName>
    <definedName name="CS_160">#REF!</definedName>
    <definedName name="CS_20" localSheetId="0">#REF!</definedName>
    <definedName name="CS_20" localSheetId="12">#REF!</definedName>
    <definedName name="CS_20" localSheetId="15">#REF!</definedName>
    <definedName name="CS_20" localSheetId="16">#REF!</definedName>
    <definedName name="CS_20" localSheetId="2">#REF!</definedName>
    <definedName name="CS_20" localSheetId="4">#REF!</definedName>
    <definedName name="CS_20">#REF!</definedName>
    <definedName name="CS_30" localSheetId="0">#REF!</definedName>
    <definedName name="CS_30" localSheetId="12">#REF!</definedName>
    <definedName name="CS_30" localSheetId="15">#REF!</definedName>
    <definedName name="CS_30" localSheetId="16">#REF!</definedName>
    <definedName name="CS_30" localSheetId="2">#REF!</definedName>
    <definedName name="CS_30" localSheetId="4">#REF!</definedName>
    <definedName name="CS_30">#REF!</definedName>
    <definedName name="CS_40" localSheetId="0">#REF!</definedName>
    <definedName name="CS_40" localSheetId="12">#REF!</definedName>
    <definedName name="CS_40" localSheetId="15">#REF!</definedName>
    <definedName name="CS_40" localSheetId="16">#REF!</definedName>
    <definedName name="CS_40" localSheetId="2">#REF!</definedName>
    <definedName name="CS_40" localSheetId="4">#REF!</definedName>
    <definedName name="CS_40">#REF!</definedName>
    <definedName name="CS_40S" localSheetId="0">#REF!</definedName>
    <definedName name="CS_40S" localSheetId="12">#REF!</definedName>
    <definedName name="CS_40S" localSheetId="15">#REF!</definedName>
    <definedName name="CS_40S" localSheetId="16">#REF!</definedName>
    <definedName name="CS_40S" localSheetId="2">#REF!</definedName>
    <definedName name="CS_40S" localSheetId="4">#REF!</definedName>
    <definedName name="CS_40S">#REF!</definedName>
    <definedName name="CS_5S" localSheetId="0">#REF!</definedName>
    <definedName name="CS_5S" localSheetId="12">#REF!</definedName>
    <definedName name="CS_5S" localSheetId="15">#REF!</definedName>
    <definedName name="CS_5S" localSheetId="16">#REF!</definedName>
    <definedName name="CS_5S" localSheetId="2">#REF!</definedName>
    <definedName name="CS_5S" localSheetId="4">#REF!</definedName>
    <definedName name="CS_5S">#REF!</definedName>
    <definedName name="CS_60" localSheetId="0">#REF!</definedName>
    <definedName name="CS_60" localSheetId="12">#REF!</definedName>
    <definedName name="CS_60" localSheetId="15">#REF!</definedName>
    <definedName name="CS_60" localSheetId="16">#REF!</definedName>
    <definedName name="CS_60" localSheetId="2">#REF!</definedName>
    <definedName name="CS_60" localSheetId="4">#REF!</definedName>
    <definedName name="CS_60">#REF!</definedName>
    <definedName name="CS_80" localSheetId="0">#REF!</definedName>
    <definedName name="CS_80" localSheetId="12">#REF!</definedName>
    <definedName name="CS_80" localSheetId="15">#REF!</definedName>
    <definedName name="CS_80" localSheetId="16">#REF!</definedName>
    <definedName name="CS_80" localSheetId="2">#REF!</definedName>
    <definedName name="CS_80" localSheetId="4">#REF!</definedName>
    <definedName name="CS_80">#REF!</definedName>
    <definedName name="CS_80S" localSheetId="0">#REF!</definedName>
    <definedName name="CS_80S" localSheetId="12">#REF!</definedName>
    <definedName name="CS_80S" localSheetId="15">#REF!</definedName>
    <definedName name="CS_80S" localSheetId="16">#REF!</definedName>
    <definedName name="CS_80S" localSheetId="2">#REF!</definedName>
    <definedName name="CS_80S" localSheetId="4">#REF!</definedName>
    <definedName name="CS_80S">#REF!</definedName>
    <definedName name="CS_STD" localSheetId="0">#REF!</definedName>
    <definedName name="CS_STD" localSheetId="12">#REF!</definedName>
    <definedName name="CS_STD" localSheetId="15">#REF!</definedName>
    <definedName name="CS_STD" localSheetId="16">#REF!</definedName>
    <definedName name="CS_STD" localSheetId="2">#REF!</definedName>
    <definedName name="CS_STD" localSheetId="4">#REF!</definedName>
    <definedName name="CS_STD">#REF!</definedName>
    <definedName name="CS_XS" localSheetId="0">#REF!</definedName>
    <definedName name="CS_XS" localSheetId="12">#REF!</definedName>
    <definedName name="CS_XS" localSheetId="15">#REF!</definedName>
    <definedName name="CS_XS" localSheetId="16">#REF!</definedName>
    <definedName name="CS_XS" localSheetId="2">#REF!</definedName>
    <definedName name="CS_XS" localSheetId="4">#REF!</definedName>
    <definedName name="CS_XS">#REF!</definedName>
    <definedName name="CS_XXS" localSheetId="0">#REF!</definedName>
    <definedName name="CS_XXS" localSheetId="12">#REF!</definedName>
    <definedName name="CS_XXS" localSheetId="15">#REF!</definedName>
    <definedName name="CS_XXS" localSheetId="16">#REF!</definedName>
    <definedName name="CS_XXS" localSheetId="2">#REF!</definedName>
    <definedName name="CS_XXS" localSheetId="4">#REF!</definedName>
    <definedName name="CS_XXS">#REF!</definedName>
    <definedName name="cv" localSheetId="0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2" hidden="1">{"'TDTGT (theo Dphuong)'!$A$4:$F$75"}</definedName>
    <definedName name="cv" localSheetId="4" hidden="1">{"'TDTGT (theo Dphuong)'!$A$4:$F$75"}</definedName>
    <definedName name="cv" hidden="1">{"'TDTGT (theo Dphuong)'!$A$4:$F$75"}</definedName>
    <definedName name="cx" localSheetId="0">#REF!</definedName>
    <definedName name="cx" localSheetId="12">#REF!</definedName>
    <definedName name="cx" localSheetId="15">#REF!</definedName>
    <definedName name="cx" localSheetId="16">#REF!</definedName>
    <definedName name="cx" localSheetId="2">#REF!</definedName>
    <definedName name="cx" localSheetId="4">#REF!</definedName>
    <definedName name="cx">#REF!</definedName>
    <definedName name="d" localSheetId="0" hidden="1">#REF!</definedName>
    <definedName name="d" localSheetId="12" hidden="1">#REF!</definedName>
    <definedName name="d" localSheetId="15" hidden="1">#REF!</definedName>
    <definedName name="d" localSheetId="16" hidden="1">#REF!</definedName>
    <definedName name="d" localSheetId="2" hidden="1">#REF!</definedName>
    <definedName name="d" localSheetId="4" hidden="1">#REF!</definedName>
    <definedName name="d" hidden="1">#REF!</definedName>
    <definedName name="dd" localSheetId="0">#REF!</definedName>
    <definedName name="dd" localSheetId="12">#REF!</definedName>
    <definedName name="dd" localSheetId="15">#REF!</definedName>
    <definedName name="dd" localSheetId="16">#REF!</definedName>
    <definedName name="dd" localSheetId="2">#REF!</definedName>
    <definedName name="dd" localSheetId="4">#REF!</definedName>
    <definedName name="dd">#REF!</definedName>
    <definedName name="df" localSheetId="0" hidden="1">#REF!</definedName>
    <definedName name="df" localSheetId="12" hidden="1">#REF!</definedName>
    <definedName name="df" localSheetId="15" hidden="1">#REF!</definedName>
    <definedName name="df" localSheetId="16" hidden="1">#REF!</definedName>
    <definedName name="df" localSheetId="2" hidden="1">#REF!</definedName>
    <definedName name="df" localSheetId="4" hidden="1">#REF!</definedName>
    <definedName name="df" hidden="1">#REF!</definedName>
    <definedName name="dg" localSheetId="0">#REF!</definedName>
    <definedName name="dg" localSheetId="12">#REF!</definedName>
    <definedName name="dg" localSheetId="15">#REF!</definedName>
    <definedName name="dg" localSheetId="16">#REF!</definedName>
    <definedName name="dg" localSheetId="2">#REF!</definedName>
    <definedName name="dg" localSheetId="4">#REF!</definedName>
    <definedName name="dg">#REF!</definedName>
    <definedName name="dien" localSheetId="0">#REF!</definedName>
    <definedName name="dien" localSheetId="12">#REF!</definedName>
    <definedName name="dien" localSheetId="15">#REF!</definedName>
    <definedName name="dien" localSheetId="16">#REF!</definedName>
    <definedName name="dien" localSheetId="2">#REF!</definedName>
    <definedName name="dien" localSheetId="4">#REF!</definedName>
    <definedName name="dien">#REF!</definedName>
    <definedName name="dn" localSheetId="0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2" hidden="1">{"'TDTGT (theo Dphuong)'!$A$4:$F$75"}</definedName>
    <definedName name="dn" localSheetId="4" hidden="1">{"'TDTGT (theo Dphuong)'!$A$4:$F$75"}</definedName>
    <definedName name="dn" hidden="1">{"'TDTGT (theo Dphuong)'!$A$4:$F$75"}</definedName>
    <definedName name="ffddg" localSheetId="0">#REF!</definedName>
    <definedName name="ffddg" localSheetId="12">#REF!</definedName>
    <definedName name="ffddg" localSheetId="15">#REF!</definedName>
    <definedName name="ffddg" localSheetId="16">#REF!</definedName>
    <definedName name="ffddg" localSheetId="2">#REF!</definedName>
    <definedName name="ffddg" localSheetId="4">#REF!</definedName>
    <definedName name="ffddg">#REF!</definedName>
    <definedName name="FP" localSheetId="0">'[1]COAT&amp;WRAP-QIOT-#3'!#REF!</definedName>
    <definedName name="FP" localSheetId="12">'[2]COAT&amp;WRAP-QIOT-#3'!#REF!</definedName>
    <definedName name="FP" localSheetId="15">'[1]COAT&amp;WRAP-QIOT-#3'!#REF!</definedName>
    <definedName name="FP" localSheetId="16">'[2]COAT&amp;WRAP-QIOT-#3'!#REF!</definedName>
    <definedName name="FP" localSheetId="4">'[3]COAT&amp;WRAP-QIOT-#3'!#REF!</definedName>
    <definedName name="FP">'[4]COAT&amp;WRAP-QIOT-#3'!#REF!</definedName>
    <definedName name="h" localSheetId="0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2" hidden="1">{"'TDTGT (theo Dphuong)'!$A$4:$F$75"}</definedName>
    <definedName name="h" localSheetId="4" hidden="1">{"'TDTGT (theo Dphuong)'!$A$4:$F$75"}</definedName>
    <definedName name="h" hidden="1">{"'TDTGT (theo Dphuong)'!$A$4:$F$75"}</definedName>
    <definedName name="hab" localSheetId="0">#REF!</definedName>
    <definedName name="hab" localSheetId="12">#REF!</definedName>
    <definedName name="hab" localSheetId="15">#REF!</definedName>
    <definedName name="hab" localSheetId="16">#REF!</definedName>
    <definedName name="hab" localSheetId="2">#REF!</definedName>
    <definedName name="hab" localSheetId="4">#REF!</definedName>
    <definedName name="hab">#REF!</definedName>
    <definedName name="habac" localSheetId="0">#REF!</definedName>
    <definedName name="habac" localSheetId="12">#REF!</definedName>
    <definedName name="habac" localSheetId="15">#REF!</definedName>
    <definedName name="habac" localSheetId="16">#REF!</definedName>
    <definedName name="habac" localSheetId="2">#REF!</definedName>
    <definedName name="habac" localSheetId="4">#REF!</definedName>
    <definedName name="habac">#REF!</definedName>
    <definedName name="Habac1">'[9]7 THAI NGUYEN'!$A$11</definedName>
    <definedName name="hhg" localSheetId="0">#REF!</definedName>
    <definedName name="hhg" localSheetId="12">#REF!</definedName>
    <definedName name="hhg" localSheetId="15">#REF!</definedName>
    <definedName name="hhg" localSheetId="16">#REF!</definedName>
    <definedName name="hhg" localSheetId="2">#REF!</definedName>
    <definedName name="hhg" localSheetId="4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2" hidden="1">{#N/A,#N/A,FALSE,"Chung"}</definedName>
    <definedName name="i" localSheetId="4" hidden="1">{#N/A,#N/A,FALSE,"Chung"}</definedName>
    <definedName name="i" hidden="1">{#N/A,#N/A,FALSE,"Chung"}</definedName>
    <definedName name="IO" localSheetId="0">'[1]COAT&amp;WRAP-QIOT-#3'!#REF!</definedName>
    <definedName name="IO" localSheetId="12">'[2]COAT&amp;WRAP-QIOT-#3'!#REF!</definedName>
    <definedName name="IO" localSheetId="15">'[1]COAT&amp;WRAP-QIOT-#3'!#REF!</definedName>
    <definedName name="IO" localSheetId="16">'[2]COAT&amp;WRAP-QIOT-#3'!#REF!</definedName>
    <definedName name="IO" localSheetId="4">'[3]COAT&amp;WRAP-QIOT-#3'!#REF!</definedName>
    <definedName name="IO">'[4]COAT&amp;WRAP-QIOT-#3'!#REF!</definedName>
    <definedName name="kjh" localSheetId="0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2" hidden="1">{#N/A,#N/A,FALSE,"Chung"}</definedName>
    <definedName name="kjh" localSheetId="4" hidden="1">{#N/A,#N/A,FALSE,"Chung"}</definedName>
    <definedName name="kjh" hidden="1">{#N/A,#N/A,FALSE,"Chung"}</definedName>
    <definedName name="kjhjfhdjkfndfndf" localSheetId="0">#REF!</definedName>
    <definedName name="kjhjfhdjkfndfndf" localSheetId="12">#REF!</definedName>
    <definedName name="kjhjfhdjkfndfndf" localSheetId="15">#REF!</definedName>
    <definedName name="kjhjfhdjkfndfndf" localSheetId="16">#REF!</definedName>
    <definedName name="kjhjfhdjkfndfndf" localSheetId="2">#REF!</definedName>
    <definedName name="kjhjfhdjkfndfndf" localSheetId="4">#REF!</definedName>
    <definedName name="kjhjfhdjkfndfndf">#REF!</definedName>
    <definedName name="l" localSheetId="15" hidden="1">{"'TDTGT (theo Dphuong)'!$A$4:$F$75"}</definedName>
    <definedName name="l" localSheetId="4" hidden="1">{"'TDTGT (theo Dphuong)'!$A$4:$F$75"}</definedName>
    <definedName name="l" hidden="1">{"'TDTGT (theo Dphuong)'!$A$4:$F$75"}</definedName>
    <definedName name="m" localSheetId="0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2" hidden="1">{"'TDTGT (theo Dphuong)'!$A$4:$F$75"}</definedName>
    <definedName name="m" localSheetId="4" hidden="1">{"'TDTGT (theo Dphuong)'!$A$4:$F$75"}</definedName>
    <definedName name="m" hidden="1">{"'TDTGT (theo Dphuong)'!$A$4:$F$75"}</definedName>
    <definedName name="MAT" localSheetId="0">'[1]COAT&amp;WRAP-QIOT-#3'!#REF!</definedName>
    <definedName name="MAT" localSheetId="12">'[2]COAT&amp;WRAP-QIOT-#3'!#REF!</definedName>
    <definedName name="MAT" localSheetId="15">'[1]COAT&amp;WRAP-QIOT-#3'!#REF!</definedName>
    <definedName name="MAT" localSheetId="16">'[2]COAT&amp;WRAP-QIOT-#3'!#REF!</definedName>
    <definedName name="MAT" localSheetId="4">'[3]COAT&amp;WRAP-QIOT-#3'!#REF!</definedName>
    <definedName name="MAT">'[4]COAT&amp;WRAP-QIOT-#3'!#REF!</definedName>
    <definedName name="mc" localSheetId="0">#REF!</definedName>
    <definedName name="mc" localSheetId="12">#REF!</definedName>
    <definedName name="mc" localSheetId="15">#REF!</definedName>
    <definedName name="mc" localSheetId="16">#REF!</definedName>
    <definedName name="mc" localSheetId="2">#REF!</definedName>
    <definedName name="mc" localSheetId="4">#REF!</definedName>
    <definedName name="mc">#REF!</definedName>
    <definedName name="MF" localSheetId="0">'[1]COAT&amp;WRAP-QIOT-#3'!#REF!</definedName>
    <definedName name="MF" localSheetId="12">'[2]COAT&amp;WRAP-QIOT-#3'!#REF!</definedName>
    <definedName name="MF" localSheetId="15">'[1]COAT&amp;WRAP-QIOT-#3'!#REF!</definedName>
    <definedName name="MF" localSheetId="16">'[2]COAT&amp;WRAP-QIOT-#3'!#REF!</definedName>
    <definedName name="MF" localSheetId="2">'[1]COAT&amp;WRAP-QIOT-#3'!#REF!</definedName>
    <definedName name="MF" localSheetId="4">'[3]COAT&amp;WRAP-QIOT-#3'!#REF!</definedName>
    <definedName name="MF">'[4]COAT&amp;WRAP-QIOT-#3'!#REF!</definedName>
    <definedName name="mnh" localSheetId="0">'[10]2.74'!#REF!</definedName>
    <definedName name="mnh" localSheetId="12">'[10]2.74'!#REF!</definedName>
    <definedName name="mnh" localSheetId="15">'[11]2.74'!#REF!</definedName>
    <definedName name="mnh" localSheetId="16">'[10]2.74'!#REF!</definedName>
    <definedName name="mnh" localSheetId="2">'[11]2.74'!#REF!</definedName>
    <definedName name="mnh" localSheetId="4">'[12]2.74'!#REF!</definedName>
    <definedName name="mnh">'[10]2.74'!#REF!</definedName>
    <definedName name="n" localSheetId="0">'[10]2.74'!#REF!</definedName>
    <definedName name="n" localSheetId="12">'[10]2.74'!#REF!</definedName>
    <definedName name="n" localSheetId="15">'[11]2.74'!#REF!</definedName>
    <definedName name="n" localSheetId="16">'[10]2.74'!#REF!</definedName>
    <definedName name="n" localSheetId="2">'[11]2.74'!#REF!</definedName>
    <definedName name="n" localSheetId="4">'[12]2.74'!#REF!</definedName>
    <definedName name="n">'[10]2.74'!#REF!</definedName>
    <definedName name="nhan" localSheetId="0">#REF!</definedName>
    <definedName name="nhan" localSheetId="12">#REF!</definedName>
    <definedName name="nhan" localSheetId="15">#REF!</definedName>
    <definedName name="nhan" localSheetId="16">#REF!</definedName>
    <definedName name="nhan" localSheetId="2">#REF!</definedName>
    <definedName name="nhan" localSheetId="4">#REF!</definedName>
    <definedName name="nhan">#REF!</definedName>
    <definedName name="Nhan_xet_cua_dai">"Picture 1"</definedName>
    <definedName name="nuoc" localSheetId="0">#REF!</definedName>
    <definedName name="nuoc" localSheetId="12">#REF!</definedName>
    <definedName name="nuoc" localSheetId="15">#REF!</definedName>
    <definedName name="nuoc" localSheetId="16">#REF!</definedName>
    <definedName name="nuoc" localSheetId="2">#REF!</definedName>
    <definedName name="nuoc" localSheetId="4">#REF!</definedName>
    <definedName name="nuoc">#REF!</definedName>
    <definedName name="oanh" localSheetId="0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2" hidden="1">{#N/A,#N/A,FALSE,"Chung"}</definedName>
    <definedName name="oanh" localSheetId="4" hidden="1">{#N/A,#N/A,FALSE,"Chung"}</definedName>
    <definedName name="oanh" hidden="1">{#N/A,#N/A,FALSE,"Chung"}</definedName>
    <definedName name="P" localSheetId="0">'[1]PNT-QUOT-#3'!#REF!</definedName>
    <definedName name="P" localSheetId="12">'[2]PNT-QUOT-#3'!#REF!</definedName>
    <definedName name="P" localSheetId="15">'[1]PNT-QUOT-#3'!#REF!</definedName>
    <definedName name="P" localSheetId="16">'[2]PNT-QUOT-#3'!#REF!</definedName>
    <definedName name="P" localSheetId="4">'[3]PNT-QUOT-#3'!#REF!</definedName>
    <definedName name="P">'[4]PNT-QUOT-#3'!#REF!</definedName>
    <definedName name="PEJM" localSheetId="0">'[1]COAT&amp;WRAP-QIOT-#3'!#REF!</definedName>
    <definedName name="PEJM" localSheetId="12">'[2]COAT&amp;WRAP-QIOT-#3'!#REF!</definedName>
    <definedName name="PEJM" localSheetId="15">'[1]COAT&amp;WRAP-QIOT-#3'!#REF!</definedName>
    <definedName name="PEJM" localSheetId="16">'[2]COAT&amp;WRAP-QIOT-#3'!#REF!</definedName>
    <definedName name="PEJM" localSheetId="4">'[3]COAT&amp;WRAP-QIOT-#3'!#REF!</definedName>
    <definedName name="PEJM">'[4]COAT&amp;WRAP-QIOT-#3'!#REF!</definedName>
    <definedName name="PF" localSheetId="0">'[1]PNT-QUOT-#3'!#REF!</definedName>
    <definedName name="PF" localSheetId="12">'[2]PNT-QUOT-#3'!#REF!</definedName>
    <definedName name="PF" localSheetId="15">'[1]PNT-QUOT-#3'!#REF!</definedName>
    <definedName name="PF" localSheetId="16">'[2]PNT-QUOT-#3'!#REF!</definedName>
    <definedName name="PF" localSheetId="4">'[3]PNT-QUOT-#3'!#REF!</definedName>
    <definedName name="PF">'[4]PNT-QUOT-#3'!#REF!</definedName>
    <definedName name="pj" localSheetId="15" hidden="1">{"'TDTGT (theo Dphuong)'!$A$4:$F$75"}</definedName>
    <definedName name="pj" localSheetId="4" hidden="1">{"'TDTGT (theo Dphuong)'!$A$4:$F$75"}</definedName>
    <definedName name="pj" hidden="1">{"'TDTGT (theo Dphuong)'!$A$4:$F$75"}</definedName>
    <definedName name="PM" localSheetId="0">[13]IBASE!$AH$16:$AV$110</definedName>
    <definedName name="PM" localSheetId="12">[14]IBASE!$AH$16:$AV$110</definedName>
    <definedName name="PM" localSheetId="15">[13]IBASE!$AH$16:$AV$110</definedName>
    <definedName name="PM" localSheetId="4">[15]IBASE!$AH$16:$AV$110</definedName>
    <definedName name="PM">[16]IBASE!$AH$16:$AV$110</definedName>
    <definedName name="Print_Area_MI" localSheetId="0">[17]ESTI.!$A$1:$U$52</definedName>
    <definedName name="Print_Area_MI" localSheetId="12">[18]ESTI.!$A$1:$U$52</definedName>
    <definedName name="Print_Area_MI" localSheetId="15">[19]ESTI.!$A$1:$U$52</definedName>
    <definedName name="Print_Area_MI" localSheetId="4">[19]ESTI.!$A$1:$U$52</definedName>
    <definedName name="Print_Area_MI">[20]ESTI.!$A$1:$U$52</definedName>
    <definedName name="_xlnm.Print_Titles" localSheetId="2">'[21]TiÕn ®é thùc hiÖn KC'!#REF!</definedName>
    <definedName name="_xlnm.Print_Titles">'[21]TiÕn ®é thùc hiÖn KC'!#REF!</definedName>
    <definedName name="pt" localSheetId="0">#REF!</definedName>
    <definedName name="pt" localSheetId="12">#REF!</definedName>
    <definedName name="pt" localSheetId="15">#REF!</definedName>
    <definedName name="pt" localSheetId="16">#REF!</definedName>
    <definedName name="pt" localSheetId="2">#REF!</definedName>
    <definedName name="pt" localSheetId="4">#REF!</definedName>
    <definedName name="pt">#REF!</definedName>
    <definedName name="ptr" localSheetId="0">#REF!</definedName>
    <definedName name="ptr" localSheetId="12">#REF!</definedName>
    <definedName name="ptr" localSheetId="15">#REF!</definedName>
    <definedName name="ptr" localSheetId="16">#REF!</definedName>
    <definedName name="ptr" localSheetId="2">#REF!</definedName>
    <definedName name="ptr" localSheetId="4">#REF!</definedName>
    <definedName name="ptr">#REF!</definedName>
    <definedName name="ptvt">'[22]ma-pt'!$A$6:$IV$228</definedName>
    <definedName name="qưeqwrqw" localSheetId="0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2" hidden="1">{#N/A,#N/A,FALSE,"Chung"}</definedName>
    <definedName name="qưeqwrqw" localSheetId="4" hidden="1">{#N/A,#N/A,FALSE,"Chung"}</definedName>
    <definedName name="qưeqwrqw" hidden="1">{#N/A,#N/A,FALSE,"Chung"}</definedName>
    <definedName name="RT" localSheetId="0">'[1]COAT&amp;WRAP-QIOT-#3'!#REF!</definedName>
    <definedName name="RT" localSheetId="12">'[2]COAT&amp;WRAP-QIOT-#3'!#REF!</definedName>
    <definedName name="RT" localSheetId="15">'[1]COAT&amp;WRAP-QIOT-#3'!#REF!</definedName>
    <definedName name="RT" localSheetId="16">'[2]COAT&amp;WRAP-QIOT-#3'!#REF!</definedName>
    <definedName name="RT" localSheetId="4">'[3]COAT&amp;WRAP-QIOT-#3'!#REF!</definedName>
    <definedName name="RT">'[4]COAT&amp;WRAP-QIOT-#3'!#REF!</definedName>
    <definedName name="SB" localSheetId="0">[13]IBASE!$AH$7:$AL$14</definedName>
    <definedName name="SB" localSheetId="12">[14]IBASE!$AH$7:$AL$14</definedName>
    <definedName name="SB" localSheetId="15">[13]IBASE!$AH$7:$AL$14</definedName>
    <definedName name="SB" localSheetId="4">[15]IBASE!$AH$7:$AL$14</definedName>
    <definedName name="SB">[16]IBASE!$AH$7:$AL$14</definedName>
    <definedName name="SORT" localSheetId="0">#REF!</definedName>
    <definedName name="SORT" localSheetId="12">#REF!</definedName>
    <definedName name="SORT" localSheetId="15">#REF!</definedName>
    <definedName name="SORT" localSheetId="16">#REF!</definedName>
    <definedName name="SORT" localSheetId="2">#REF!</definedName>
    <definedName name="SORT" localSheetId="4">#REF!</definedName>
    <definedName name="SORT">#REF!</definedName>
    <definedName name="SORT_AREA" localSheetId="0">'[17]DI-ESTI'!$A$8:$R$489</definedName>
    <definedName name="SORT_AREA" localSheetId="12">'[18]DI-ESTI'!$A$8:$R$489</definedName>
    <definedName name="SORT_AREA" localSheetId="15">'[19]DI-ESTI'!$A$8:$R$489</definedName>
    <definedName name="SORT_AREA" localSheetId="4">'[19]DI-ESTI'!$A$8:$R$489</definedName>
    <definedName name="SORT_AREA">'[20]DI-ESTI'!$A$8:$R$489</definedName>
    <definedName name="SP" localSheetId="0">'[1]PNT-QUOT-#3'!#REF!</definedName>
    <definedName name="SP" localSheetId="12">'[2]PNT-QUOT-#3'!#REF!</definedName>
    <definedName name="SP" localSheetId="15">'[1]PNT-QUOT-#3'!#REF!</definedName>
    <definedName name="SP" localSheetId="16">'[2]PNT-QUOT-#3'!#REF!</definedName>
    <definedName name="SP" localSheetId="2">'[1]PNT-QUOT-#3'!#REF!</definedName>
    <definedName name="SP" localSheetId="4">'[3]PNT-QUOT-#3'!#REF!</definedName>
    <definedName name="SP">'[4]PNT-QUOT-#3'!#REF!</definedName>
    <definedName name="sss" localSheetId="0">#REF!</definedName>
    <definedName name="sss" localSheetId="12">#REF!</definedName>
    <definedName name="sss" localSheetId="15">#REF!</definedName>
    <definedName name="sss" localSheetId="16">#REF!</definedName>
    <definedName name="sss" localSheetId="2">#REF!</definedName>
    <definedName name="sss" localSheetId="4">#REF!</definedName>
    <definedName name="sss">#REF!</definedName>
    <definedName name="TBA" localSheetId="0">#REF!</definedName>
    <definedName name="TBA" localSheetId="12">#REF!</definedName>
    <definedName name="TBA" localSheetId="15">#REF!</definedName>
    <definedName name="TBA" localSheetId="16">#REF!</definedName>
    <definedName name="TBA" localSheetId="2">#REF!</definedName>
    <definedName name="TBA" localSheetId="4">#REF!</definedName>
    <definedName name="TBA">#REF!</definedName>
    <definedName name="td" localSheetId="0">#REF!</definedName>
    <definedName name="td" localSheetId="12">#REF!</definedName>
    <definedName name="td" localSheetId="15">#REF!</definedName>
    <definedName name="td" localSheetId="16">#REF!</definedName>
    <definedName name="td" localSheetId="2">#REF!</definedName>
    <definedName name="td" localSheetId="4">#REF!</definedName>
    <definedName name="td">#REF!</definedName>
    <definedName name="th_bl" localSheetId="0">#REF!</definedName>
    <definedName name="th_bl" localSheetId="12">#REF!</definedName>
    <definedName name="th_bl" localSheetId="15">#REF!</definedName>
    <definedName name="th_bl" localSheetId="16">#REF!</definedName>
    <definedName name="th_bl" localSheetId="2">#REF!</definedName>
    <definedName name="th_bl" localSheetId="4">#REF!</definedName>
    <definedName name="th_bl">#REF!</definedName>
    <definedName name="thanh" localSheetId="0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2" hidden="1">{"'TDTGT (theo Dphuong)'!$A$4:$F$75"}</definedName>
    <definedName name="thanh" localSheetId="4" hidden="1">{"'TDTGT (theo Dphuong)'!$A$4:$F$75"}</definedName>
    <definedName name="thanh" hidden="1">{"'TDTGT (theo Dphuong)'!$A$4:$F$75"}</definedName>
    <definedName name="THK" localSheetId="0">'[1]COAT&amp;WRAP-QIOT-#3'!#REF!</definedName>
    <definedName name="THK" localSheetId="12">'[2]COAT&amp;WRAP-QIOT-#3'!#REF!</definedName>
    <definedName name="THK" localSheetId="15">'[1]COAT&amp;WRAP-QIOT-#3'!#REF!</definedName>
    <definedName name="THK" localSheetId="16">'[2]COAT&amp;WRAP-QIOT-#3'!#REF!</definedName>
    <definedName name="THK" localSheetId="4">'[3]COAT&amp;WRAP-QIOT-#3'!#REF!</definedName>
    <definedName name="THK">'[4]COAT&amp;WRAP-QIOT-#3'!#REF!</definedName>
    <definedName name="TMBLCSG" localSheetId="15">#REF!</definedName>
    <definedName name="TMBLCSG" localSheetId="2">#REF!</definedName>
    <definedName name="TMBLCSG" localSheetId="4">#REF!</definedName>
    <definedName name="TMBLCSG">#REF!</definedName>
    <definedName name="Tnghiep" localSheetId="0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2" hidden="1">{"'TDTGT (theo Dphuong)'!$A$4:$F$75"}</definedName>
    <definedName name="Tnghiep" localSheetId="4" hidden="1">{"'TDTGT (theo Dphuong)'!$A$4:$F$75"}</definedName>
    <definedName name="Tnghiep" hidden="1">{"'TDTGT (theo Dphuong)'!$A$4:$F$75"}</definedName>
    <definedName name="ttt" localSheetId="0">#REF!</definedName>
    <definedName name="ttt" localSheetId="12">#REF!</definedName>
    <definedName name="ttt" localSheetId="15">#REF!</definedName>
    <definedName name="ttt" localSheetId="16">#REF!</definedName>
    <definedName name="ttt" localSheetId="2">#REF!</definedName>
    <definedName name="ttt" localSheetId="4">#REF!</definedName>
    <definedName name="ttt">#REF!</definedName>
    <definedName name="vfff" localSheetId="0">#REF!</definedName>
    <definedName name="vfff" localSheetId="12">#REF!</definedName>
    <definedName name="vfff" localSheetId="15">#REF!</definedName>
    <definedName name="vfff" localSheetId="16">#REF!</definedName>
    <definedName name="vfff" localSheetId="2">#REF!</definedName>
    <definedName name="vfff" localSheetId="4">#REF!</definedName>
    <definedName name="vfff">#REF!</definedName>
    <definedName name="vn" localSheetId="15">#REF!</definedName>
    <definedName name="vn" localSheetId="2">#REF!</definedName>
    <definedName name="vn" localSheetId="4">#REF!</definedName>
    <definedName name="vn">#REF!</definedName>
    <definedName name="vv" localSheetId="0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2" hidden="1">{"'TDTGT (theo Dphuong)'!$A$4:$F$75"}</definedName>
    <definedName name="vv" localSheetId="4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hidden="1">{#N/A,#N/A,FALSE,"Chung"}</definedName>
    <definedName name="xd" localSheetId="0">'[23]7 THAI NGUYEN'!$A$11</definedName>
    <definedName name="xd" localSheetId="12">'[24]7 THAI NGUYEN'!$A$11</definedName>
    <definedName name="xd" localSheetId="15">'[25]7 THAI NGUYEN'!$A$11</definedName>
    <definedName name="xd" localSheetId="4">'[26]7 THAI NGUYEN'!$A$11</definedName>
    <definedName name="xd">'[23]7 THAI NGUYEN'!$A$11</definedName>
    <definedName name="ZYX" localSheetId="0">#REF!</definedName>
    <definedName name="ZYX" localSheetId="12">#REF!</definedName>
    <definedName name="ZYX" localSheetId="15">#REF!</definedName>
    <definedName name="ZYX" localSheetId="16">#REF!</definedName>
    <definedName name="ZYX" localSheetId="2">#REF!</definedName>
    <definedName name="ZYX" localSheetId="4">#REF!</definedName>
    <definedName name="ZYX">#REF!</definedName>
    <definedName name="ZZZ" localSheetId="0">#REF!</definedName>
    <definedName name="ZZZ" localSheetId="12">#REF!</definedName>
    <definedName name="ZZZ" localSheetId="15">#REF!</definedName>
    <definedName name="ZZZ" localSheetId="16">#REF!</definedName>
    <definedName name="ZZZ" localSheetId="2">#REF!</definedName>
    <definedName name="ZZZ" localSheetId="4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3" l="1"/>
  <c r="E26" i="23" s="1"/>
  <c r="D25" i="23"/>
  <c r="E25" i="23" s="1"/>
  <c r="D24" i="23"/>
  <c r="E24" i="23" s="1"/>
  <c r="D23" i="23"/>
  <c r="E23" i="23" s="1"/>
  <c r="D22" i="23"/>
  <c r="E22" i="23" s="1"/>
  <c r="D21" i="23"/>
  <c r="E21" i="23" s="1"/>
  <c r="D20" i="23"/>
  <c r="E20" i="23" s="1"/>
  <c r="D19" i="23"/>
  <c r="E19" i="23" s="1"/>
  <c r="D18" i="23"/>
  <c r="E18" i="23" s="1"/>
  <c r="E17" i="23"/>
  <c r="D17" i="23"/>
  <c r="D16" i="23"/>
  <c r="E16" i="23" s="1"/>
  <c r="D15" i="23"/>
  <c r="E15" i="23" s="1"/>
  <c r="C14" i="23"/>
  <c r="B14" i="23"/>
  <c r="D13" i="23"/>
  <c r="E13" i="23" s="1"/>
  <c r="D12" i="23"/>
  <c r="E12" i="23" s="1"/>
  <c r="E11" i="23"/>
  <c r="D11" i="23"/>
  <c r="D10" i="23"/>
  <c r="E10" i="23" s="1"/>
  <c r="C9" i="23"/>
  <c r="B9" i="23"/>
  <c r="D8" i="23"/>
  <c r="E8" i="23" s="1"/>
  <c r="D26" i="22"/>
  <c r="D25" i="22"/>
  <c r="D24" i="22"/>
  <c r="D23" i="22"/>
  <c r="D22" i="22"/>
  <c r="D21" i="22"/>
  <c r="D20" i="22"/>
  <c r="D19" i="22"/>
  <c r="D18" i="22"/>
  <c r="D17" i="22"/>
  <c r="D16" i="22"/>
  <c r="D15" i="22"/>
  <c r="C14" i="22"/>
  <c r="D14" i="22" s="1"/>
  <c r="D13" i="22"/>
  <c r="D12" i="22"/>
  <c r="D11" i="22"/>
  <c r="D10" i="22"/>
  <c r="C9" i="22"/>
  <c r="D9" i="22" s="1"/>
  <c r="D8" i="22"/>
  <c r="D26" i="21"/>
  <c r="D25" i="21"/>
  <c r="D24" i="21"/>
  <c r="D23" i="21"/>
  <c r="D22" i="21"/>
  <c r="D21" i="21"/>
  <c r="D20" i="21"/>
  <c r="D19" i="21"/>
  <c r="D18" i="21"/>
  <c r="D17" i="21"/>
  <c r="D16" i="21"/>
  <c r="D15" i="21"/>
  <c r="C14" i="21"/>
  <c r="D14" i="21" s="1"/>
  <c r="D13" i="21"/>
  <c r="D12" i="21"/>
  <c r="D11" i="21"/>
  <c r="D10" i="21"/>
  <c r="C9" i="21"/>
  <c r="C7" i="21" s="1"/>
  <c r="D7" i="21" s="1"/>
  <c r="D8" i="21"/>
  <c r="I30" i="20"/>
  <c r="H30" i="20"/>
  <c r="G30" i="20"/>
  <c r="J30" i="20" s="1"/>
  <c r="I29" i="20"/>
  <c r="H29" i="20"/>
  <c r="G29" i="20"/>
  <c r="J29" i="20" s="1"/>
  <c r="I28" i="20"/>
  <c r="H28" i="20"/>
  <c r="G28" i="20"/>
  <c r="J28" i="20" s="1"/>
  <c r="I27" i="20"/>
  <c r="H27" i="20"/>
  <c r="G27" i="20"/>
  <c r="J27" i="20" s="1"/>
  <c r="I26" i="20"/>
  <c r="H26" i="20"/>
  <c r="G26" i="20"/>
  <c r="J26" i="20" s="1"/>
  <c r="I25" i="20"/>
  <c r="H25" i="20"/>
  <c r="G25" i="20"/>
  <c r="J25" i="20" s="1"/>
  <c r="I24" i="20"/>
  <c r="H24" i="20"/>
  <c r="G24" i="20"/>
  <c r="J24" i="20" s="1"/>
  <c r="I23" i="20"/>
  <c r="H23" i="20"/>
  <c r="G23" i="20"/>
  <c r="J23" i="20" s="1"/>
  <c r="J22" i="20"/>
  <c r="I22" i="20"/>
  <c r="H22" i="20"/>
  <c r="G22" i="20"/>
  <c r="I21" i="20"/>
  <c r="H21" i="20"/>
  <c r="G21" i="20"/>
  <c r="J21" i="20" s="1"/>
  <c r="I20" i="20"/>
  <c r="H20" i="20"/>
  <c r="G20" i="20"/>
  <c r="J20" i="20" s="1"/>
  <c r="J19" i="20"/>
  <c r="I19" i="20"/>
  <c r="H19" i="20"/>
  <c r="G19" i="20"/>
  <c r="M18" i="20"/>
  <c r="L18" i="20"/>
  <c r="K18" i="20"/>
  <c r="E18" i="20"/>
  <c r="I18" i="20" s="1"/>
  <c r="D18" i="20"/>
  <c r="H18" i="20" s="1"/>
  <c r="C18" i="20"/>
  <c r="G18" i="20" s="1"/>
  <c r="J18" i="20" s="1"/>
  <c r="I17" i="20"/>
  <c r="H17" i="20"/>
  <c r="G17" i="20"/>
  <c r="J17" i="20" s="1"/>
  <c r="J16" i="20"/>
  <c r="I16" i="20"/>
  <c r="H16" i="20"/>
  <c r="G16" i="20"/>
  <c r="I15" i="20"/>
  <c r="H15" i="20"/>
  <c r="G15" i="20"/>
  <c r="J15" i="20" s="1"/>
  <c r="I14" i="20"/>
  <c r="H14" i="20"/>
  <c r="G14" i="20"/>
  <c r="J14" i="20" s="1"/>
  <c r="M13" i="20"/>
  <c r="L13" i="20"/>
  <c r="L10" i="20" s="1"/>
  <c r="K13" i="20"/>
  <c r="K10" i="20" s="1"/>
  <c r="E13" i="20"/>
  <c r="I13" i="20" s="1"/>
  <c r="D13" i="20"/>
  <c r="C13" i="20"/>
  <c r="I12" i="20"/>
  <c r="H12" i="20"/>
  <c r="G12" i="20"/>
  <c r="J12" i="20" s="1"/>
  <c r="G17" i="19"/>
  <c r="N17" i="19" s="1"/>
  <c r="F17" i="19"/>
  <c r="M17" i="19" s="1"/>
  <c r="E17" i="19"/>
  <c r="L17" i="19" s="1"/>
  <c r="G16" i="19"/>
  <c r="N16" i="19" s="1"/>
  <c r="F16" i="19"/>
  <c r="M16" i="19" s="1"/>
  <c r="E16" i="19"/>
  <c r="L16" i="19" s="1"/>
  <c r="G15" i="19"/>
  <c r="N15" i="19" s="1"/>
  <c r="F15" i="19"/>
  <c r="M15" i="19" s="1"/>
  <c r="E15" i="19"/>
  <c r="L15" i="19" s="1"/>
  <c r="G14" i="19"/>
  <c r="N14" i="19" s="1"/>
  <c r="F14" i="19"/>
  <c r="M14" i="19" s="1"/>
  <c r="E14" i="19"/>
  <c r="L14" i="19" s="1"/>
  <c r="J13" i="19"/>
  <c r="I13" i="19"/>
  <c r="D13" i="19"/>
  <c r="C13" i="19"/>
  <c r="F13" i="19" s="1"/>
  <c r="M13" i="19" s="1"/>
  <c r="G12" i="19"/>
  <c r="N12" i="19" s="1"/>
  <c r="F12" i="19"/>
  <c r="M12" i="19" s="1"/>
  <c r="E12" i="19"/>
  <c r="L12" i="19" s="1"/>
  <c r="G11" i="19"/>
  <c r="N11" i="19" s="1"/>
  <c r="F11" i="19"/>
  <c r="M11" i="19" s="1"/>
  <c r="E11" i="19"/>
  <c r="L11" i="19" s="1"/>
  <c r="G10" i="19"/>
  <c r="N10" i="19" s="1"/>
  <c r="F10" i="19"/>
  <c r="M10" i="19" s="1"/>
  <c r="E10" i="19"/>
  <c r="L10" i="19" s="1"/>
  <c r="L8" i="19"/>
  <c r="L7" i="19"/>
  <c r="N7" i="19" s="1"/>
  <c r="L5" i="19"/>
  <c r="L4" i="19"/>
  <c r="N4" i="19" s="1"/>
  <c r="E10" i="20" l="1"/>
  <c r="D14" i="23"/>
  <c r="E14" i="23" s="1"/>
  <c r="B7" i="23"/>
  <c r="D9" i="23"/>
  <c r="E9" i="23" s="1"/>
  <c r="G13" i="19"/>
  <c r="N13" i="19" s="1"/>
  <c r="G13" i="20"/>
  <c r="J13" i="20" s="1"/>
  <c r="M10" i="20"/>
  <c r="H13" i="20"/>
  <c r="D10" i="20"/>
  <c r="H10" i="20" s="1"/>
  <c r="C10" i="20"/>
  <c r="G10" i="20" s="1"/>
  <c r="M4" i="19"/>
  <c r="E13" i="19"/>
  <c r="L13" i="19" s="1"/>
  <c r="M7" i="19"/>
  <c r="D9" i="21"/>
  <c r="C7" i="22"/>
  <c r="D7" i="22" s="1"/>
  <c r="C7" i="23"/>
  <c r="D7" i="23" s="1"/>
  <c r="E7" i="23" s="1"/>
  <c r="I10" i="20" l="1"/>
</calcChain>
</file>

<file path=xl/sharedStrings.xml><?xml version="1.0" encoding="utf-8"?>
<sst xmlns="http://schemas.openxmlformats.org/spreadsheetml/2006/main" count="883" uniqueCount="462">
  <si>
    <t>Nghìn ha</t>
  </si>
  <si>
    <t>Thực hiện cùng</t>
  </si>
  <si>
    <t xml:space="preserve">Thực hiện </t>
  </si>
  <si>
    <t>Thực hiện kỳ này</t>
  </si>
  <si>
    <t>kỳ năm trước</t>
  </si>
  <si>
    <t>kỳ này</t>
  </si>
  <si>
    <t>so với cùng kỳ</t>
  </si>
  <si>
    <t>năm trước (%)</t>
  </si>
  <si>
    <t>1. Gieo cấy lúa mùa</t>
  </si>
  <si>
    <t>Miền Bắc</t>
  </si>
  <si>
    <t>Miền Nam</t>
  </si>
  <si>
    <t xml:space="preserve">2. Gieo cấy lúa hè thu </t>
  </si>
  <si>
    <t>3. Gieo trồng các loại cây khác</t>
  </si>
  <si>
    <t>Ngô</t>
  </si>
  <si>
    <t>Khoai lang</t>
  </si>
  <si>
    <t>Đậu tương</t>
  </si>
  <si>
    <t>Lạc</t>
  </si>
  <si>
    <t>Rau các loại</t>
  </si>
  <si>
    <t>Đậu các loại</t>
  </si>
  <si>
    <t>1. Sản xuất nông nghiệp đến ngày 20 tháng 7 năm 2025</t>
  </si>
  <si>
    <t>2. Chỉ số sản xuất công nghiệp phân theo ngành công nghiệp</t>
  </si>
  <si>
    <t>%</t>
  </si>
  <si>
    <t>Tháng 6</t>
  </si>
  <si>
    <t>Tháng 7</t>
  </si>
  <si>
    <t>7 tháng</t>
  </si>
  <si>
    <t>năm 2025</t>
  </si>
  <si>
    <t>so với</t>
  </si>
  <si>
    <t>cùng kỳ</t>
  </si>
  <si>
    <t xml:space="preserve">tháng </t>
  </si>
  <si>
    <t xml:space="preserve">cùng kỳ </t>
  </si>
  <si>
    <t>năm trước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</si>
  <si>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</si>
  <si>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</si>
  <si>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</si>
  <si>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</si>
  <si>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</si>
  <si>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</si>
  <si>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</si>
  <si>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</si>
  <si>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</si>
  <si>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</si>
  <si>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</si>
  <si>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</si>
  <si>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</si>
  <si>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</si>
  <si>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</si>
  <si>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</si>
  <si>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</si>
  <si>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</si>
  <si>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</si>
  <si>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</si>
  <si>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</si>
  <si>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</si>
  <si>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</si>
  <si>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</si>
  <si>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</si>
  <si>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</si>
  <si>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</si>
  <si>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</si>
  <si>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</si>
  <si>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</si>
  <si>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</si>
  <si>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</si>
  <si>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</si>
  <si>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</si>
  <si>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</si>
  <si>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</si>
  <si>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</si>
  <si>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</si>
  <si>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</si>
  <si>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</si>
  <si>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Thực hiện</t>
  </si>
  <si>
    <t>Ước tính</t>
  </si>
  <si>
    <t>Cộng dồn</t>
  </si>
  <si>
    <t>tính</t>
  </si>
  <si>
    <t>tháng 6</t>
  </si>
  <si>
    <t>tháng 7</t>
  </si>
  <si>
    <t>năm</t>
  </si>
  <si>
    <t xml:space="preserve">so với cùng kỳ </t>
  </si>
  <si>
    <t>Than đá (than sạch)</t>
  </si>
  <si>
    <t>Nghìn tấn</t>
  </si>
  <si>
    <t>Dầu mỏ thô khai thác</t>
  </si>
  <si>
    <t>"</t>
  </si>
  <si>
    <t>Khí đốt thiên nhiên dạng khí</t>
  </si>
  <si>
    <t>Triệu m3</t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</si>
  <si>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</si>
  <si>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</si>
  <si>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</si>
  <si>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</si>
  <si>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</si>
  <si>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</si>
  <si>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</si>
  <si>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</si>
  <si>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</si>
  <si>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</si>
  <si>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</si>
  <si>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</si>
  <si>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</si>
  <si>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</si>
  <si>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</si>
  <si>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t>Triệu m2</t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</si>
  <si>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</si>
  <si>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</si>
  <si>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</si>
  <si>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</si>
  <si>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</si>
  <si>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</si>
  <si>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</si>
  <si>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</si>
  <si>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</si>
  <si>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</si>
  <si>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</si>
  <si>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</si>
  <si>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</si>
  <si>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</si>
  <si>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</si>
  <si>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</si>
  <si>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 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</si>
  <si>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</si>
  <si>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</si>
  <si>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</si>
  <si>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</si>
  <si>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</si>
  <si>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</si>
  <si>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</si>
  <si>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</si>
  <si>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</si>
  <si>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</si>
  <si>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01/7/2025 so với</t>
  </si>
  <si>
    <t>cùng thời điểm</t>
  </si>
  <si>
    <t>tháng trước</t>
  </si>
  <si>
    <t>Chế biến gỗ và sản xuất sản phẩm từ gỗ, tre, nứa (trừ giường,
tủ, bàn, ghế); sản xuất sản phẩm từ rơm, rạ và vật liệu tết bện</t>
  </si>
  <si>
    <t>Sản xuất sản phẩm từ kim loại đúc sẵn (trừ máy móc, thiết bị)</t>
  </si>
  <si>
    <t>Sản xuất sản phẩm điện tử, máy vi tính và sản phẩm quang học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</si>
  <si>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</si>
  <si>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</si>
  <si>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</si>
  <si>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</si>
  <si>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</si>
  <si>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01/7/2025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</si>
  <si>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</si>
  <si>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</si>
  <si>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</si>
  <si>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</si>
  <si>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</si>
  <si>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</si>
  <si>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</si>
  <si>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</si>
  <si>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</si>
  <si>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</si>
  <si>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</si>
  <si>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</si>
  <si>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</si>
  <si>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</si>
  <si>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</si>
  <si>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</si>
  <si>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</si>
  <si>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</si>
  <si>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</si>
  <si>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</si>
  <si>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</si>
  <si>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</si>
  <si>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</si>
  <si>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</si>
  <si>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</si>
  <si>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</si>
  <si>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</si>
  <si>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</si>
  <si>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</si>
  <si>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</si>
  <si>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</si>
  <si>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</si>
  <si>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</si>
  <si>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</si>
  <si>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</si>
  <si>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</si>
  <si>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</si>
  <si>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11. Vốn đầu tư thực hiện từ nguồn ngân sách Nhà nước</t>
  </si>
  <si>
    <t>Tỷ đồng</t>
  </si>
  <si>
    <t xml:space="preserve">Ước tính </t>
  </si>
  <si>
    <t>7 tháng năm</t>
  </si>
  <si>
    <t>2025 so với</t>
  </si>
  <si>
    <t xml:space="preserve"> kế hoạch</t>
  </si>
  <si>
    <t>năm 2025 (%)</t>
  </si>
  <si>
    <t>TỔNG SỐ</t>
  </si>
  <si>
    <t>Trung ương</t>
  </si>
  <si>
    <t>Trong đó:</t>
  </si>
  <si>
    <t>Bộ Xây dựng</t>
  </si>
  <si>
    <t>Bộ Nông nghiệp và Môi trường</t>
  </si>
  <si>
    <t>Bộ Y tế</t>
  </si>
  <si>
    <t>Bộ Giáo dục và Đào tạo</t>
  </si>
  <si>
    <t>Bộ Văn hóa, Thể thao và Du lịch</t>
  </si>
  <si>
    <t>Bộ Khoa học và Công nghệ</t>
  </si>
  <si>
    <t>Địa phương</t>
  </si>
  <si>
    <t>Vốn ngân sách NN cấp tỉnh</t>
  </si>
  <si>
    <t>Vốn ngân sách NN cấp xã</t>
  </si>
  <si>
    <t>Phân theo một số tỉnh, thành phố</t>
  </si>
  <si>
    <t>Đà Nẵng</t>
  </si>
  <si>
    <t>Đồng Tháp</t>
  </si>
  <si>
    <t>Bắc Giang</t>
  </si>
  <si>
    <t>An Giang</t>
  </si>
  <si>
    <t>13. Tổng mức bán lẻ hàng hóa và doanh thu dịch vụ tiêu dùng</t>
  </si>
  <si>
    <t>Sơ bộ</t>
  </si>
  <si>
    <t xml:space="preserve">7 tháng </t>
  </si>
  <si>
    <t>Tổng</t>
  </si>
  <si>
    <t>Cơ</t>
  </si>
  <si>
    <t>mức</t>
  </si>
  <si>
    <t xml:space="preserve">cấu </t>
  </si>
  <si>
    <t>(Tỷ đồng)</t>
  </si>
  <si>
    <t>(%)</t>
  </si>
  <si>
    <t>trước (%)</t>
  </si>
  <si>
    <t>Bán lẻ hàng hóa</t>
  </si>
  <si>
    <t>Dịch vụ lưu trú, ăn uống</t>
  </si>
  <si>
    <t>Du lịch lữ hành</t>
  </si>
  <si>
    <t>Dịch vụ khác</t>
  </si>
  <si>
    <t>17. Vận tải hành khách</t>
  </si>
  <si>
    <t xml:space="preserve">     </t>
  </si>
  <si>
    <t>Tháng 7 năm</t>
  </si>
  <si>
    <t>cùng kỳ năm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</si>
  <si>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</si>
  <si>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</si>
  <si>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</si>
  <si>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</si>
  <si>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</si>
  <si>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</si>
  <si>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</si>
  <si>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</si>
  <si>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</si>
  <si>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</si>
  <si>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</si>
  <si>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</t>
  </si>
  <si>
    <t>I. Vận chuyển (Nghìn tấn)</t>
  </si>
  <si>
    <t>II. Luân chuyển (Triệu tấn.km)</t>
  </si>
  <si>
    <t>19. Khách quốc tế đến Việt Nam</t>
  </si>
  <si>
    <t>Lượt người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</si>
  <si>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</si>
  <si>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</si>
  <si>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</si>
  <si>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</si>
  <si>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</si>
  <si>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</si>
  <si>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</si>
  <si>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</si>
  <si>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</si>
  <si>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</si>
  <si>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</si>
  <si>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</si>
  <si>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</si>
  <si>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</si>
  <si>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</si>
  <si>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</si>
  <si>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</si>
  <si>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</si>
  <si>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</si>
  <si>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</si>
  <si>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</si>
  <si>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</si>
  <si>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</si>
  <si>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</si>
  <si>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</si>
  <si>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</si>
  <si>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</si>
  <si>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</si>
  <si>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</si>
  <si>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</si>
  <si>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</si>
  <si>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</si>
  <si>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</si>
  <si>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</si>
  <si>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</si>
  <si>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</si>
  <si>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</si>
  <si>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</si>
  <si>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</si>
  <si>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</si>
  <si>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</si>
  <si>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</si>
  <si>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>Nghìn tấn; Triệu USD</t>
  </si>
  <si>
    <t>So với cùng kỳ năm trước (%)</t>
  </si>
  <si>
    <t xml:space="preserve">Tháng 7 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</si>
  <si>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</si>
  <si>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</si>
  <si>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</si>
  <si>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</si>
  <si>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</si>
  <si>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</si>
  <si>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</si>
  <si>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</si>
  <si>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</si>
  <si>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</si>
  <si>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</si>
  <si>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</si>
  <si>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</si>
  <si>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</si>
  <si>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</si>
  <si>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</si>
  <si>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</si>
  <si>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</si>
  <si>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</si>
  <si>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</si>
  <si>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</si>
  <si>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</si>
  <si>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</si>
  <si>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</si>
  <si>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</si>
  <si>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</si>
  <si>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</si>
  <si>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</si>
  <si>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</si>
  <si>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</si>
  <si>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</si>
  <si>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</si>
  <si>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</si>
  <si>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</si>
  <si>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</si>
  <si>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</si>
  <si>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</si>
  <si>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</si>
  <si>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</si>
  <si>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</si>
  <si>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</si>
  <si>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</si>
  <si>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</si>
  <si>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</si>
  <si>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</si>
  <si>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</si>
  <si>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</si>
  <si>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</si>
  <si>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</si>
  <si>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</si>
  <si>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</si>
  <si>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</si>
  <si>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</si>
  <si>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</si>
  <si>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</si>
  <si>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</si>
  <si>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</si>
  <si>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</si>
  <si>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</si>
  <si>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</si>
  <si>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</si>
  <si>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</si>
  <si>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</si>
  <si>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</si>
  <si>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</si>
  <si>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</si>
  <si>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</si>
  <si>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</si>
  <si>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</si>
  <si>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</si>
  <si>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</si>
  <si>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</si>
  <si>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</si>
  <si>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</si>
  <si>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</si>
  <si>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</si>
  <si>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</si>
  <si>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>Bộ Công Thương</t>
  </si>
  <si>
    <t>14. Hàng hóa xuất khẩu</t>
  </si>
  <si>
    <t>15. Hàng hóa nhập khẩu</t>
  </si>
  <si>
    <t xml:space="preserve">16. Chỉ số giá tiêu dùng, chỉ số giá vàng, chỉ số giá đô la Mỹ </t>
  </si>
  <si>
    <t xml:space="preserve">      và lạm phát cơ bản tháng 7 năm 2025</t>
  </si>
  <si>
    <t>Tháng 7 năm 2025 so với:</t>
  </si>
  <si>
    <t>Bình quân 7 tháng</t>
  </si>
  <si>
    <t>Kỳ gốc</t>
  </si>
  <si>
    <t>Tháng 12</t>
  </si>
  <si>
    <t xml:space="preserve"> năm 2025 so với </t>
  </si>
  <si>
    <t>(2019)</t>
  </si>
  <si>
    <t>năm 2024</t>
  </si>
  <si>
    <t>cùng kỳ năm 2024</t>
  </si>
  <si>
    <t>CHỈ SỐ GIÁ TIÊU DÙNG</t>
  </si>
  <si>
    <t>Hàng ăn và dịch vụ ăn uống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</si>
  <si>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</si>
  <si>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</si>
  <si>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</si>
  <si>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</si>
  <si>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</si>
  <si>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</si>
  <si>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</si>
  <si>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</si>
  <si>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</si>
  <si>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</si>
  <si>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</si>
  <si>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</si>
  <si>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</si>
  <si>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</si>
  <si>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</si>
  <si>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</si>
  <si>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</si>
  <si>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t xml:space="preserve">6. Một số chỉ tiêu về doanh nghiệp </t>
  </si>
  <si>
    <t>+/-</t>
  </si>
  <si>
    <t>BQ</t>
  </si>
  <si>
    <t>Tháng 7 năm 2025</t>
  </si>
  <si>
    <t>so với (%)</t>
  </si>
  <si>
    <t>2024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</si>
  <si>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</si>
  <si>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</si>
  <si>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</si>
  <si>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</si>
  <si>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</si>
  <si>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</si>
  <si>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</si>
  <si>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</si>
  <si>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7. Doanh nghiệp đăng ký thành lập mới</t>
  </si>
  <si>
    <t>7 tháng năm 2025</t>
  </si>
  <si>
    <t xml:space="preserve">7 tháng năm 2025 so với </t>
  </si>
  <si>
    <t>7 tháng năm 2024</t>
  </si>
  <si>
    <t xml:space="preserve"> cùng kỳ năm 2024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</si>
  <si>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</si>
  <si>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</si>
  <si>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</si>
  <si>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</si>
  <si>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</si>
  <si>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</si>
  <si>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</si>
  <si>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</si>
  <si>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(Người)</t>
  </si>
  <si>
    <t>nghiệp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</si>
  <si>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</si>
  <si>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</si>
  <si>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</si>
  <si>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</si>
  <si>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</si>
  <si>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</si>
  <si>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</si>
  <si>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</si>
  <si>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</si>
  <si>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</si>
  <si>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</si>
  <si>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</si>
  <si>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</si>
  <si>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</si>
  <si>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</si>
  <si>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</si>
  <si>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</si>
  <si>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</si>
  <si>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8. Doanh nghiệp quay trở lại hoạt động</t>
  </si>
  <si>
    <t>Doanh nghiệp</t>
  </si>
  <si>
    <t>cùng kỳ năm 2024 (%)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</si>
  <si>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</si>
  <si>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</si>
  <si>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9. Doanh nghiệp tạm ngừng kinh doanh có thời hạn</t>
  </si>
  <si>
    <t>10. Doanh nghiệp hoàn tất thủ tục giải thể</t>
  </si>
  <si>
    <t>12. Đầu tư nước ngoài vào Việt Nam được cấp phép từ 01/01 - 31/7/2025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</si>
  <si>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</si>
  <si>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</si>
  <si>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</si>
  <si>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</si>
  <si>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</si>
  <si>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</si>
  <si>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</si>
  <si>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Trung Quốc</t>
  </si>
  <si>
    <t>Đặc khu hành chính Hồng Kông (TQ)</t>
  </si>
  <si>
    <t>Quần đảo Vigin thuộc Anh</t>
  </si>
  <si>
    <t>Xa-moa</t>
  </si>
  <si>
    <t>Quần đảo Cây-men</t>
  </si>
  <si>
    <t>Lúc-xăm-bua</t>
  </si>
  <si>
    <t>Xây-xen</t>
  </si>
  <si>
    <t>Ca-na-da</t>
  </si>
  <si>
    <t xml:space="preserve">Khánh Hòa </t>
  </si>
  <si>
    <r>
      <t>Nhà ở và vật liệu xây dựng</t>
    </r>
    <r>
      <rPr>
        <vertAlign val="superscript"/>
        <sz val="9.5"/>
        <rFont val="Arial"/>
        <family val="2"/>
      </rPr>
      <t>(*)</t>
    </r>
  </si>
  <si>
    <r>
      <rPr>
        <vertAlign val="superscript"/>
        <sz val="10"/>
        <rFont val="Arial"/>
        <family val="2"/>
      </rPr>
      <t xml:space="preserve">(*) </t>
    </r>
    <r>
      <rPr>
        <sz val="10"/>
        <rFont val="Arial"/>
        <family val="2"/>
      </rPr>
      <t>Nhóm này bao gồm: tiền thuê nhà ở, điện, nước, chất đốt và vật liệu xây dựng.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</si>
</sst>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\ \ ########"/>
    <numFmt numFmtId="165" formatCode="#,##0.0;[Red]\-#,##0.0;\ &quot;-&quot;;[Blue]@"/>
    <numFmt numFmtId="166" formatCode="0.0"/>
    <numFmt numFmtId="167" formatCode="_-* #,##0.00_-;\-* #,##0.00_-;_-* &quot;-&quot;??_-;_-@_-"/>
    <numFmt numFmtId="168" formatCode="_(* #,##0.0_);_(* \(#,##0.0\);_(* &quot;-&quot;??_);_(@_)"/>
    <numFmt numFmtId="169" formatCode="_-* #,##0\ _P_t_s_-;\-* #,##0\ _P_t_s_-;_-* &quot;-&quot;\ _P_t_s_-;_-@_-"/>
    <numFmt numFmtId="170" formatCode="_-* #,##0_-;\-* #,##0_-;_-* &quot;-&quot;_-;_-@_-"/>
    <numFmt numFmtId="171" formatCode="_(* #,##0_);_(* \(#,##0\);_(* &quot;-&quot;??_);_(@_)"/>
  </numFmts>
  <fonts count="77"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.VnArial"/>
      <family val="2"/>
    </font>
    <font>
      <b/>
      <sz val="10"/>
      <name val=".VnArial"/>
      <family val="2"/>
    </font>
    <font>
      <sz val="9"/>
      <name val=".Vn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  <charset val="163"/>
    </font>
    <font>
      <sz val="9"/>
      <color indexed="8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2"/>
      <color theme="1"/>
      <name val="Times New Roman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  <charset val="163"/>
    </font>
    <font>
      <sz val="14"/>
      <color theme="1"/>
      <name val="Times New Roman"/>
      <family val="2"/>
    </font>
    <font>
      <b/>
      <sz val="9"/>
      <color indexed="8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BEAM-Time-T"/>
    </font>
    <font>
      <sz val="9.5"/>
      <color theme="1"/>
      <name val="Arial"/>
      <family val="2"/>
    </font>
    <font>
      <sz val="9.5"/>
      <name val="Arial"/>
      <family val="2"/>
    </font>
    <font>
      <sz val="13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  <font>
      <sz val="10"/>
      <name val=".VnTime"/>
      <family val="2"/>
    </font>
    <font>
      <b/>
      <sz val="9.5"/>
      <name val="Arial"/>
      <family val="2"/>
    </font>
    <font>
      <i/>
      <sz val="9.5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.5"/>
      <color rgb="FF00000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0"/>
      <color rgb="FF000000"/>
      <name val="Arial"/>
      <family val="2"/>
    </font>
    <font>
      <b/>
      <i/>
      <sz val="9.5"/>
      <name val="Arial"/>
      <family val="2"/>
    </font>
    <font>
      <b/>
      <i/>
      <sz val="10"/>
      <name val=".VnArial"/>
      <family val="2"/>
    </font>
    <font>
      <vertAlign val="superscript"/>
      <sz val="9.5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1" fillId="0" borderId="0"/>
    <xf numFmtId="0" fontId="4" fillId="0" borderId="0"/>
    <xf numFmtId="0" fontId="7" fillId="0" borderId="0"/>
    <xf numFmtId="43" fontId="13" fillId="0" borderId="0" applyFont="0" applyFill="0" applyBorder="0" applyAlignment="0" applyProtection="0"/>
    <xf numFmtId="0" fontId="14" fillId="0" borderId="0"/>
    <xf numFmtId="0" fontId="13" fillId="0" borderId="0"/>
    <xf numFmtId="0" fontId="7" fillId="0" borderId="0"/>
    <xf numFmtId="167" fontId="4" fillId="0" borderId="0" applyFont="0" applyFill="0" applyBorder="0" applyAlignment="0" applyProtection="0"/>
    <xf numFmtId="0" fontId="20" fillId="0" borderId="0"/>
    <xf numFmtId="0" fontId="25" fillId="0" borderId="0"/>
    <xf numFmtId="0" fontId="26" fillId="0" borderId="0"/>
    <xf numFmtId="0" fontId="1" fillId="0" borderId="0"/>
    <xf numFmtId="0" fontId="29" fillId="0" borderId="0"/>
    <xf numFmtId="169" fontId="1" fillId="0" borderId="0" applyFont="0" applyFill="0" applyBorder="0" applyAlignment="0" applyProtection="0"/>
    <xf numFmtId="0" fontId="14" fillId="0" borderId="0"/>
    <xf numFmtId="0" fontId="10" fillId="0" borderId="0" applyAlignment="0">
      <alignment vertical="top" wrapText="1"/>
      <protection locked="0"/>
    </xf>
    <xf numFmtId="0" fontId="30" fillId="0" borderId="0"/>
    <xf numFmtId="0" fontId="25" fillId="0" borderId="0"/>
    <xf numFmtId="0" fontId="1" fillId="0" borderId="0"/>
    <xf numFmtId="0" fontId="25" fillId="0" borderId="0"/>
    <xf numFmtId="0" fontId="32" fillId="0" borderId="0"/>
    <xf numFmtId="0" fontId="4" fillId="0" borderId="0"/>
    <xf numFmtId="0" fontId="35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3" fillId="0" borderId="0"/>
    <xf numFmtId="0" fontId="13" fillId="0" borderId="0"/>
    <xf numFmtId="0" fontId="1" fillId="0" borderId="0"/>
    <xf numFmtId="0" fontId="25" fillId="0" borderId="0"/>
    <xf numFmtId="0" fontId="30" fillId="0" borderId="0"/>
    <xf numFmtId="0" fontId="4" fillId="0" borderId="0"/>
    <xf numFmtId="0" fontId="4" fillId="0" borderId="0"/>
    <xf numFmtId="0" fontId="4" fillId="0" borderId="0"/>
    <xf numFmtId="43" fontId="13" fillId="0" borderId="0" applyFont="0" applyFill="0" applyBorder="0" applyAlignment="0" applyProtection="0"/>
    <xf numFmtId="0" fontId="14" fillId="0" borderId="0"/>
    <xf numFmtId="0" fontId="49" fillId="0" borderId="0"/>
    <xf numFmtId="0" fontId="13" fillId="0" borderId="0"/>
    <xf numFmtId="0" fontId="1" fillId="0" borderId="0"/>
    <xf numFmtId="0" fontId="4" fillId="0" borderId="0"/>
    <xf numFmtId="0" fontId="49" fillId="0" borderId="0"/>
    <xf numFmtId="170" fontId="1" fillId="0" borderId="0" applyFont="0" applyFill="0" applyBorder="0" applyAlignment="0" applyProtection="0"/>
    <xf numFmtId="0" fontId="4" fillId="0" borderId="0"/>
    <xf numFmtId="167" fontId="1" fillId="0" borderId="0" applyFont="0" applyFill="0" applyBorder="0" applyAlignment="0" applyProtection="0"/>
    <xf numFmtId="0" fontId="4" fillId="0" borderId="0"/>
    <xf numFmtId="0" fontId="59" fillId="0" borderId="0"/>
    <xf numFmtId="0" fontId="1" fillId="0" borderId="0"/>
    <xf numFmtId="0" fontId="13" fillId="0" borderId="0"/>
    <xf numFmtId="0" fontId="13" fillId="0" borderId="0"/>
    <xf numFmtId="9" fontId="4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" fillId="0" borderId="0"/>
    <xf numFmtId="0" fontId="4" fillId="0" borderId="0"/>
    <xf numFmtId="0" fontId="13" fillId="0" borderId="0"/>
    <xf numFmtId="0" fontId="1" fillId="0" borderId="0" applyFont="0" applyFill="0" applyBorder="0" applyAlignment="0" applyProtection="0"/>
    <xf numFmtId="0" fontId="59" fillId="0" borderId="0"/>
  </cellStyleXfs>
  <cellXfs count="494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2"/>
    <xf numFmtId="0" fontId="5" fillId="0" borderId="0" xfId="2" applyFont="1" applyAlignment="1">
      <alignment horizontal="right"/>
    </xf>
    <xf numFmtId="0" fontId="3" fillId="0" borderId="1" xfId="1" applyFont="1" applyBorder="1"/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6" fillId="0" borderId="0" xfId="1" applyFont="1"/>
    <xf numFmtId="0" fontId="6" fillId="0" borderId="0" xfId="1" applyFont="1" applyAlignment="1">
      <alignment horizontal="center"/>
    </xf>
    <xf numFmtId="164" fontId="8" fillId="0" borderId="0" xfId="3" applyNumberFormat="1" applyFont="1"/>
    <xf numFmtId="165" fontId="8" fillId="0" borderId="0" xfId="3" applyNumberFormat="1" applyFont="1"/>
    <xf numFmtId="166" fontId="8" fillId="0" borderId="0" xfId="2" applyNumberFormat="1" applyFont="1" applyAlignment="1">
      <alignment horizontal="right" indent="1"/>
    </xf>
    <xf numFmtId="166" fontId="8" fillId="0" borderId="0" xfId="1" applyNumberFormat="1" applyFont="1" applyAlignment="1">
      <alignment horizontal="right" indent="3"/>
    </xf>
    <xf numFmtId="166" fontId="1" fillId="0" borderId="0" xfId="1" applyNumberFormat="1"/>
    <xf numFmtId="49" fontId="4" fillId="0" borderId="0" xfId="3" applyNumberFormat="1" applyFont="1"/>
    <xf numFmtId="166" fontId="4" fillId="0" borderId="0" xfId="2" applyNumberFormat="1" applyAlignment="1">
      <alignment horizontal="right" indent="1"/>
    </xf>
    <xf numFmtId="166" fontId="4" fillId="0" borderId="0" xfId="1" applyNumberFormat="1" applyFont="1" applyAlignment="1">
      <alignment horizontal="right" indent="3"/>
    </xf>
    <xf numFmtId="49" fontId="9" fillId="0" borderId="0" xfId="3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166" fontId="12" fillId="0" borderId="0" xfId="1" applyNumberFormat="1" applyFont="1"/>
    <xf numFmtId="0" fontId="2" fillId="0" borderId="0" xfId="5" applyFont="1" applyAlignment="1">
      <alignment horizontal="left" wrapText="1"/>
    </xf>
    <xf numFmtId="0" fontId="6" fillId="0" borderId="0" xfId="5" applyFont="1"/>
    <xf numFmtId="0" fontId="15" fillId="0" borderId="0" xfId="5" applyFont="1" applyAlignment="1">
      <alignment horizontal="left"/>
    </xf>
    <xf numFmtId="0" fontId="6" fillId="0" borderId="0" xfId="5" applyFont="1" applyAlignment="1">
      <alignment horizontal="right"/>
    </xf>
    <xf numFmtId="0" fontId="6" fillId="0" borderId="0" xfId="5" applyFont="1" applyAlignment="1">
      <alignment horizontal="center"/>
    </xf>
    <xf numFmtId="0" fontId="16" fillId="0" borderId="0" xfId="5" applyFont="1" applyAlignment="1">
      <alignment horizontal="right"/>
    </xf>
    <xf numFmtId="0" fontId="15" fillId="0" borderId="1" xfId="5" applyFont="1" applyBorder="1" applyAlignment="1">
      <alignment vertical="center" wrapText="1"/>
    </xf>
    <xf numFmtId="0" fontId="6" fillId="0" borderId="1" xfId="5" applyFont="1" applyBorder="1" applyAlignment="1">
      <alignment horizontal="center" vertical="center" wrapText="1"/>
    </xf>
    <xf numFmtId="0" fontId="15" fillId="0" borderId="0" xfId="5" applyFont="1" applyAlignment="1">
      <alignment vertical="center" wrapText="1"/>
    </xf>
    <xf numFmtId="0" fontId="6" fillId="0" borderId="0" xfId="5" applyFont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17" fillId="0" borderId="0" xfId="5" applyFont="1" applyAlignment="1">
      <alignment wrapText="1"/>
    </xf>
    <xf numFmtId="166" fontId="18" fillId="0" borderId="0" xfId="0" applyNumberFormat="1" applyFont="1" applyAlignment="1">
      <alignment horizontal="right" vertical="center" wrapText="1" indent="1"/>
    </xf>
    <xf numFmtId="166" fontId="18" fillId="0" borderId="0" xfId="6" applyNumberFormat="1" applyFont="1" applyAlignment="1">
      <alignment horizontal="right" wrapText="1" indent="1"/>
    </xf>
    <xf numFmtId="0" fontId="8" fillId="0" borderId="0" xfId="7" applyFont="1" applyAlignment="1">
      <alignment horizontal="left"/>
    </xf>
    <xf numFmtId="166" fontId="19" fillId="0" borderId="0" xfId="0" applyNumberFormat="1" applyFont="1" applyAlignment="1">
      <alignment horizontal="right" vertical="center" wrapText="1" indent="1"/>
    </xf>
    <xf numFmtId="168" fontId="18" fillId="0" borderId="0" xfId="8" applyNumberFormat="1" applyFont="1" applyBorder="1" applyAlignment="1">
      <alignment horizontal="right" wrapText="1" indent="1"/>
    </xf>
    <xf numFmtId="0" fontId="15" fillId="0" borderId="0" xfId="5" applyFont="1" applyAlignment="1">
      <alignment horizontal="center" vertical="center" wrapText="1"/>
    </xf>
    <xf numFmtId="0" fontId="16" fillId="0" borderId="0" xfId="5" applyFont="1" applyAlignment="1">
      <alignment horizontal="center" vertical="center" wrapText="1"/>
    </xf>
    <xf numFmtId="0" fontId="21" fillId="0" borderId="0" xfId="9" applyFont="1" applyAlignment="1">
      <alignment horizontal="left" wrapText="1" indent="1"/>
    </xf>
    <xf numFmtId="166" fontId="22" fillId="0" borderId="0" xfId="0" applyNumberFormat="1" applyFont="1" applyAlignment="1">
      <alignment horizontal="right" vertical="center" wrapText="1" indent="1"/>
    </xf>
    <xf numFmtId="168" fontId="22" fillId="0" borderId="0" xfId="8" applyNumberFormat="1" applyFont="1" applyBorder="1" applyAlignment="1">
      <alignment horizontal="right" wrapText="1" indent="1"/>
    </xf>
    <xf numFmtId="0" fontId="15" fillId="0" borderId="0" xfId="5" applyFont="1"/>
    <xf numFmtId="0" fontId="8" fillId="0" borderId="0" xfId="5" applyFont="1" applyAlignment="1">
      <alignment horizontal="left" wrapText="1"/>
    </xf>
    <xf numFmtId="168" fontId="8" fillId="0" borderId="0" xfId="8" applyNumberFormat="1" applyFont="1" applyBorder="1" applyAlignment="1">
      <alignment horizontal="right" wrapText="1" indent="1"/>
    </xf>
    <xf numFmtId="0" fontId="23" fillId="0" borderId="0" xfId="5" applyFont="1"/>
    <xf numFmtId="0" fontId="24" fillId="0" borderId="0" xfId="9" applyFont="1" applyAlignment="1">
      <alignment horizontal="left" wrapText="1"/>
    </xf>
    <xf numFmtId="166" fontId="4" fillId="0" borderId="0" xfId="5" applyNumberFormat="1" applyFont="1" applyAlignment="1">
      <alignment horizontal="right" indent="1"/>
    </xf>
    <xf numFmtId="168" fontId="4" fillId="0" borderId="0" xfId="5" applyNumberFormat="1" applyFont="1" applyAlignment="1">
      <alignment horizontal="right" wrapText="1" indent="1"/>
    </xf>
    <xf numFmtId="0" fontId="2" fillId="0" borderId="0" xfId="10" applyFont="1" applyAlignment="1">
      <alignment horizontal="left"/>
    </xf>
    <xf numFmtId="0" fontId="4" fillId="0" borderId="0" xfId="10" applyFont="1"/>
    <xf numFmtId="0" fontId="22" fillId="0" borderId="0" xfId="11" applyFont="1"/>
    <xf numFmtId="0" fontId="27" fillId="0" borderId="0" xfId="7" applyFont="1"/>
    <xf numFmtId="0" fontId="2" fillId="0" borderId="0" xfId="12" applyFont="1" applyAlignment="1">
      <alignment horizontal="left"/>
    </xf>
    <xf numFmtId="0" fontId="4" fillId="0" borderId="0" xfId="10" applyFont="1" applyAlignment="1">
      <alignment horizontal="center"/>
    </xf>
    <xf numFmtId="0" fontId="4" fillId="0" borderId="0" xfId="7" applyFont="1"/>
    <xf numFmtId="0" fontId="4" fillId="0" borderId="0" xfId="10" applyFont="1" applyAlignment="1">
      <alignment horizontal="centerContinuous"/>
    </xf>
    <xf numFmtId="0" fontId="4" fillId="0" borderId="1" xfId="10" applyFont="1" applyBorder="1" applyAlignment="1">
      <alignment horizontal="centerContinuous"/>
    </xf>
    <xf numFmtId="0" fontId="6" fillId="0" borderId="1" xfId="10" applyFont="1" applyBorder="1" applyAlignment="1">
      <alignment horizontal="center" vertical="center"/>
    </xf>
    <xf numFmtId="0" fontId="6" fillId="0" borderId="1" xfId="10" quotePrefix="1" applyFont="1" applyBorder="1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6" fillId="0" borderId="0" xfId="10" quotePrefix="1" applyFont="1" applyAlignment="1">
      <alignment horizontal="center" vertical="center"/>
    </xf>
    <xf numFmtId="0" fontId="6" fillId="0" borderId="0" xfId="7" applyFont="1" applyAlignment="1">
      <alignment horizontal="center" vertical="center"/>
    </xf>
    <xf numFmtId="0" fontId="28" fillId="0" borderId="2" xfId="10" applyFont="1" applyBorder="1" applyAlignment="1">
      <alignment horizontal="center" vertical="center"/>
    </xf>
    <xf numFmtId="0" fontId="6" fillId="0" borderId="2" xfId="10" applyFont="1" applyBorder="1" applyAlignment="1">
      <alignment horizontal="center" vertical="center"/>
    </xf>
    <xf numFmtId="0" fontId="28" fillId="0" borderId="0" xfId="10" applyFont="1" applyAlignment="1">
      <alignment horizontal="center" vertical="center"/>
    </xf>
    <xf numFmtId="0" fontId="6" fillId="0" borderId="0" xfId="5" applyFont="1" applyAlignment="1">
      <alignment horizontal="left"/>
    </xf>
    <xf numFmtId="0" fontId="6" fillId="0" borderId="0" xfId="7" applyFont="1" applyAlignment="1">
      <alignment horizontal="center"/>
    </xf>
    <xf numFmtId="166" fontId="4" fillId="0" borderId="0" xfId="13" applyNumberFormat="1" applyFont="1" applyAlignment="1">
      <alignment wrapText="1"/>
    </xf>
    <xf numFmtId="166" fontId="4" fillId="0" borderId="0" xfId="13" applyNumberFormat="1" applyFont="1" applyAlignment="1">
      <alignment horizontal="right" wrapText="1" indent="2"/>
    </xf>
    <xf numFmtId="166" fontId="4" fillId="0" borderId="0" xfId="14" applyNumberFormat="1" applyFont="1" applyFill="1" applyBorder="1" applyAlignment="1">
      <alignment horizontal="right" wrapText="1" indent="2"/>
    </xf>
    <xf numFmtId="0" fontId="6" fillId="0" borderId="0" xfId="5" applyFont="1" applyAlignment="1">
      <alignment horizontal="left" wrapText="1"/>
    </xf>
    <xf numFmtId="0" fontId="21" fillId="0" borderId="0" xfId="5" applyFont="1" applyAlignment="1">
      <alignment horizontal="left" wrapText="1"/>
    </xf>
    <xf numFmtId="166" fontId="4" fillId="0" borderId="0" xfId="13" applyNumberFormat="1" applyFont="1" applyAlignment="1">
      <alignment vertical="center" wrapText="1"/>
    </xf>
    <xf numFmtId="166" fontId="4" fillId="0" borderId="0" xfId="13" applyNumberFormat="1" applyFont="1" applyAlignment="1">
      <alignment horizontal="right" vertical="center" wrapText="1" indent="2"/>
    </xf>
    <xf numFmtId="0" fontId="6" fillId="0" borderId="0" xfId="5" applyFont="1" applyAlignment="1">
      <alignment horizontal="left" vertical="center"/>
    </xf>
    <xf numFmtId="0" fontId="6" fillId="0" borderId="0" xfId="7" applyFont="1" applyAlignment="1">
      <alignment horizontal="center" vertical="center" wrapText="1"/>
    </xf>
    <xf numFmtId="166" fontId="4" fillId="0" borderId="0" xfId="14" applyNumberFormat="1" applyFont="1" applyFill="1" applyBorder="1" applyAlignment="1">
      <alignment vertical="center" wrapText="1"/>
    </xf>
    <xf numFmtId="166" fontId="22" fillId="0" borderId="0" xfId="11" applyNumberFormat="1" applyFont="1"/>
    <xf numFmtId="0" fontId="2" fillId="0" borderId="0" xfId="15" applyFont="1" applyAlignment="1">
      <alignment horizontal="left" wrapText="1"/>
    </xf>
    <xf numFmtId="0" fontId="6" fillId="0" borderId="0" xfId="15" applyFont="1"/>
    <xf numFmtId="0" fontId="15" fillId="0" borderId="0" xfId="15" applyFont="1" applyAlignment="1">
      <alignment horizontal="left"/>
    </xf>
    <xf numFmtId="0" fontId="16" fillId="0" borderId="0" xfId="15" applyFont="1" applyAlignment="1">
      <alignment horizontal="right"/>
    </xf>
    <xf numFmtId="0" fontId="15" fillId="0" borderId="1" xfId="16" applyFont="1" applyBorder="1" applyAlignment="1">
      <alignment horizontal="center" vertical="center" wrapText="1"/>
      <protection locked="0"/>
    </xf>
    <xf numFmtId="0" fontId="6" fillId="0" borderId="1" xfId="16" applyFont="1" applyBorder="1" applyAlignment="1">
      <alignment horizontal="center" vertical="center" wrapText="1"/>
      <protection locked="0"/>
    </xf>
    <xf numFmtId="0" fontId="30" fillId="0" borderId="0" xfId="17"/>
    <xf numFmtId="0" fontId="15" fillId="0" borderId="0" xfId="16" applyFont="1" applyAlignment="1">
      <alignment horizontal="center" vertical="center" wrapText="1"/>
      <protection locked="0"/>
    </xf>
    <xf numFmtId="0" fontId="6" fillId="0" borderId="0" xfId="16" applyFont="1" applyAlignment="1">
      <alignment horizontal="center" vertical="center" wrapText="1"/>
      <protection locked="0"/>
    </xf>
    <xf numFmtId="14" fontId="6" fillId="0" borderId="0" xfId="16" quotePrefix="1" applyNumberFormat="1" applyFont="1" applyAlignment="1">
      <alignment horizontal="center" vertical="center" wrapText="1"/>
      <protection locked="0"/>
    </xf>
    <xf numFmtId="0" fontId="6" fillId="0" borderId="2" xfId="16" applyFont="1" applyBorder="1" applyAlignment="1">
      <alignment horizontal="center" vertical="center" wrapText="1"/>
      <protection locked="0"/>
    </xf>
    <xf numFmtId="166" fontId="8" fillId="0" borderId="0" xfId="15" applyNumberFormat="1" applyFont="1" applyAlignment="1">
      <alignment horizontal="right" vertical="center" wrapText="1" indent="4"/>
    </xf>
    <xf numFmtId="0" fontId="15" fillId="0" borderId="0" xfId="7" applyFont="1" applyAlignment="1">
      <alignment horizontal="left"/>
    </xf>
    <xf numFmtId="0" fontId="6" fillId="0" borderId="0" xfId="15" applyFont="1" applyAlignment="1">
      <alignment horizontal="center" vertical="center" wrapText="1"/>
    </xf>
    <xf numFmtId="166" fontId="4" fillId="0" borderId="0" xfId="15" applyNumberFormat="1" applyFont="1" applyAlignment="1">
      <alignment horizontal="right" vertical="center" wrapText="1" indent="4"/>
    </xf>
    <xf numFmtId="0" fontId="15" fillId="0" borderId="0" xfId="15" applyFont="1" applyAlignment="1">
      <alignment horizontal="center" vertical="center" wrapText="1"/>
    </xf>
    <xf numFmtId="0" fontId="16" fillId="0" borderId="0" xfId="15" applyFont="1" applyAlignment="1">
      <alignment horizontal="center" vertical="center" wrapText="1"/>
    </xf>
    <xf numFmtId="166" fontId="4" fillId="0" borderId="0" xfId="15" applyNumberFormat="1" applyFont="1" applyAlignment="1">
      <alignment horizontal="right" indent="4"/>
    </xf>
    <xf numFmtId="0" fontId="15" fillId="0" borderId="0" xfId="5" applyFont="1" applyAlignment="1">
      <alignment horizontal="left" wrapText="1"/>
    </xf>
    <xf numFmtId="166" fontId="8" fillId="0" borderId="0" xfId="15" applyNumberFormat="1" applyFont="1" applyAlignment="1">
      <alignment horizontal="right" indent="4"/>
    </xf>
    <xf numFmtId="0" fontId="15" fillId="0" borderId="0" xfId="15" applyFont="1"/>
    <xf numFmtId="0" fontId="23" fillId="0" borderId="0" xfId="15" applyFont="1"/>
    <xf numFmtId="0" fontId="31" fillId="0" borderId="0" xfId="9" applyFont="1" applyAlignment="1">
      <alignment horizontal="left" wrapText="1"/>
    </xf>
    <xf numFmtId="166" fontId="8" fillId="0" borderId="0" xfId="15" applyNumberFormat="1" applyFont="1" applyAlignment="1">
      <alignment horizontal="right" vertical="center" indent="4"/>
    </xf>
    <xf numFmtId="0" fontId="4" fillId="0" borderId="0" xfId="15" applyFont="1"/>
    <xf numFmtId="0" fontId="2" fillId="0" borderId="0" xfId="15" applyFont="1"/>
    <xf numFmtId="0" fontId="2" fillId="0" borderId="0" xfId="15" applyFont="1" applyAlignment="1">
      <alignment wrapText="1"/>
    </xf>
    <xf numFmtId="14" fontId="6" fillId="0" borderId="0" xfId="16" applyNumberFormat="1" applyFont="1" applyAlignment="1">
      <alignment horizontal="center" vertical="center" wrapText="1"/>
      <protection locked="0"/>
    </xf>
    <xf numFmtId="0" fontId="18" fillId="0" borderId="0" xfId="6" applyFont="1"/>
    <xf numFmtId="166" fontId="18" fillId="0" borderId="0" xfId="6" applyNumberFormat="1" applyFont="1" applyAlignment="1">
      <alignment horizontal="right" indent="6"/>
    </xf>
    <xf numFmtId="0" fontId="22" fillId="0" borderId="0" xfId="6" applyFont="1" applyAlignment="1">
      <alignment horizontal="left" indent="2"/>
    </xf>
    <xf numFmtId="166" fontId="22" fillId="0" borderId="0" xfId="6" applyNumberFormat="1" applyFont="1" applyAlignment="1">
      <alignment horizontal="right" indent="6"/>
    </xf>
    <xf numFmtId="0" fontId="13" fillId="0" borderId="0" xfId="6"/>
    <xf numFmtId="0" fontId="2" fillId="0" borderId="0" xfId="18" applyFont="1" applyAlignment="1">
      <alignment horizontal="left"/>
    </xf>
    <xf numFmtId="0" fontId="1" fillId="0" borderId="0" xfId="19"/>
    <xf numFmtId="0" fontId="3" fillId="0" borderId="0" xfId="20" applyFont="1"/>
    <xf numFmtId="0" fontId="6" fillId="0" borderId="0" xfId="19" applyFont="1"/>
    <xf numFmtId="0" fontId="5" fillId="0" borderId="2" xfId="19" applyFont="1" applyBorder="1" applyAlignment="1">
      <alignment horizontal="right"/>
    </xf>
    <xf numFmtId="0" fontId="4" fillId="0" borderId="1" xfId="19" applyFont="1" applyBorder="1"/>
    <xf numFmtId="0" fontId="6" fillId="0" borderId="1" xfId="19" applyFont="1" applyBorder="1" applyAlignment="1">
      <alignment horizontal="center" vertical="center" wrapText="1"/>
    </xf>
    <xf numFmtId="0" fontId="6" fillId="0" borderId="1" xfId="19" quotePrefix="1" applyFont="1" applyBorder="1" applyAlignment="1">
      <alignment horizontal="center" vertical="center" wrapText="1"/>
    </xf>
    <xf numFmtId="0" fontId="4" fillId="0" borderId="0" xfId="19" applyFont="1"/>
    <xf numFmtId="0" fontId="6" fillId="0" borderId="0" xfId="19" applyFont="1" applyAlignment="1">
      <alignment horizontal="center" vertical="center" wrapText="1"/>
    </xf>
    <xf numFmtId="0" fontId="6" fillId="0" borderId="2" xfId="19" applyFont="1" applyBorder="1" applyAlignment="1">
      <alignment horizontal="center" vertical="center" wrapText="1"/>
    </xf>
    <xf numFmtId="0" fontId="8" fillId="0" borderId="0" xfId="21" applyFont="1" applyAlignment="1">
      <alignment horizontal="left"/>
    </xf>
    <xf numFmtId="0" fontId="8" fillId="0" borderId="0" xfId="21" applyFont="1"/>
    <xf numFmtId="1" fontId="8" fillId="0" borderId="0" xfId="22" applyNumberFormat="1" applyFont="1" applyAlignment="1">
      <alignment horizontal="right" indent="1"/>
    </xf>
    <xf numFmtId="166" fontId="8" fillId="0" borderId="0" xfId="22" applyNumberFormat="1" applyFont="1" applyAlignment="1">
      <alignment horizontal="right" indent="2"/>
    </xf>
    <xf numFmtId="0" fontId="4" fillId="0" borderId="0" xfId="21" applyFont="1"/>
    <xf numFmtId="0" fontId="5" fillId="0" borderId="0" xfId="21" applyFont="1" applyAlignment="1">
      <alignment horizontal="left"/>
    </xf>
    <xf numFmtId="1" fontId="33" fillId="0" borderId="0" xfId="22" applyNumberFormat="1" applyFont="1" applyAlignment="1">
      <alignment horizontal="right" indent="1"/>
    </xf>
    <xf numFmtId="166" fontId="33" fillId="0" borderId="0" xfId="22" applyNumberFormat="1" applyFont="1" applyAlignment="1">
      <alignment horizontal="right" indent="2"/>
    </xf>
    <xf numFmtId="166" fontId="1" fillId="0" borderId="0" xfId="19" applyNumberFormat="1"/>
    <xf numFmtId="0" fontId="9" fillId="0" borderId="0" xfId="21" applyFont="1"/>
    <xf numFmtId="0" fontId="4" fillId="0" borderId="0" xfId="21" applyFont="1" applyAlignment="1">
      <alignment horizontal="left" indent="1"/>
    </xf>
    <xf numFmtId="1" fontId="34" fillId="0" borderId="0" xfId="22" applyNumberFormat="1" applyFont="1" applyAlignment="1">
      <alignment horizontal="right" indent="1"/>
    </xf>
    <xf numFmtId="166" fontId="34" fillId="0" borderId="0" xfId="22" applyNumberFormat="1" applyFont="1" applyAlignment="1">
      <alignment horizontal="right" indent="2"/>
    </xf>
    <xf numFmtId="166" fontId="4" fillId="0" borderId="0" xfId="22" applyNumberFormat="1" applyAlignment="1">
      <alignment horizontal="right" indent="2"/>
    </xf>
    <xf numFmtId="1" fontId="4" fillId="0" borderId="0" xfId="22" applyNumberFormat="1" applyAlignment="1">
      <alignment horizontal="right" indent="1"/>
    </xf>
    <xf numFmtId="0" fontId="4" fillId="0" borderId="0" xfId="23" applyFont="1" applyAlignment="1">
      <alignment horizontal="left" indent="1"/>
    </xf>
    <xf numFmtId="0" fontId="5" fillId="0" borderId="0" xfId="21" applyFont="1"/>
    <xf numFmtId="166" fontId="4" fillId="0" borderId="0" xfId="19" applyNumberFormat="1" applyFont="1" applyAlignment="1">
      <alignment horizontal="right" indent="1"/>
    </xf>
    <xf numFmtId="166" fontId="4" fillId="0" borderId="0" xfId="19" applyNumberFormat="1" applyFont="1" applyAlignment="1">
      <alignment horizontal="right" indent="2"/>
    </xf>
    <xf numFmtId="0" fontId="4" fillId="0" borderId="0" xfId="24" applyFont="1"/>
    <xf numFmtId="0" fontId="4" fillId="0" borderId="0" xfId="24" applyFont="1" applyAlignment="1">
      <alignment horizontal="left" indent="1"/>
    </xf>
    <xf numFmtId="1" fontId="4" fillId="0" borderId="0" xfId="19" applyNumberFormat="1" applyFont="1" applyAlignment="1">
      <alignment horizontal="right" indent="1"/>
    </xf>
    <xf numFmtId="0" fontId="10" fillId="0" borderId="0" xfId="19" applyFont="1"/>
    <xf numFmtId="0" fontId="2" fillId="0" borderId="0" xfId="25" applyFont="1"/>
    <xf numFmtId="0" fontId="4" fillId="0" borderId="0" xfId="25" applyFont="1"/>
    <xf numFmtId="0" fontId="2" fillId="0" borderId="0" xfId="25" applyFont="1" applyAlignment="1">
      <alignment horizontal="center"/>
    </xf>
    <xf numFmtId="0" fontId="27" fillId="0" borderId="0" xfId="25" applyFont="1"/>
    <xf numFmtId="0" fontId="4" fillId="0" borderId="2" xfId="25" applyFont="1" applyBorder="1"/>
    <xf numFmtId="0" fontId="26" fillId="0" borderId="0" xfId="26"/>
    <xf numFmtId="0" fontId="5" fillId="0" borderId="0" xfId="25" applyFont="1" applyAlignment="1">
      <alignment horizontal="right"/>
    </xf>
    <xf numFmtId="0" fontId="36" fillId="0" borderId="1" xfId="27" applyFont="1" applyBorder="1" applyAlignment="1">
      <alignment horizontal="center" vertical="center" wrapText="1"/>
    </xf>
    <xf numFmtId="0" fontId="37" fillId="0" borderId="1" xfId="28" applyFont="1" applyBorder="1" applyAlignment="1">
      <alignment horizontal="center" vertical="center" wrapText="1"/>
    </xf>
    <xf numFmtId="0" fontId="36" fillId="0" borderId="0" xfId="27" applyFont="1" applyAlignment="1">
      <alignment horizontal="center" vertical="center" wrapText="1"/>
    </xf>
    <xf numFmtId="0" fontId="37" fillId="0" borderId="0" xfId="28" applyFont="1" applyAlignment="1">
      <alignment horizontal="center" vertical="center" wrapText="1"/>
    </xf>
    <xf numFmtId="0" fontId="37" fillId="0" borderId="0" xfId="29" applyFont="1" applyAlignment="1">
      <alignment horizontal="center" vertical="center" wrapText="1"/>
    </xf>
    <xf numFmtId="166" fontId="37" fillId="0" borderId="0" xfId="25" applyNumberFormat="1" applyFont="1" applyAlignment="1">
      <alignment horizontal="center" vertical="center"/>
    </xf>
    <xf numFmtId="0" fontId="26" fillId="0" borderId="2" xfId="27" applyBorder="1" applyAlignment="1">
      <alignment wrapText="1"/>
    </xf>
    <xf numFmtId="166" fontId="37" fillId="0" borderId="2" xfId="25" applyNumberFormat="1" applyFont="1" applyBorder="1" applyAlignment="1">
      <alignment horizontal="center" vertical="center"/>
    </xf>
    <xf numFmtId="0" fontId="26" fillId="0" borderId="0" xfId="27" applyAlignment="1">
      <alignment wrapText="1"/>
    </xf>
    <xf numFmtId="0" fontId="8" fillId="0" borderId="0" xfId="25" applyFont="1"/>
    <xf numFmtId="1" fontId="18" fillId="0" borderId="0" xfId="4" applyNumberFormat="1" applyFont="1" applyFill="1" applyBorder="1" applyAlignment="1">
      <alignment horizontal="right"/>
    </xf>
    <xf numFmtId="1" fontId="18" fillId="0" borderId="0" xfId="4" applyNumberFormat="1" applyFont="1" applyFill="1" applyBorder="1" applyAlignment="1"/>
    <xf numFmtId="166" fontId="18" fillId="0" borderId="0" xfId="4" applyNumberFormat="1" applyFont="1" applyFill="1" applyBorder="1" applyAlignment="1">
      <alignment horizontal="right" indent="1"/>
    </xf>
    <xf numFmtId="166" fontId="8" fillId="0" borderId="0" xfId="25" applyNumberFormat="1" applyFont="1"/>
    <xf numFmtId="0" fontId="4" fillId="0" borderId="0" xfId="25" applyFont="1" applyAlignment="1">
      <alignment horizontal="left" indent="1"/>
    </xf>
    <xf numFmtId="1" fontId="22" fillId="0" borderId="0" xfId="4" applyNumberFormat="1" applyFont="1" applyFill="1" applyBorder="1" applyAlignment="1">
      <alignment horizontal="right"/>
    </xf>
    <xf numFmtId="1" fontId="22" fillId="0" borderId="0" xfId="4" applyNumberFormat="1" applyFont="1" applyFill="1" applyBorder="1" applyAlignment="1"/>
    <xf numFmtId="166" fontId="22" fillId="0" borderId="0" xfId="4" applyNumberFormat="1" applyFont="1" applyFill="1" applyBorder="1" applyAlignment="1">
      <alignment horizontal="right" indent="1"/>
    </xf>
    <xf numFmtId="0" fontId="5" fillId="0" borderId="0" xfId="25" applyFont="1"/>
    <xf numFmtId="1" fontId="4" fillId="0" borderId="0" xfId="25" applyNumberFormat="1" applyFont="1"/>
    <xf numFmtId="166" fontId="4" fillId="0" borderId="0" xfId="25" applyNumberFormat="1" applyFont="1"/>
    <xf numFmtId="0" fontId="4" fillId="0" borderId="0" xfId="28" applyFont="1"/>
    <xf numFmtId="166" fontId="4" fillId="0" borderId="0" xfId="28" applyNumberFormat="1" applyFont="1"/>
    <xf numFmtId="0" fontId="2" fillId="0" borderId="0" xfId="30" applyFont="1"/>
    <xf numFmtId="0" fontId="38" fillId="0" borderId="0" xfId="31" applyFont="1"/>
    <xf numFmtId="0" fontId="26" fillId="0" borderId="0" xfId="27"/>
    <xf numFmtId="0" fontId="13" fillId="0" borderId="0" xfId="32"/>
    <xf numFmtId="0" fontId="39" fillId="0" borderId="0" xfId="31" applyFont="1" applyAlignment="1">
      <alignment horizontal="left"/>
    </xf>
    <xf numFmtId="0" fontId="40" fillId="0" borderId="0" xfId="31" applyFont="1" applyAlignment="1">
      <alignment horizontal="left"/>
    </xf>
    <xf numFmtId="0" fontId="4" fillId="0" borderId="0" xfId="31" applyFont="1"/>
    <xf numFmtId="0" fontId="4" fillId="0" borderId="0" xfId="31" applyFont="1" applyAlignment="1">
      <alignment horizontal="center"/>
    </xf>
    <xf numFmtId="0" fontId="5" fillId="0" borderId="0" xfId="31" applyFont="1" applyAlignment="1">
      <alignment horizontal="right"/>
    </xf>
    <xf numFmtId="0" fontId="4" fillId="0" borderId="1" xfId="31" applyFont="1" applyBorder="1" applyAlignment="1">
      <alignment vertical="center" wrapText="1"/>
    </xf>
    <xf numFmtId="0" fontId="41" fillId="0" borderId="1" xfId="33" applyFont="1" applyBorder="1" applyAlignment="1">
      <alignment horizontal="center" vertical="center" wrapText="1"/>
    </xf>
    <xf numFmtId="0" fontId="4" fillId="0" borderId="0" xfId="31" applyFont="1" applyAlignment="1">
      <alignment vertical="center" wrapText="1"/>
    </xf>
    <xf numFmtId="0" fontId="41" fillId="0" borderId="0" xfId="33" applyFont="1" applyAlignment="1">
      <alignment horizontal="center" vertical="center" wrapText="1"/>
    </xf>
    <xf numFmtId="0" fontId="6" fillId="0" borderId="0" xfId="34" applyFont="1" applyAlignment="1">
      <alignment horizontal="center" vertical="center" wrapText="1"/>
    </xf>
    <xf numFmtId="0" fontId="6" fillId="0" borderId="2" xfId="34" applyFont="1" applyBorder="1" applyAlignment="1">
      <alignment horizontal="center" vertical="center" wrapText="1"/>
    </xf>
    <xf numFmtId="0" fontId="17" fillId="0" borderId="0" xfId="35" applyFont="1" applyAlignment="1">
      <alignment horizontal="left"/>
    </xf>
    <xf numFmtId="166" fontId="8" fillId="2" borderId="0" xfId="6" applyNumberFormat="1" applyFont="1" applyFill="1" applyAlignment="1">
      <alignment vertical="center"/>
    </xf>
    <xf numFmtId="166" fontId="8" fillId="2" borderId="0" xfId="6" applyNumberFormat="1" applyFont="1" applyFill="1" applyAlignment="1">
      <alignment horizontal="right" vertical="center" indent="1"/>
    </xf>
    <xf numFmtId="0" fontId="5" fillId="0" borderId="0" xfId="35" applyFont="1"/>
    <xf numFmtId="0" fontId="4" fillId="0" borderId="0" xfId="35" applyFont="1" applyAlignment="1">
      <alignment horizontal="left" indent="1"/>
    </xf>
    <xf numFmtId="166" fontId="4" fillId="2" borderId="0" xfId="6" applyNumberFormat="1" applyFont="1" applyFill="1" applyAlignment="1">
      <alignment vertical="center"/>
    </xf>
    <xf numFmtId="166" fontId="4" fillId="2" borderId="0" xfId="6" applyNumberFormat="1" applyFont="1" applyFill="1" applyAlignment="1">
      <alignment horizontal="right" vertical="center" indent="1"/>
    </xf>
    <xf numFmtId="166" fontId="13" fillId="0" borderId="0" xfId="32" applyNumberFormat="1"/>
    <xf numFmtId="166" fontId="4" fillId="0" borderId="0" xfId="6" applyNumberFormat="1" applyFont="1" applyAlignment="1">
      <alignment horizontal="right" vertical="center" indent="1"/>
    </xf>
    <xf numFmtId="166" fontId="22" fillId="0" borderId="0" xfId="32" applyNumberFormat="1" applyFont="1"/>
    <xf numFmtId="166" fontId="22" fillId="0" borderId="0" xfId="32" applyNumberFormat="1" applyFont="1" applyAlignment="1">
      <alignment horizontal="right" indent="1"/>
    </xf>
    <xf numFmtId="166" fontId="26" fillId="0" borderId="0" xfId="27" applyNumberFormat="1"/>
    <xf numFmtId="0" fontId="1" fillId="0" borderId="0" xfId="30"/>
    <xf numFmtId="0" fontId="42" fillId="0" borderId="0" xfId="31" applyFont="1"/>
    <xf numFmtId="0" fontId="43" fillId="0" borderId="0" xfId="31" applyFont="1"/>
    <xf numFmtId="0" fontId="30" fillId="0" borderId="0" xfId="36"/>
    <xf numFmtId="0" fontId="44" fillId="0" borderId="0" xfId="31" applyFont="1"/>
    <xf numFmtId="0" fontId="4" fillId="0" borderId="0" xfId="37"/>
    <xf numFmtId="0" fontId="6" fillId="0" borderId="0" xfId="31" applyFont="1" applyAlignment="1">
      <alignment horizontal="center" vertical="top" wrapText="1"/>
    </xf>
    <xf numFmtId="1" fontId="6" fillId="0" borderId="0" xfId="38" applyNumberFormat="1" applyFont="1" applyAlignment="1">
      <alignment horizontal="center" vertical="top" wrapText="1"/>
    </xf>
    <xf numFmtId="0" fontId="6" fillId="0" borderId="0" xfId="25" applyFont="1" applyAlignment="1">
      <alignment horizontal="center" vertical="top" wrapText="1"/>
    </xf>
    <xf numFmtId="166" fontId="8" fillId="2" borderId="0" xfId="6" applyNumberFormat="1" applyFont="1" applyFill="1" applyAlignment="1">
      <alignment horizontal="right" vertical="center" indent="2"/>
    </xf>
    <xf numFmtId="166" fontId="4" fillId="2" borderId="0" xfId="6" applyNumberFormat="1" applyFont="1" applyFill="1" applyAlignment="1">
      <alignment horizontal="right" vertical="center" indent="2"/>
    </xf>
    <xf numFmtId="166" fontId="4" fillId="0" borderId="0" xfId="6" applyNumberFormat="1" applyFont="1" applyAlignment="1">
      <alignment horizontal="right" vertical="center" indent="2"/>
    </xf>
    <xf numFmtId="166" fontId="4" fillId="0" borderId="0" xfId="6" applyNumberFormat="1" applyFont="1" applyAlignment="1">
      <alignment vertical="center"/>
    </xf>
    <xf numFmtId="166" fontId="22" fillId="0" borderId="0" xfId="32" applyNumberFormat="1" applyFont="1" applyAlignment="1">
      <alignment horizontal="right" indent="2"/>
    </xf>
    <xf numFmtId="0" fontId="45" fillId="0" borderId="0" xfId="31" applyFont="1"/>
    <xf numFmtId="0" fontId="46" fillId="0" borderId="0" xfId="31" applyFont="1"/>
    <xf numFmtId="0" fontId="47" fillId="0" borderId="0" xfId="31" applyFont="1"/>
    <xf numFmtId="0" fontId="22" fillId="0" borderId="0" xfId="31" applyFont="1"/>
    <xf numFmtId="0" fontId="22" fillId="0" borderId="0" xfId="31" applyFont="1" applyAlignment="1">
      <alignment horizontal="center"/>
    </xf>
    <xf numFmtId="0" fontId="22" fillId="0" borderId="2" xfId="31" applyFont="1" applyBorder="1" applyAlignment="1">
      <alignment horizontal="center"/>
    </xf>
    <xf numFmtId="0" fontId="48" fillId="0" borderId="0" xfId="31" applyFont="1" applyAlignment="1">
      <alignment horizontal="right"/>
    </xf>
    <xf numFmtId="0" fontId="22" fillId="0" borderId="1" xfId="31" applyFont="1" applyBorder="1" applyAlignment="1">
      <alignment vertical="center" wrapText="1"/>
    </xf>
    <xf numFmtId="0" fontId="22" fillId="0" borderId="0" xfId="33" applyFont="1" applyAlignment="1">
      <alignment horizontal="center" vertical="center" wrapText="1"/>
    </xf>
    <xf numFmtId="0" fontId="22" fillId="0" borderId="1" xfId="33" applyFont="1" applyBorder="1" applyAlignment="1">
      <alignment horizontal="center" vertical="center" wrapText="1"/>
    </xf>
    <xf numFmtId="0" fontId="22" fillId="0" borderId="0" xfId="31" applyFont="1" applyAlignment="1">
      <alignment vertical="center" wrapText="1"/>
    </xf>
    <xf numFmtId="0" fontId="22" fillId="0" borderId="0" xfId="34" applyFont="1" applyAlignment="1">
      <alignment horizontal="center" vertical="center" wrapText="1"/>
    </xf>
    <xf numFmtId="0" fontId="22" fillId="0" borderId="2" xfId="34" applyFont="1" applyBorder="1" applyAlignment="1">
      <alignment horizontal="center" vertical="center" wrapText="1"/>
    </xf>
    <xf numFmtId="0" fontId="22" fillId="0" borderId="0" xfId="31" applyFont="1" applyAlignment="1">
      <alignment horizontal="center" vertical="top" wrapText="1"/>
    </xf>
    <xf numFmtId="1" fontId="22" fillId="0" borderId="0" xfId="38" applyNumberFormat="1" applyFont="1" applyAlignment="1">
      <alignment horizontal="center" vertical="top" wrapText="1"/>
    </xf>
    <xf numFmtId="0" fontId="22" fillId="0" borderId="0" xfId="25" applyFont="1" applyAlignment="1">
      <alignment horizontal="center" vertical="top" wrapText="1"/>
    </xf>
    <xf numFmtId="0" fontId="18" fillId="0" borderId="0" xfId="39" applyFont="1"/>
    <xf numFmtId="1" fontId="8" fillId="0" borderId="0" xfId="40" applyNumberFormat="1" applyFont="1" applyBorder="1" applyAlignment="1">
      <alignment horizontal="right" vertical="center" wrapText="1"/>
    </xf>
    <xf numFmtId="166" fontId="8" fillId="0" borderId="0" xfId="40" applyNumberFormat="1" applyFont="1" applyBorder="1" applyAlignment="1">
      <alignment horizontal="right" vertical="center" wrapText="1" indent="2"/>
    </xf>
    <xf numFmtId="0" fontId="18" fillId="0" borderId="0" xfId="41" applyFont="1"/>
    <xf numFmtId="1" fontId="8" fillId="0" borderId="0" xfId="42" applyNumberFormat="1" applyFont="1" applyAlignment="1">
      <alignment horizontal="right" vertical="center" wrapText="1"/>
    </xf>
    <xf numFmtId="166" fontId="8" fillId="0" borderId="0" xfId="42" applyNumberFormat="1" applyFont="1" applyAlignment="1">
      <alignment horizontal="right" vertical="center" wrapText="1" indent="2"/>
    </xf>
    <xf numFmtId="0" fontId="22" fillId="0" borderId="0" xfId="39" applyFont="1" applyAlignment="1">
      <alignment horizontal="left" indent="1"/>
    </xf>
    <xf numFmtId="1" fontId="4" fillId="0" borderId="0" xfId="40" applyNumberFormat="1" applyFont="1" applyBorder="1" applyAlignment="1">
      <alignment horizontal="right" vertical="center" wrapText="1"/>
    </xf>
    <xf numFmtId="166" fontId="4" fillId="0" borderId="0" xfId="40" applyNumberFormat="1" applyFont="1" applyBorder="1" applyAlignment="1">
      <alignment horizontal="right" vertical="center" wrapText="1" indent="2"/>
    </xf>
    <xf numFmtId="0" fontId="18" fillId="0" borderId="0" xfId="31" applyFont="1"/>
    <xf numFmtId="1" fontId="4" fillId="0" borderId="0" xfId="42" applyNumberFormat="1" applyFont="1" applyAlignment="1">
      <alignment horizontal="right" vertical="center" wrapText="1"/>
    </xf>
    <xf numFmtId="166" fontId="4" fillId="0" borderId="0" xfId="42" applyNumberFormat="1" applyFont="1" applyAlignment="1">
      <alignment horizontal="right" vertical="center" wrapText="1" indent="2"/>
    </xf>
    <xf numFmtId="0" fontId="18" fillId="0" borderId="0" xfId="39" applyFont="1" applyAlignment="1">
      <alignment horizontal="left" indent="1"/>
    </xf>
    <xf numFmtId="0" fontId="22" fillId="0" borderId="0" xfId="39" applyFont="1" applyAlignment="1">
      <alignment horizontal="left" indent="2"/>
    </xf>
    <xf numFmtId="1" fontId="22" fillId="0" borderId="0" xfId="40" applyNumberFormat="1" applyFont="1" applyBorder="1" applyAlignment="1">
      <alignment horizontal="right" vertical="center" wrapText="1"/>
    </xf>
    <xf numFmtId="166" fontId="22" fillId="0" borderId="0" xfId="40" applyNumberFormat="1" applyFont="1" applyBorder="1" applyAlignment="1">
      <alignment horizontal="right" vertical="center" wrapText="1" indent="2"/>
    </xf>
    <xf numFmtId="1" fontId="4" fillId="2" borderId="0" xfId="40" applyNumberFormat="1" applyFont="1" applyFill="1" applyBorder="1" applyAlignment="1">
      <alignment horizontal="right" vertical="center" wrapText="1"/>
    </xf>
    <xf numFmtId="166" fontId="4" fillId="2" borderId="0" xfId="40" applyNumberFormat="1" applyFont="1" applyFill="1" applyBorder="1" applyAlignment="1">
      <alignment horizontal="right" vertical="center" wrapText="1" indent="2"/>
    </xf>
    <xf numFmtId="1" fontId="18" fillId="0" borderId="0" xfId="40" applyNumberFormat="1" applyFont="1" applyBorder="1" applyAlignment="1">
      <alignment horizontal="right" vertical="center" wrapText="1"/>
    </xf>
    <xf numFmtId="166" fontId="18" fillId="0" borderId="0" xfId="40" applyNumberFormat="1" applyFont="1" applyBorder="1" applyAlignment="1">
      <alignment horizontal="right" vertical="center" wrapText="1" indent="2"/>
    </xf>
    <xf numFmtId="1" fontId="13" fillId="0" borderId="0" xfId="32" applyNumberFormat="1"/>
    <xf numFmtId="0" fontId="4" fillId="0" borderId="0" xfId="42" applyFont="1" applyAlignment="1">
      <alignment horizontal="left" indent="2"/>
    </xf>
    <xf numFmtId="1" fontId="4" fillId="0" borderId="0" xfId="40" applyNumberFormat="1" applyFont="1" applyFill="1" applyBorder="1" applyAlignment="1">
      <alignment horizontal="right" vertical="center" wrapText="1"/>
    </xf>
    <xf numFmtId="166" fontId="4" fillId="0" borderId="0" xfId="40" applyNumberFormat="1" applyFont="1" applyFill="1" applyBorder="1" applyAlignment="1">
      <alignment horizontal="right" vertical="center" wrapText="1" indent="2"/>
    </xf>
    <xf numFmtId="0" fontId="50" fillId="0" borderId="0" xfId="31" applyFont="1"/>
    <xf numFmtId="0" fontId="51" fillId="0" borderId="0" xfId="43" applyFont="1"/>
    <xf numFmtId="1" fontId="50" fillId="0" borderId="0" xfId="31" applyNumberFormat="1" applyFont="1"/>
    <xf numFmtId="0" fontId="51" fillId="0" borderId="0" xfId="33" applyFont="1"/>
    <xf numFmtId="0" fontId="52" fillId="0" borderId="0" xfId="31" applyFont="1"/>
    <xf numFmtId="0" fontId="53" fillId="0" borderId="0" xfId="31" applyFont="1"/>
    <xf numFmtId="0" fontId="54" fillId="0" borderId="0" xfId="31" applyFont="1"/>
    <xf numFmtId="1" fontId="3" fillId="0" borderId="0" xfId="44" applyNumberFormat="1" applyFont="1"/>
    <xf numFmtId="0" fontId="55" fillId="0" borderId="0" xfId="45" applyFont="1"/>
    <xf numFmtId="0" fontId="55" fillId="0" borderId="0" xfId="44" applyFont="1"/>
    <xf numFmtId="1" fontId="56" fillId="0" borderId="0" xfId="44" applyNumberFormat="1" applyFont="1" applyAlignment="1">
      <alignment horizontal="center"/>
    </xf>
    <xf numFmtId="0" fontId="6" fillId="0" borderId="0" xfId="45" applyFont="1"/>
    <xf numFmtId="0" fontId="6" fillId="0" borderId="0" xfId="44" applyFont="1"/>
    <xf numFmtId="0" fontId="16" fillId="0" borderId="2" xfId="44" applyFont="1" applyBorder="1"/>
    <xf numFmtId="0" fontId="6" fillId="0" borderId="2" xfId="44" applyFont="1" applyBorder="1"/>
    <xf numFmtId="0" fontId="16" fillId="0" borderId="2" xfId="44" applyFont="1" applyBorder="1" applyAlignment="1">
      <alignment horizontal="right"/>
    </xf>
    <xf numFmtId="0" fontId="55" fillId="0" borderId="1" xfId="44" applyFont="1" applyBorder="1"/>
    <xf numFmtId="0" fontId="6" fillId="0" borderId="1" xfId="45" applyFont="1" applyBorder="1" applyAlignment="1">
      <alignment horizontal="center"/>
    </xf>
    <xf numFmtId="0" fontId="41" fillId="0" borderId="1" xfId="46" applyFont="1" applyBorder="1" applyAlignment="1">
      <alignment horizontal="center" wrapText="1"/>
    </xf>
    <xf numFmtId="0" fontId="6" fillId="0" borderId="0" xfId="45" applyFont="1" applyAlignment="1">
      <alignment horizontal="center"/>
    </xf>
    <xf numFmtId="0" fontId="41" fillId="0" borderId="0" xfId="46" applyFont="1" applyAlignment="1">
      <alignment horizontal="center" wrapText="1"/>
    </xf>
    <xf numFmtId="0" fontId="41" fillId="0" borderId="2" xfId="46" applyFont="1" applyBorder="1" applyAlignment="1">
      <alignment horizontal="center" wrapText="1"/>
    </xf>
    <xf numFmtId="1" fontId="6" fillId="0" borderId="2" xfId="45" applyNumberFormat="1" applyFont="1" applyBorder="1" applyAlignment="1">
      <alignment horizontal="center"/>
    </xf>
    <xf numFmtId="166" fontId="6" fillId="0" borderId="2" xfId="45" applyNumberFormat="1" applyFont="1" applyBorder="1" applyAlignment="1">
      <alignment horizontal="center"/>
    </xf>
    <xf numFmtId="0" fontId="57" fillId="0" borderId="0" xfId="45" applyFont="1" applyAlignment="1">
      <alignment horizontal="center" wrapText="1"/>
    </xf>
    <xf numFmtId="166" fontId="6" fillId="0" borderId="0" xfId="44" applyNumberFormat="1" applyFont="1"/>
    <xf numFmtId="49" fontId="15" fillId="0" borderId="0" xfId="47" applyNumberFormat="1" applyFont="1" applyFill="1" applyBorder="1" applyAlignment="1"/>
    <xf numFmtId="0" fontId="15" fillId="0" borderId="0" xfId="44" applyFont="1"/>
    <xf numFmtId="1" fontId="15" fillId="0" borderId="0" xfId="44" applyNumberFormat="1" applyFont="1"/>
    <xf numFmtId="166" fontId="15" fillId="0" borderId="0" xfId="44" applyNumberFormat="1" applyFont="1"/>
    <xf numFmtId="0" fontId="56" fillId="0" borderId="0" xfId="44" applyFont="1"/>
    <xf numFmtId="1" fontId="56" fillId="0" borderId="0" xfId="44" applyNumberFormat="1" applyFont="1"/>
    <xf numFmtId="49" fontId="15" fillId="0" borderId="0" xfId="45" applyNumberFormat="1" applyFont="1" applyAlignment="1">
      <alignment horizontal="left"/>
    </xf>
    <xf numFmtId="49" fontId="6" fillId="0" borderId="0" xfId="45" applyNumberFormat="1" applyFont="1" applyAlignment="1">
      <alignment horizontal="left"/>
    </xf>
    <xf numFmtId="1" fontId="6" fillId="0" borderId="0" xfId="44" applyNumberFormat="1" applyFont="1"/>
    <xf numFmtId="0" fontId="6" fillId="0" borderId="0" xfId="45" applyFont="1" applyAlignment="1">
      <alignment horizontal="left"/>
    </xf>
    <xf numFmtId="0" fontId="15" fillId="0" borderId="0" xfId="45" applyFont="1"/>
    <xf numFmtId="0" fontId="4" fillId="0" borderId="0" xfId="45" applyAlignment="1">
      <alignment horizontal="left"/>
    </xf>
    <xf numFmtId="0" fontId="6" fillId="0" borderId="0" xfId="45" applyFont="1" applyAlignment="1">
      <alignment horizontal="left" wrapText="1"/>
    </xf>
    <xf numFmtId="0" fontId="4" fillId="0" borderId="0" xfId="45" applyAlignment="1">
      <alignment horizontal="left" wrapText="1"/>
    </xf>
    <xf numFmtId="0" fontId="6" fillId="0" borderId="0" xfId="48" applyFont="1"/>
    <xf numFmtId="0" fontId="4" fillId="0" borderId="0" xfId="48"/>
    <xf numFmtId="0" fontId="6" fillId="0" borderId="1" xfId="44" applyFont="1" applyBorder="1"/>
    <xf numFmtId="166" fontId="6" fillId="0" borderId="2" xfId="45" applyNumberFormat="1" applyFont="1" applyBorder="1" applyAlignment="1">
      <alignment horizontal="center" vertical="center"/>
    </xf>
    <xf numFmtId="1" fontId="6" fillId="0" borderId="2" xfId="45" applyNumberFormat="1" applyFont="1" applyBorder="1" applyAlignment="1">
      <alignment horizontal="center" vertical="center"/>
    </xf>
    <xf numFmtId="1" fontId="6" fillId="0" borderId="2" xfId="44" applyNumberFormat="1" applyFont="1" applyBorder="1" applyAlignment="1">
      <alignment horizontal="center"/>
    </xf>
    <xf numFmtId="49" fontId="15" fillId="0" borderId="0" xfId="49" applyNumberFormat="1" applyFont="1" applyFill="1" applyBorder="1" applyAlignment="1"/>
    <xf numFmtId="1" fontId="6" fillId="0" borderId="0" xfId="48" applyNumberFormat="1" applyFont="1"/>
    <xf numFmtId="1" fontId="15" fillId="0" borderId="0" xfId="48" applyNumberFormat="1" applyFont="1"/>
    <xf numFmtId="166" fontId="15" fillId="0" borderId="0" xfId="48" applyNumberFormat="1" applyFont="1"/>
    <xf numFmtId="1" fontId="15" fillId="0" borderId="0" xfId="38" applyNumberFormat="1" applyFont="1"/>
    <xf numFmtId="1" fontId="6" fillId="0" borderId="0" xfId="38" applyNumberFormat="1" applyFont="1"/>
    <xf numFmtId="166" fontId="6" fillId="0" borderId="0" xfId="48" applyNumberFormat="1" applyFont="1"/>
    <xf numFmtId="166" fontId="6" fillId="0" borderId="0" xfId="48" applyNumberFormat="1" applyFont="1" applyAlignment="1">
      <alignment horizontal="right"/>
    </xf>
    <xf numFmtId="1" fontId="41" fillId="0" borderId="0" xfId="38" applyNumberFormat="1" applyFont="1"/>
    <xf numFmtId="0" fontId="23" fillId="0" borderId="1" xfId="45" applyFont="1" applyBorder="1"/>
    <xf numFmtId="0" fontId="28" fillId="0" borderId="0" xfId="44" applyFont="1"/>
    <xf numFmtId="0" fontId="27" fillId="0" borderId="0" xfId="44" applyFont="1"/>
    <xf numFmtId="0" fontId="58" fillId="0" borderId="0" xfId="45" applyFont="1"/>
    <xf numFmtId="0" fontId="37" fillId="0" borderId="0" xfId="44" applyFont="1"/>
    <xf numFmtId="0" fontId="37" fillId="0" borderId="0" xfId="45" applyFont="1"/>
    <xf numFmtId="0" fontId="27" fillId="0" borderId="0" xfId="45" applyFont="1"/>
    <xf numFmtId="0" fontId="2" fillId="0" borderId="0" xfId="50" applyFont="1"/>
    <xf numFmtId="0" fontId="39" fillId="0" borderId="0" xfId="51" applyFont="1" applyAlignment="1">
      <alignment horizontal="left"/>
    </xf>
    <xf numFmtId="0" fontId="1" fillId="0" borderId="0" xfId="51" applyFont="1"/>
    <xf numFmtId="0" fontId="4" fillId="0" borderId="0" xfId="50"/>
    <xf numFmtId="0" fontId="27" fillId="0" borderId="0" xfId="51" applyFont="1"/>
    <xf numFmtId="0" fontId="4" fillId="0" borderId="0" xfId="51" applyFont="1"/>
    <xf numFmtId="0" fontId="27" fillId="0" borderId="0" xfId="50" applyFont="1"/>
    <xf numFmtId="0" fontId="5" fillId="0" borderId="0" xfId="51" applyFont="1" applyAlignment="1">
      <alignment horizontal="right"/>
    </xf>
    <xf numFmtId="0" fontId="27" fillId="0" borderId="1" xfId="51" applyFont="1" applyBorder="1"/>
    <xf numFmtId="0" fontId="4" fillId="0" borderId="1" xfId="51" applyFont="1" applyBorder="1"/>
    <xf numFmtId="0" fontId="37" fillId="0" borderId="1" xfId="51" applyFont="1" applyBorder="1" applyAlignment="1">
      <alignment horizontal="center" vertical="center"/>
    </xf>
    <xf numFmtId="0" fontId="37" fillId="0" borderId="0" xfId="51" applyFont="1" applyAlignment="1">
      <alignment horizontal="center" vertical="center"/>
    </xf>
    <xf numFmtId="0" fontId="37" fillId="0" borderId="2" xfId="51" quotePrefix="1" applyFont="1" applyBorder="1" applyAlignment="1">
      <alignment horizontal="center" vertical="center"/>
    </xf>
    <xf numFmtId="0" fontId="37" fillId="0" borderId="2" xfId="51" applyFont="1" applyBorder="1" applyAlignment="1">
      <alignment horizontal="center" vertical="center"/>
    </xf>
    <xf numFmtId="0" fontId="10" fillId="0" borderId="0" xfId="51" applyFont="1"/>
    <xf numFmtId="2" fontId="4" fillId="0" borderId="0" xfId="50" applyNumberFormat="1"/>
    <xf numFmtId="2" fontId="4" fillId="0" borderId="0" xfId="50" applyNumberFormat="1" applyAlignment="1">
      <alignment horizontal="right" indent="1"/>
    </xf>
    <xf numFmtId="0" fontId="60" fillId="0" borderId="0" xfId="51" applyFont="1" applyAlignment="1">
      <alignment horizontal="left"/>
    </xf>
    <xf numFmtId="2" fontId="8" fillId="0" borderId="0" xfId="50" applyNumberFormat="1" applyFont="1" applyAlignment="1">
      <alignment horizontal="right" indent="1"/>
    </xf>
    <xf numFmtId="2" fontId="8" fillId="0" borderId="0" xfId="50" applyNumberFormat="1" applyFont="1" applyAlignment="1">
      <alignment horizontal="right" indent="2"/>
    </xf>
    <xf numFmtId="0" fontId="37" fillId="0" borderId="0" xfId="51" applyFont="1"/>
    <xf numFmtId="2" fontId="4" fillId="0" borderId="0" xfId="50" applyNumberFormat="1" applyAlignment="1">
      <alignment horizontal="right" indent="2"/>
    </xf>
    <xf numFmtId="0" fontId="61" fillId="0" borderId="0" xfId="51" applyFont="1"/>
    <xf numFmtId="2" fontId="4" fillId="0" borderId="0" xfId="52" applyNumberFormat="1" applyFont="1" applyAlignment="1">
      <alignment horizontal="right" indent="1"/>
    </xf>
    <xf numFmtId="2" fontId="15" fillId="0" borderId="0" xfId="52" applyNumberFormat="1" applyFont="1" applyAlignment="1">
      <alignment horizontal="right"/>
    </xf>
    <xf numFmtId="166" fontId="60" fillId="0" borderId="0" xfId="51" applyNumberFormat="1" applyFont="1" applyAlignment="1">
      <alignment horizontal="center"/>
    </xf>
    <xf numFmtId="0" fontId="8" fillId="0" borderId="0" xfId="50" applyFont="1" applyAlignment="1">
      <alignment horizontal="right" indent="1"/>
    </xf>
    <xf numFmtId="0" fontId="22" fillId="0" borderId="0" xfId="0" applyFont="1"/>
    <xf numFmtId="166" fontId="8" fillId="2" borderId="0" xfId="6" applyNumberFormat="1" applyFont="1" applyFill="1"/>
    <xf numFmtId="166" fontId="8" fillId="2" borderId="0" xfId="6" applyNumberFormat="1" applyFont="1" applyFill="1" applyAlignment="1">
      <alignment horizontal="right" indent="1"/>
    </xf>
    <xf numFmtId="166" fontId="8" fillId="2" borderId="0" xfId="6" applyNumberFormat="1" applyFont="1" applyFill="1" applyAlignment="1">
      <alignment horizontal="right" indent="2"/>
    </xf>
    <xf numFmtId="0" fontId="45" fillId="0" borderId="0" xfId="53" applyFont="1"/>
    <xf numFmtId="0" fontId="46" fillId="0" borderId="0" xfId="54" applyFont="1"/>
    <xf numFmtId="0" fontId="62" fillId="0" borderId="0" xfId="53" applyFont="1"/>
    <xf numFmtId="0" fontId="22" fillId="0" borderId="0" xfId="54" applyFont="1"/>
    <xf numFmtId="0" fontId="41" fillId="0" borderId="0" xfId="53" applyFont="1"/>
    <xf numFmtId="0" fontId="41" fillId="0" borderId="0" xfId="54" applyFont="1"/>
    <xf numFmtId="0" fontId="63" fillId="0" borderId="0" xfId="54" applyFont="1"/>
    <xf numFmtId="0" fontId="63" fillId="0" borderId="0" xfId="54" applyFont="1" applyAlignment="1">
      <alignment horizontal="right"/>
    </xf>
    <xf numFmtId="0" fontId="19" fillId="0" borderId="0" xfId="54" applyFont="1" applyAlignment="1">
      <alignment horizontal="center" vertical="center"/>
    </xf>
    <xf numFmtId="0" fontId="19" fillId="0" borderId="0" xfId="54" quotePrefix="1" applyFont="1" applyAlignment="1">
      <alignment horizontal="center" vertical="center"/>
    </xf>
    <xf numFmtId="0" fontId="22" fillId="0" borderId="1" xfId="53" applyFont="1" applyBorder="1"/>
    <xf numFmtId="0" fontId="64" fillId="0" borderId="1" xfId="26" applyFont="1" applyBorder="1" applyAlignment="1">
      <alignment horizontal="center" vertical="center" wrapText="1"/>
    </xf>
    <xf numFmtId="0" fontId="36" fillId="0" borderId="1" xfId="53" quotePrefix="1" applyFont="1" applyBorder="1" applyAlignment="1">
      <alignment horizontal="center" vertical="center"/>
    </xf>
    <xf numFmtId="0" fontId="22" fillId="0" borderId="0" xfId="53" applyFont="1"/>
    <xf numFmtId="166" fontId="22" fillId="0" borderId="0" xfId="53" applyNumberFormat="1" applyFont="1"/>
    <xf numFmtId="166" fontId="22" fillId="0" borderId="0" xfId="55" applyNumberFormat="1" applyFont="1"/>
    <xf numFmtId="0" fontId="64" fillId="0" borderId="0" xfId="26" applyFont="1" applyAlignment="1">
      <alignment horizontal="center" vertical="center" wrapText="1"/>
    </xf>
    <xf numFmtId="0" fontId="36" fillId="0" borderId="0" xfId="53" applyFont="1" applyAlignment="1">
      <alignment horizontal="center" vertical="center"/>
    </xf>
    <xf numFmtId="0" fontId="37" fillId="0" borderId="0" xfId="10" applyFont="1" applyAlignment="1">
      <alignment horizontal="center" vertical="center"/>
    </xf>
    <xf numFmtId="2" fontId="22" fillId="0" borderId="0" xfId="55" applyNumberFormat="1" applyFont="1"/>
    <xf numFmtId="0" fontId="64" fillId="0" borderId="2" xfId="26" applyFont="1" applyBorder="1" applyAlignment="1">
      <alignment horizontal="center" vertical="center" wrapText="1"/>
    </xf>
    <xf numFmtId="0" fontId="37" fillId="0" borderId="2" xfId="10" applyFont="1" applyBorder="1" applyAlignment="1">
      <alignment horizontal="center" vertical="center"/>
    </xf>
    <xf numFmtId="0" fontId="36" fillId="0" borderId="2" xfId="53" applyFont="1" applyBorder="1" applyAlignment="1">
      <alignment horizontal="center" vertical="center"/>
    </xf>
    <xf numFmtId="0" fontId="22" fillId="0" borderId="0" xfId="54" applyFont="1" applyAlignment="1">
      <alignment horizontal="center" vertical="center" wrapText="1"/>
    </xf>
    <xf numFmtId="0" fontId="36" fillId="0" borderId="0" xfId="53" applyFont="1" applyAlignment="1">
      <alignment vertical="center"/>
    </xf>
    <xf numFmtId="1" fontId="22" fillId="0" borderId="0" xfId="56" applyNumberFormat="1" applyFont="1" applyAlignment="1">
      <alignment horizontal="right" vertical="center"/>
    </xf>
    <xf numFmtId="166" fontId="22" fillId="0" borderId="0" xfId="53" applyNumberFormat="1" applyFont="1" applyAlignment="1">
      <alignment vertical="center"/>
    </xf>
    <xf numFmtId="3" fontId="52" fillId="0" borderId="4" xfId="57" applyNumberFormat="1" applyFont="1" applyBorder="1" applyAlignment="1">
      <alignment horizontal="center" vertical="center"/>
    </xf>
    <xf numFmtId="3" fontId="65" fillId="0" borderId="4" xfId="57" applyNumberFormat="1" applyFont="1" applyBorder="1" applyAlignment="1">
      <alignment horizontal="center" vertical="center" wrapText="1"/>
    </xf>
    <xf numFmtId="0" fontId="36" fillId="0" borderId="0" xfId="53" applyFont="1" applyAlignment="1">
      <alignment vertical="center" wrapText="1"/>
    </xf>
    <xf numFmtId="166" fontId="22" fillId="0" borderId="0" xfId="56" applyNumberFormat="1" applyFont="1" applyAlignment="1">
      <alignment horizontal="right" vertical="center"/>
    </xf>
    <xf numFmtId="0" fontId="18" fillId="0" borderId="0" xfId="53" applyFont="1"/>
    <xf numFmtId="0" fontId="66" fillId="0" borderId="4" xfId="57" applyFont="1" applyBorder="1" applyAlignment="1">
      <alignment horizontal="center" vertical="center"/>
    </xf>
    <xf numFmtId="0" fontId="67" fillId="0" borderId="0" xfId="53" applyFont="1"/>
    <xf numFmtId="1" fontId="67" fillId="0" borderId="0" xfId="53" applyNumberFormat="1" applyFont="1"/>
    <xf numFmtId="2" fontId="41" fillId="0" borderId="0" xfId="53" applyNumberFormat="1" applyFont="1"/>
    <xf numFmtId="0" fontId="13" fillId="0" borderId="0" xfId="53"/>
    <xf numFmtId="0" fontId="46" fillId="0" borderId="0" xfId="53" applyFont="1"/>
    <xf numFmtId="0" fontId="33" fillId="0" borderId="0" xfId="53" applyFont="1" applyAlignment="1">
      <alignment horizontal="right"/>
    </xf>
    <xf numFmtId="0" fontId="68" fillId="0" borderId="1" xfId="53" applyFont="1" applyBorder="1" applyAlignment="1">
      <alignment horizontal="center" wrapText="1"/>
    </xf>
    <xf numFmtId="0" fontId="6" fillId="0" borderId="1" xfId="10" quotePrefix="1" applyFont="1" applyBorder="1" applyAlignment="1">
      <alignment horizontal="center" vertical="center" wrapText="1"/>
    </xf>
    <xf numFmtId="0" fontId="6" fillId="0" borderId="1" xfId="10" applyFont="1" applyBorder="1" applyAlignment="1">
      <alignment horizontal="center" vertical="center" wrapText="1"/>
    </xf>
    <xf numFmtId="0" fontId="68" fillId="0" borderId="0" xfId="53" applyFont="1" applyAlignment="1">
      <alignment horizontal="center" wrapText="1"/>
    </xf>
    <xf numFmtId="0" fontId="6" fillId="0" borderId="2" xfId="10" applyFont="1" applyBorder="1" applyAlignment="1">
      <alignment horizontal="center" vertical="center" wrapText="1"/>
    </xf>
    <xf numFmtId="0" fontId="6" fillId="0" borderId="0" xfId="10" applyFont="1" applyAlignment="1">
      <alignment horizontal="center" vertical="center" wrapText="1"/>
    </xf>
    <xf numFmtId="0" fontId="60" fillId="0" borderId="0" xfId="34" applyFont="1"/>
    <xf numFmtId="1" fontId="18" fillId="0" borderId="0" xfId="53" applyNumberFormat="1" applyFont="1"/>
    <xf numFmtId="166" fontId="18" fillId="0" borderId="0" xfId="53" applyNumberFormat="1" applyFont="1" applyAlignment="1">
      <alignment horizontal="right" wrapText="1"/>
    </xf>
    <xf numFmtId="0" fontId="19" fillId="0" borderId="0" xfId="54" applyFont="1"/>
    <xf numFmtId="0" fontId="69" fillId="0" borderId="0" xfId="58" applyFont="1"/>
    <xf numFmtId="0" fontId="69" fillId="0" borderId="0" xfId="57" applyFont="1"/>
    <xf numFmtId="1" fontId="48" fillId="0" borderId="0" xfId="53" applyNumberFormat="1" applyFont="1"/>
    <xf numFmtId="166" fontId="48" fillId="0" borderId="0" xfId="53" applyNumberFormat="1" applyFont="1" applyAlignment="1">
      <alignment horizontal="right" wrapText="1"/>
    </xf>
    <xf numFmtId="166" fontId="70" fillId="0" borderId="0" xfId="54" applyNumberFormat="1" applyFont="1"/>
    <xf numFmtId="0" fontId="70" fillId="0" borderId="0" xfId="54" applyFont="1"/>
    <xf numFmtId="0" fontId="36" fillId="0" borderId="0" xfId="57" applyFont="1"/>
    <xf numFmtId="0" fontId="64" fillId="0" borderId="0" xfId="57" applyFont="1" applyAlignment="1">
      <alignment horizontal="left" wrapText="1" indent="1"/>
    </xf>
    <xf numFmtId="1" fontId="22" fillId="0" borderId="0" xfId="53" applyNumberFormat="1" applyFont="1"/>
    <xf numFmtId="166" fontId="22" fillId="0" borderId="0" xfId="53" applyNumberFormat="1" applyFont="1" applyAlignment="1">
      <alignment horizontal="right" wrapText="1"/>
    </xf>
    <xf numFmtId="0" fontId="71" fillId="0" borderId="0" xfId="58" applyFont="1"/>
    <xf numFmtId="166" fontId="22" fillId="0" borderId="0" xfId="54" applyNumberFormat="1" applyFont="1" applyAlignment="1">
      <alignment horizontal="right"/>
    </xf>
    <xf numFmtId="0" fontId="70" fillId="0" borderId="0" xfId="54" applyFont="1" applyAlignment="1">
      <alignment horizontal="right"/>
    </xf>
    <xf numFmtId="0" fontId="8" fillId="0" borderId="0" xfId="34" applyFont="1"/>
    <xf numFmtId="0" fontId="18" fillId="0" borderId="0" xfId="53" applyFont="1" applyAlignment="1">
      <alignment horizontal="right" indent="1"/>
    </xf>
    <xf numFmtId="166" fontId="18" fillId="0" borderId="0" xfId="53" applyNumberFormat="1" applyFont="1" applyAlignment="1">
      <alignment horizontal="right" indent="4"/>
    </xf>
    <xf numFmtId="0" fontId="48" fillId="0" borderId="0" xfId="53" applyFont="1" applyAlignment="1">
      <alignment horizontal="right" indent="1"/>
    </xf>
    <xf numFmtId="166" fontId="48" fillId="0" borderId="0" xfId="53" applyNumberFormat="1" applyFont="1" applyAlignment="1">
      <alignment horizontal="right" indent="4"/>
    </xf>
    <xf numFmtId="0" fontId="72" fillId="0" borderId="0" xfId="56" applyFont="1" applyAlignment="1">
      <alignment horizontal="left" wrapText="1" indent="1"/>
    </xf>
    <xf numFmtId="0" fontId="22" fillId="0" borderId="0" xfId="53" applyFont="1" applyAlignment="1">
      <alignment horizontal="right" indent="1"/>
    </xf>
    <xf numFmtId="166" fontId="22" fillId="0" borderId="0" xfId="53" applyNumberFormat="1" applyFont="1" applyAlignment="1">
      <alignment horizontal="right" indent="4"/>
    </xf>
    <xf numFmtId="0" fontId="72" fillId="0" borderId="0" xfId="53" applyFont="1" applyAlignment="1">
      <alignment horizontal="left" wrapText="1" indent="1"/>
    </xf>
    <xf numFmtId="166" fontId="19" fillId="0" borderId="0" xfId="54" applyNumberFormat="1" applyFont="1"/>
    <xf numFmtId="1" fontId="19" fillId="0" borderId="0" xfId="54" applyNumberFormat="1" applyFont="1"/>
    <xf numFmtId="1" fontId="4" fillId="0" borderId="0" xfId="53" applyNumberFormat="1" applyFont="1"/>
    <xf numFmtId="166" fontId="4" fillId="0" borderId="0" xfId="53" applyNumberFormat="1" applyFont="1" applyAlignment="1">
      <alignment horizontal="right" wrapText="1"/>
    </xf>
    <xf numFmtId="166" fontId="16" fillId="0" borderId="0" xfId="54" applyNumberFormat="1" applyFont="1"/>
    <xf numFmtId="0" fontId="6" fillId="0" borderId="0" xfId="53" applyFont="1"/>
    <xf numFmtId="0" fontId="6" fillId="0" borderId="0" xfId="54" applyFont="1"/>
    <xf numFmtId="0" fontId="8" fillId="0" borderId="0" xfId="53" applyFont="1" applyAlignment="1">
      <alignment horizontal="right" indent="1"/>
    </xf>
    <xf numFmtId="166" fontId="8" fillId="0" borderId="0" xfId="53" applyNumberFormat="1" applyFont="1" applyAlignment="1">
      <alignment horizontal="right" indent="4"/>
    </xf>
    <xf numFmtId="0" fontId="15" fillId="0" borderId="0" xfId="54" applyFont="1"/>
    <xf numFmtId="0" fontId="73" fillId="0" borderId="0" xfId="57" applyFont="1"/>
    <xf numFmtId="0" fontId="5" fillId="0" borderId="0" xfId="53" applyFont="1" applyAlignment="1">
      <alignment horizontal="right" indent="1"/>
    </xf>
    <xf numFmtId="166" fontId="5" fillId="0" borderId="0" xfId="53" applyNumberFormat="1" applyFont="1" applyAlignment="1">
      <alignment horizontal="right" indent="4"/>
    </xf>
    <xf numFmtId="0" fontId="4" fillId="0" borderId="0" xfId="56" applyFont="1" applyAlignment="1">
      <alignment horizontal="left" wrapText="1" indent="1"/>
    </xf>
    <xf numFmtId="0" fontId="4" fillId="0" borderId="0" xfId="53" applyFont="1" applyAlignment="1">
      <alignment horizontal="right" indent="1"/>
    </xf>
    <xf numFmtId="166" fontId="4" fillId="0" borderId="0" xfId="53" applyNumberFormat="1" applyFont="1" applyAlignment="1">
      <alignment horizontal="right" indent="4"/>
    </xf>
    <xf numFmtId="0" fontId="5" fillId="0" borderId="0" xfId="56" applyFont="1"/>
    <xf numFmtId="0" fontId="4" fillId="0" borderId="0" xfId="54" applyFont="1"/>
    <xf numFmtId="0" fontId="4" fillId="0" borderId="0" xfId="53" applyFont="1"/>
    <xf numFmtId="166" fontId="15" fillId="0" borderId="0" xfId="54" applyNumberFormat="1" applyFont="1"/>
    <xf numFmtId="0" fontId="2" fillId="0" borderId="0" xfId="59" applyFont="1" applyAlignment="1">
      <alignment horizontal="left"/>
    </xf>
    <xf numFmtId="0" fontId="27" fillId="0" borderId="0" xfId="59" applyFont="1" applyAlignment="1">
      <alignment horizontal="left"/>
    </xf>
    <xf numFmtId="0" fontId="27" fillId="0" borderId="0" xfId="59" applyFont="1" applyAlignment="1">
      <alignment horizontal="center"/>
    </xf>
    <xf numFmtId="0" fontId="1" fillId="0" borderId="0" xfId="59"/>
    <xf numFmtId="0" fontId="27" fillId="0" borderId="0" xfId="59" applyFont="1"/>
    <xf numFmtId="0" fontId="10" fillId="0" borderId="0" xfId="59" applyFont="1"/>
    <xf numFmtId="0" fontId="10" fillId="0" borderId="0" xfId="59" applyFont="1" applyAlignment="1">
      <alignment horizontal="center"/>
    </xf>
    <xf numFmtId="0" fontId="5" fillId="0" borderId="0" xfId="59" applyFont="1" applyAlignment="1">
      <alignment horizontal="right"/>
    </xf>
    <xf numFmtId="0" fontId="10" fillId="0" borderId="1" xfId="59" applyFont="1" applyBorder="1"/>
    <xf numFmtId="0" fontId="10" fillId="0" borderId="1" xfId="59" applyFont="1" applyBorder="1" applyAlignment="1">
      <alignment vertical="center"/>
    </xf>
    <xf numFmtId="0" fontId="4" fillId="0" borderId="1" xfId="59" applyFont="1" applyBorder="1" applyAlignment="1">
      <alignment horizontal="center" vertical="center"/>
    </xf>
    <xf numFmtId="0" fontId="10" fillId="0" borderId="0" xfId="59" applyFont="1" applyAlignment="1">
      <alignment vertical="center"/>
    </xf>
    <xf numFmtId="0" fontId="4" fillId="0" borderId="2" xfId="59" applyFont="1" applyBorder="1" applyAlignment="1">
      <alignment horizontal="center" vertical="center"/>
    </xf>
    <xf numFmtId="0" fontId="8" fillId="0" borderId="0" xfId="59" applyFont="1"/>
    <xf numFmtId="0" fontId="4" fillId="0" borderId="0" xfId="60"/>
    <xf numFmtId="1" fontId="8" fillId="0" borderId="0" xfId="59" applyNumberFormat="1" applyFont="1" applyAlignment="1">
      <alignment horizontal="right" indent="3"/>
    </xf>
    <xf numFmtId="166" fontId="8" fillId="0" borderId="0" xfId="59" applyNumberFormat="1" applyFont="1" applyAlignment="1">
      <alignment horizontal="right" indent="2"/>
    </xf>
    <xf numFmtId="1" fontId="4" fillId="0" borderId="0" xfId="59" applyNumberFormat="1" applyFont="1" applyAlignment="1">
      <alignment horizontal="right" indent="3"/>
    </xf>
    <xf numFmtId="0" fontId="13" fillId="0" borderId="0" xfId="61" applyAlignment="1">
      <alignment horizontal="right" indent="2"/>
    </xf>
    <xf numFmtId="166" fontId="4" fillId="0" borderId="0" xfId="59" applyNumberFormat="1" applyFont="1" applyAlignment="1">
      <alignment horizontal="right" indent="2"/>
    </xf>
    <xf numFmtId="0" fontId="30" fillId="0" borderId="0" xfId="17" applyAlignment="1">
      <alignment vertical="center" wrapText="1"/>
    </xf>
    <xf numFmtId="0" fontId="4" fillId="0" borderId="0" xfId="62" applyFont="1" applyAlignment="1">
      <alignment horizontal="right" indent="3"/>
    </xf>
    <xf numFmtId="171" fontId="74" fillId="0" borderId="0" xfId="62" applyNumberFormat="1" applyFont="1" applyAlignment="1">
      <alignment horizontal="center"/>
    </xf>
    <xf numFmtId="171" fontId="5" fillId="0" borderId="0" xfId="62" applyNumberFormat="1" applyFont="1" applyAlignment="1">
      <alignment horizontal="right" indent="3"/>
    </xf>
    <xf numFmtId="166" fontId="5" fillId="0" borderId="0" xfId="62" applyNumberFormat="1" applyFont="1" applyAlignment="1">
      <alignment horizontal="right" indent="2"/>
    </xf>
    <xf numFmtId="0" fontId="4" fillId="0" borderId="0" xfId="59" applyFont="1"/>
    <xf numFmtId="43" fontId="52" fillId="0" borderId="0" xfId="4" applyFont="1" applyFill="1" applyBorder="1" applyAlignment="1">
      <alignment vertical="center"/>
    </xf>
    <xf numFmtId="0" fontId="37" fillId="0" borderId="0" xfId="63" applyFont="1"/>
    <xf numFmtId="0" fontId="4" fillId="0" borderId="2" xfId="50" applyBorder="1"/>
    <xf numFmtId="0" fontId="4" fillId="0" borderId="0" xfId="52" applyFont="1" applyAlignment="1">
      <alignment horizontal="left" vertical="center"/>
    </xf>
    <xf numFmtId="0" fontId="2" fillId="0" borderId="0" xfId="5" applyFont="1" applyAlignment="1">
      <alignment horizontal="left" wrapText="1"/>
    </xf>
    <xf numFmtId="0" fontId="2" fillId="0" borderId="0" xfId="15" applyFont="1" applyAlignment="1">
      <alignment horizontal="left" wrapText="1"/>
    </xf>
    <xf numFmtId="0" fontId="37" fillId="0" borderId="1" xfId="10" quotePrefix="1" applyFont="1" applyBorder="1" applyAlignment="1">
      <alignment horizontal="center" vertical="center"/>
    </xf>
    <xf numFmtId="0" fontId="37" fillId="0" borderId="2" xfId="10" quotePrefix="1" applyFont="1" applyBorder="1" applyAlignment="1">
      <alignment horizontal="center" vertical="center"/>
    </xf>
    <xf numFmtId="0" fontId="6" fillId="0" borderId="1" xfId="10" quotePrefix="1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0" fontId="6" fillId="0" borderId="2" xfId="10" applyFont="1" applyBorder="1" applyAlignment="1">
      <alignment horizontal="center" vertical="center"/>
    </xf>
    <xf numFmtId="0" fontId="6" fillId="0" borderId="1" xfId="10" quotePrefix="1" applyFont="1" applyBorder="1" applyAlignment="1">
      <alignment horizontal="center" vertical="center" wrapText="1"/>
    </xf>
    <xf numFmtId="0" fontId="6" fillId="0" borderId="1" xfId="10" applyFont="1" applyBorder="1" applyAlignment="1">
      <alignment horizontal="center" vertical="center" wrapText="1"/>
    </xf>
    <xf numFmtId="15" fontId="6" fillId="0" borderId="1" xfId="10" quotePrefix="1" applyNumberFormat="1" applyFont="1" applyBorder="1" applyAlignment="1">
      <alignment horizontal="center" vertical="center"/>
    </xf>
    <xf numFmtId="15" fontId="6" fillId="0" borderId="2" xfId="10" quotePrefix="1" applyNumberFormat="1" applyFont="1" applyBorder="1" applyAlignment="1">
      <alignment horizontal="center" vertical="center"/>
    </xf>
    <xf numFmtId="0" fontId="6" fillId="0" borderId="2" xfId="10" applyFont="1" applyBorder="1" applyAlignment="1">
      <alignment horizontal="center" vertical="center" wrapText="1"/>
    </xf>
    <xf numFmtId="0" fontId="36" fillId="0" borderId="1" xfId="27" applyFont="1" applyBorder="1" applyAlignment="1">
      <alignment horizontal="center" vertical="center" wrapText="1"/>
    </xf>
    <xf numFmtId="0" fontId="36" fillId="0" borderId="2" xfId="27" applyFont="1" applyBorder="1" applyAlignment="1">
      <alignment horizontal="center" vertical="center" wrapText="1"/>
    </xf>
    <xf numFmtId="0" fontId="41" fillId="0" borderId="2" xfId="46" applyFont="1" applyBorder="1" applyAlignment="1">
      <alignment horizontal="center" wrapText="1"/>
    </xf>
    <xf numFmtId="0" fontId="41" fillId="0" borderId="3" xfId="46" applyFont="1" applyBorder="1" applyAlignment="1">
      <alignment horizontal="center" wrapText="1"/>
    </xf>
    <xf numFmtId="0" fontId="41" fillId="0" borderId="0" xfId="46" applyFont="1" applyAlignment="1">
      <alignment horizontal="center" wrapText="1"/>
    </xf>
    <xf numFmtId="0" fontId="37" fillId="0" borderId="3" xfId="51" applyFont="1" applyBorder="1" applyAlignment="1">
      <alignment horizontal="center" vertical="center"/>
    </xf>
  </cellXfs>
  <cellStyles count="64">
    <cellStyle name="Comma" xfId="4" builtinId="3"/>
    <cellStyle name="Comma 11 2" xfId="14" xr:uid="{B5419BD0-C96E-41BB-BE9C-B15A03F7B041}"/>
    <cellStyle name="Comma 17 2" xfId="8" xr:uid="{7AC69EE3-55F0-4686-A10E-8930644D2606}"/>
    <cellStyle name="Comma 2" xfId="40" xr:uid="{5F4671EC-D50A-4F9E-A202-7752AC1E2936}"/>
    <cellStyle name="Comma 3 2 5 4 2" xfId="62" xr:uid="{E2307550-FB03-41B6-9A04-1FCF16D81DC5}"/>
    <cellStyle name="Comma_Bieu 012011" xfId="47" xr:uid="{EC9AA69A-D641-4E96-A4D7-1F98ABD0BD55}"/>
    <cellStyle name="Comma_Bieu 012011 2 3" xfId="49" xr:uid="{A6729C51-33F0-4668-AEAD-66BC246B59F0}"/>
    <cellStyle name="Normal" xfId="0" builtinId="0"/>
    <cellStyle name="Normal - Style1 3" xfId="37" xr:uid="{C73D7640-1800-4CE1-BABA-461A2F7B6573}"/>
    <cellStyle name="Normal 10 2 2 2 2" xfId="6" xr:uid="{2F622295-27C0-4386-98EF-F3FB0A2B1DC9}"/>
    <cellStyle name="Normal 10 2 2 2 3" xfId="33" xr:uid="{2BF658B4-9A4B-4DEA-B2DB-B51400C6D732}"/>
    <cellStyle name="Normal 10 2 2 2 4 2" xfId="57" xr:uid="{191B08CA-482E-407E-BBD5-8D1DFBC75A99}"/>
    <cellStyle name="Normal 10 2 2 2 5" xfId="53" xr:uid="{373441C9-ADE2-4254-8186-0F6867660A28}"/>
    <cellStyle name="Normal 10 2 2 2 5 2" xfId="56" xr:uid="{7278BC59-1C71-41AD-8CD6-0BED9E20F274}"/>
    <cellStyle name="Normal 10 4 2 2 2" xfId="58" xr:uid="{18FE6A8C-CB73-49EF-8700-6958469D6D7F}"/>
    <cellStyle name="Normal 10 4 2 3" xfId="54" xr:uid="{DFAB4D2F-CF99-4635-AB3E-9D8AC0694646}"/>
    <cellStyle name="Normal 11 4" xfId="17" xr:uid="{28D93451-9F4F-419A-82F3-4E407F32A109}"/>
    <cellStyle name="Normal 15" xfId="13" xr:uid="{DDE1302F-8861-4AA5-B396-49934CC91596}"/>
    <cellStyle name="Normal 153 2 2" xfId="61" xr:uid="{5584DF2A-98AF-473D-A7B3-65C4376418A4}"/>
    <cellStyle name="Normal 155 2" xfId="11" xr:uid="{AA5BB3CC-987C-4A14-BF80-D192A5E11818}"/>
    <cellStyle name="Normal 156" xfId="27" xr:uid="{8CACECB2-535B-403D-9AC2-85E888BECF2F}"/>
    <cellStyle name="Normal 157 2" xfId="46" xr:uid="{EB4AF9F4-19CE-40C3-8601-9FCB51EE3D33}"/>
    <cellStyle name="Normal 2 13 2" xfId="60" xr:uid="{F7DE6FDE-48AA-464F-8465-8E76C43DBB25}"/>
    <cellStyle name="Normal 2 16 2" xfId="26" xr:uid="{2ED24EF1-92EE-4936-8BCC-E2D3F010B3F0}"/>
    <cellStyle name="Normal 2 7 2" xfId="36" xr:uid="{716B1516-B46C-402B-93B1-8E94B033D616}"/>
    <cellStyle name="Normal 3 2 2 2 2" xfId="32" xr:uid="{0B19DF78-795F-4990-98CA-8D4F7B947E42}"/>
    <cellStyle name="Normal 3 2 2 2 2 3" xfId="43" xr:uid="{CC9722C2-D1E1-4F40-905F-BD9378B361A6}"/>
    <cellStyle name="Normal 3 3" xfId="42" xr:uid="{014DFDD2-EADE-4C93-AF59-3B5B5B562056}"/>
    <cellStyle name="Normal 7 3" xfId="2" xr:uid="{00000000-0005-0000-0000-000001000000}"/>
    <cellStyle name="Normal 7 4 2" xfId="23" xr:uid="{10FD5FB9-6A0D-4B21-B964-C95BFF06D489}"/>
    <cellStyle name="Normal_02NN" xfId="1" xr:uid="{00000000-0005-0000-0000-000002000000}"/>
    <cellStyle name="Normal_03&amp;04CN" xfId="7" xr:uid="{3DF40255-ABB8-4803-BD53-044BEB2415C4}"/>
    <cellStyle name="Normal_05XD 2" xfId="19" xr:uid="{ABA1355C-9661-40D9-8A1B-37AEF6F48F16}"/>
    <cellStyle name="Normal_05XD_Dautu(6-2011)" xfId="12" xr:uid="{0F7F8342-93EF-49AB-9226-E85343D7F2C1}"/>
    <cellStyle name="Normal_05XD_Dautu(6-2011) 2" xfId="24" xr:uid="{F3509771-825C-4AB8-B55A-C96B0B480C72}"/>
    <cellStyle name="Normal_06DTNN 2" xfId="59" xr:uid="{6355A056-7767-4DD0-8B1B-492456A111DE}"/>
    <cellStyle name="Normal_07Dulich11 2" xfId="39" xr:uid="{01E154F5-6CBB-4D7B-8B6A-EC5B1734F43E}"/>
    <cellStyle name="Normal_07gia" xfId="51" xr:uid="{E7BF1CEC-E662-478F-8AE7-BAFFA72BC695}"/>
    <cellStyle name="Normal_07gia 2" xfId="63" xr:uid="{11FFF9DB-73C0-4F5C-9CDB-8E1838368CEA}"/>
    <cellStyle name="Normal_07VT 2" xfId="30" xr:uid="{0AC2CB1C-4020-48EF-917F-2DC28C4C7A8C}"/>
    <cellStyle name="Normal_08-12TM" xfId="44" xr:uid="{F1F8A29B-7685-4906-BD87-044A88235E99}"/>
    <cellStyle name="Normal_08tmt3" xfId="25" xr:uid="{1A0E5271-0C29-4EC5-82BD-745D2E47334B}"/>
    <cellStyle name="Normal_08tmt3 2" xfId="29" xr:uid="{0FE541D9-7EE4-4F53-9543-FD027AD68ABB}"/>
    <cellStyle name="Normal_08tmt3_VT- TM Diep" xfId="28" xr:uid="{E8AEA528-34A0-4EE5-8BB5-DA895E01EA11}"/>
    <cellStyle name="Normal_Bctiendo2000" xfId="3" xr:uid="{00000000-0005-0000-0000-000003000000}"/>
    <cellStyle name="Normal_Book2" xfId="52" xr:uid="{F12EE8C8-572E-4410-9496-4106C4A5D13B}"/>
    <cellStyle name="Normal_Dau tu 2" xfId="22" xr:uid="{1D9FE6EF-4937-4941-8676-EB73E97C72BD}"/>
    <cellStyle name="Normal_Gui Vu TH-Bao cao nhanh VDT 2006" xfId="21" xr:uid="{099B25C4-5F4A-43E7-9501-9021C16B86ED}"/>
    <cellStyle name="Normal_nhanh sap xep lai 2 2" xfId="38" xr:uid="{E219E91E-18B5-4C0A-BC1B-0D52192AD1B8}"/>
    <cellStyle name="Normal_nhanh sap xep lai 3" xfId="45" xr:uid="{065A7C01-F8B5-4AF5-A9F4-A66C6C777B0D}"/>
    <cellStyle name="Normal_Sheet1" xfId="9" xr:uid="{A46E3D62-4221-4396-B48A-4C9DC8EC73F3}"/>
    <cellStyle name="Normal_solieu gdp 2 2" xfId="34" xr:uid="{BDA8E289-193D-4624-8330-E9C794F60553}"/>
    <cellStyle name="Normal_SPT3-96" xfId="10" xr:uid="{ED9C591D-2396-4C5B-AD9F-E4D6C26D04B3}"/>
    <cellStyle name="Normal_SPT3-96_Bieu 012011 2" xfId="20" xr:uid="{601A8050-3529-4223-B442-C25D11840B2A}"/>
    <cellStyle name="Normal_SPT3-96_Bieudautu_Dautu(6-2011)" xfId="18" xr:uid="{B8C6A4A7-183E-478E-AADA-B59756CB2C2A}"/>
    <cellStyle name="Normal_SPT3-96_Van tai12.2010 2" xfId="35" xr:uid="{4EEE635D-0BC2-4D0A-983F-0FF09EE0B5D7}"/>
    <cellStyle name="Normal_Tieu thu-Ton kho thang 7.2012 (dieu chinh)" xfId="16" xr:uid="{AD08DCE0-255F-47B4-8681-0E1B13502888}"/>
    <cellStyle name="Normal_Xl0000008" xfId="41" xr:uid="{911812CD-8F71-486B-B7E1-BABCBCCEE9D0}"/>
    <cellStyle name="Normal_Xl0000107" xfId="15" xr:uid="{ABF70AE2-D7E3-498F-BF14-38E9CC8E7D51}"/>
    <cellStyle name="Normal_Xl0000141" xfId="5" xr:uid="{F7B60343-1E3B-4D84-A725-9E59DF8FBFF4}"/>
    <cellStyle name="Normal_Xl0000156" xfId="31" xr:uid="{D3046443-8557-4CAF-92A2-C6E4C6274FBB}"/>
    <cellStyle name="Normal_Xl0000163" xfId="50" xr:uid="{7EF6A9ED-EB2E-4CC2-8929-1B332374336F}"/>
    <cellStyle name="Normal_Xl0000203" xfId="48" xr:uid="{87A365AE-AFBA-4B5A-A4E5-6A0066E75DD4}"/>
    <cellStyle name="Percent 2" xfId="55" xr:uid="{C37D8251-74FE-4F1A-94AD-66AFF04D8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23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0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24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ung%20Quat/Goi3/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ung%20Quat\Goi3\PNT-P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DOCUMENT/DAUTHAU/Dungquat/GOI3/DUNGQUAT-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.5nam\Thanh%20Toan\DOCUMENT\DAUTHAU\Dungquat\GOI3\DUNGQUAT-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IBASE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IBASE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5nam\Thanh%20Toan\CS3408\Standard\RP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CS3408/Standard/RP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.5nam\Thanh%20Toan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3%20Nien%20giam%20day%20du\2013\Vu%20Tong%20hop\Gui%20NXB\Nam\10Nam\xaydungcntt98\dung\&#167;&#222;a%20ph&#173;&#172;ng%2095-96%20(V&#232;n,%20TSC&#167;)%20hai%20gi&#18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%20Nien%20giam%20day%20du\2013\Vu%20Tong%20hop\Gui%20NXB\Nam\10Nam\xaydungcntt98\dung\&#167;&#222;a%20ph&#173;&#172;ng%2095-96%20(V&#232;n,%20TSC&#167;)%20hai%20gi&#18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03%20Nien%20giam%20day%20du/2013/Vu%20Tong%20hop/Gui%20NXB/Nam/10Nam/xaydungcntt98/dung/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_x0000__x0000_"/>
      <sheetName val="Cong ban 1,5_x0013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bÑi_x0003__x0000_²r_x0013__x0000_"/>
      <sheetName val="DG "/>
      <sheetName val="I"/>
      <sheetName val="CT.XF1"/>
      <sheetName val="QD cua "/>
      <sheetName val="DŃ02"/>
      <sheetName val="GS09-chi TM"/>
      <sheetName val="tt chu don"/>
      <sheetName val="_x0014_M01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_x000f__x0000_½"/>
      <sheetName val="nam2004"/>
      <sheetName val="Dhp+d"/>
      <sheetName val="PNT-P3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PNT_QUO"/>
      <sheetName val="PNghiÖm VL"/>
      <sheetName val="M pc_x0006__x0000_CamPh_x0000_"/>
      <sheetName val="_x000d_âO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GS11- tÝnh KH_x0014_SC§"/>
      <sheetName val="DGþ"/>
      <sheetName val="Op mai 2_x000c_"/>
      <sheetName val="_x000f__x0000_‚ž½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bÑi_x0003_"/>
      <sheetName val="Tong hop$Op mai"/>
      <sheetName val="???????-BLDG"/>
      <sheetName val="Tong hopQ48­1"/>
      <sheetName val="tra-vat-lieu"/>
      <sheetName val="_x000d_âOŽ"/>
      <sheetName val="Cong ban 1,5„—_x0013_"/>
      <sheetName val="_x000c__x0000__x000d_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_x000a_âO"/>
      <sheetName val="_x000c__x0000__x000a_"/>
      <sheetName val="_x000a_âOŽ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XXXXX_XX"/>
      <sheetName val="[PNT-P3.xls]XXXXX\XX"/>
      <sheetName val="DG(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TK33313"/>
      <sheetName val="UK 911"/>
      <sheetName val="CEPS1"/>
      <sheetName val="Km285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chieud_x0005_"/>
      <sheetName val="_x000d_â_x0005_"/>
      <sheetName val="I_x0005_"/>
      <sheetName val="S2"/>
      <sheetName val="_x000f_"/>
      <sheetName val="M pc_x0006_"/>
      <sheetName val="luongt"/>
      <sheetName val="???"/>
      <sheetName val="QUY IV _x0005_"/>
      <sheetName val="co_x0005_"/>
      <sheetName val="Cong ban _x0000_ _x0000__x0004__x0000__x0003_"/>
      <sheetName val="Èoasen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_x0000__x000f__x0000__x0000__x0000_‚嫌_x001a_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CC@S03"/>
      <sheetName val="IBASE"/>
      <sheetName val="M pc_x0006__x0000_CamPhþ"/>
      <sheetName val="chieuday"/>
      <sheetName val="⁋㌱Ա_x0000_䭔㌱س_x0000_䭔ㄠㄴ_x0006_牴湯⁧琠湯౧_x0000_杮楨搠湩_x0005__x0000__x0000__x0000_타_x0012_"/>
      <sheetName val="Cong ban "/>
      <sheetName val="t"/>
      <sheetName val="CV den"/>
      <sheetName val="TK42ı"/>
      <sheetName val="tÿ-01"/>
      <sheetName val="SoCaiT_x0000_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Du_lieu"/>
      <sheetName val="QHC Ha Noi11.3.2010_Thang"/>
      <sheetName val="Cm276 - Ke277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_x0003_ha"/>
      <sheetName val="QD"/>
      <sheetName val="CV den trong toÂg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t 2001"/>
      <sheetName val="_x0000__x0000_"/>
      <sheetName val="??di trong  tong"/>
      <sheetName val="CDKTKD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/>
      <sheetData sheetId="433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/>
      <sheetData sheetId="470"/>
      <sheetData sheetId="471" refreshError="1"/>
      <sheetData sheetId="472" refreshError="1"/>
      <sheetData sheetId="473"/>
      <sheetData sheetId="474"/>
      <sheetData sheetId="475" refreshError="1"/>
      <sheetData sheetId="476"/>
      <sheetData sheetId="477" refreshError="1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 refreshError="1"/>
      <sheetData sheetId="588"/>
      <sheetData sheetId="589"/>
      <sheetData sheetId="590" refreshError="1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/>
      <sheetData sheetId="682" refreshError="1"/>
      <sheetData sheetId="683"/>
      <sheetData sheetId="684"/>
      <sheetData sheetId="685" refreshError="1"/>
      <sheetData sheetId="686"/>
      <sheetData sheetId="687"/>
      <sheetData sheetId="688"/>
      <sheetData sheetId="689" refreshError="1"/>
      <sheetData sheetId="690"/>
      <sheetData sheetId="691"/>
      <sheetData sheetId="692"/>
      <sheetData sheetId="693" refreshError="1"/>
      <sheetData sheetId="694"/>
      <sheetData sheetId="695" refreshError="1"/>
      <sheetData sheetId="696"/>
      <sheetData sheetId="697"/>
      <sheetData sheetId="698"/>
      <sheetData sheetId="699"/>
      <sheetData sheetId="700" refreshError="1"/>
      <sheetData sheetId="70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 refreshError="1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/>
      <sheetData sheetId="1126" refreshError="1"/>
      <sheetData sheetId="1127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/>
      <sheetData sheetId="1149" refreshError="1"/>
      <sheetData sheetId="1150"/>
      <sheetData sheetId="115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/>
      <sheetData sheetId="1199" refreshError="1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/>
      <sheetData sheetId="1208"/>
      <sheetData sheetId="1209"/>
      <sheetData sheetId="1210"/>
      <sheetData sheetId="1211"/>
      <sheetData sheetId="1212" refreshError="1"/>
      <sheetData sheetId="1213" refreshError="1"/>
      <sheetData sheetId="1214"/>
      <sheetData sheetId="1215"/>
      <sheetData sheetId="1216" refreshError="1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 refreshError="1"/>
      <sheetData sheetId="1228" refreshError="1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bÑi_x0003_"/>
      <sheetName val="_x000f_"/>
      <sheetName val="M pc_x0006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/>
      <sheetData sheetId="694" refreshError="1"/>
      <sheetData sheetId="695"/>
      <sheetData sheetId="696"/>
      <sheetData sheetId="697" refreshError="1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_x0000__x0000_"/>
      <sheetName val="Cong ban 1,5_x0013_"/>
      <sheetName val="bÑi_x0003__x0000_²r_x0013__x0000_"/>
      <sheetName val="_x000f__x0000_½"/>
      <sheetName val="CT.XF1"/>
      <sheetName val="DG "/>
      <sheetName val="M pc_x0006__x0000_CamPh_x0000_"/>
      <sheetName val="_x000d_âO"/>
      <sheetName val="I"/>
      <sheetName val="PNT-P3"/>
      <sheetName val="GS11- tÝnh KH_x0014_SC§"/>
      <sheetName val="DŃ02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Op"/>
      <sheetName val="gia x"/>
      <sheetName val="⁋㌱Ա"/>
      <sheetName val="chieud_x0005_"/>
      <sheetName val="Op mai 2_x000c_"/>
      <sheetName val="Cong ban 1,5„—_x0013_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Opmai 280"/>
      <sheetName val="M pc_x0006_CamPh"/>
      <sheetName val="gia x may"/>
      <sheetName val="_x000c__x000d_"/>
      <sheetName val="_x000f_‚ž½"/>
      <sheetName val="t"/>
      <sheetName val="CV den"/>
      <sheetName val="Cong ban 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 refreshError="1"/>
      <sheetData sheetId="699" refreshError="1"/>
      <sheetData sheetId="700" refreshError="1"/>
      <sheetData sheetId="701"/>
      <sheetData sheetId="702"/>
      <sheetData sheetId="703" refreshError="1"/>
      <sheetData sheetId="704"/>
      <sheetData sheetId="705" refreshError="1"/>
      <sheetData sheetId="706" refreshError="1"/>
      <sheetData sheetId="707"/>
      <sheetData sheetId="708"/>
      <sheetData sheetId="709" refreshError="1"/>
      <sheetData sheetId="710" refreshError="1"/>
      <sheetData sheetId="71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/>
      <sheetData sheetId="1146" refreshError="1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/>
      <sheetData sheetId="1184" refreshError="1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_x0000__x0000_"/>
      <sheetName val="Cong ban 1,5_x0013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bÑi_x0003__x0000_²r_x0013__x0000_"/>
      <sheetName val="_x000f__x0000_½"/>
      <sheetName val="CT.XF1"/>
      <sheetName val="DG "/>
      <sheetName val="M pc_x0006__x0000_CamPh_x0000_"/>
      <sheetName val="_x000d_âO"/>
      <sheetName val="I"/>
      <sheetName val="PNT-P3"/>
      <sheetName val="GS11- tÝnh KH_x0014_SC§"/>
      <sheetName val="DŃ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KH-Q1,Q2,01"/>
      <sheetName val="gia_vt,nc,may"/>
      <sheetName val="2.74"/>
      <sheetName val="dtx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  <sheetName val="VT,NC,M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IBASE"/>
      <sheetName val="Du_lieu"/>
      <sheetName val="KH-Q1,Q2,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T8-9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inh_ha nha"/>
      <sheetName val="23+327"/>
      <sheetName val="23+468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Chart3"/>
      <sheetName val="Chart2"/>
      <sheetName val="BaTrieu-L.con"/>
      <sheetName val="EDT - Ro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2.74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.tuanM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T6"/>
      <sheetName val="THQII"/>
      <sheetName val="Trung"/>
      <sheetName val="THQIII"/>
      <sheetName val="THT nam 04"/>
      <sheetName val="142201ȭT4"/>
      <sheetName val="Bia¸"/>
      <sheetName val="TL"/>
      <sheetName val="T8-9B"/>
      <sheetName val="T8-9þ"/>
      <sheetName val="BCDSPS"/>
      <sheetName val="BCDKT"/>
      <sheetName val="[IBASE2.XLS}BHXH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GK"/>
      <sheetName val="CB"/>
      <sheetName val="VP"/>
      <sheetName val="Km274-Km274"/>
      <sheetName val="Km27'-Km278"/>
      <sheetName val="KHVô XL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T8-9@"/>
      <sheetName val="gia vt,nc,may"/>
      <sheetName val="THKP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Sheet12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Tonf hop"/>
      <sheetName val="CoquyTM"/>
      <sheetName val="_x0000_"/>
      <sheetName val="TH_B¸"/>
      <sheetName val="CongNo"/>
      <sheetName val="TD khao sat"/>
      <sheetName val="_x0000__x0000__x0005__x0000__x0000_"/>
      <sheetName val="CHITIET VL-NC"/>
      <sheetName val="DON GIA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nghi dinh-_x0004__x0010_"/>
      <sheetName val="Chart䀀"/>
      <sheetName val="T8-9("/>
      <sheetName val=" GT CPhi tung dot"/>
      <sheetName val="Nhap_lie"/>
      <sheetName val="Nhap_lie("/>
      <sheetName val="IBASE2"/>
      <sheetName val="Cong hop 2,0ࡸ2,0"/>
      <sheetName val="Biaþ"/>
      <sheetName val="Luot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Bia_x0000_"/>
      <sheetName val="_IBASE2.XLSѝTNHNoi"/>
      <sheetName val="Km282-Km_x0003_"/>
      <sheetName val="Soqu_x0005_"/>
      <sheetName val="thong ke"/>
      <sheetName val="°:nh"/>
      <sheetName val="SANNUONG"/>
      <sheetName val="thkn (2)"/>
      <sheetName val="Vchuygn(C)"/>
      <sheetName val="342201-T10"/>
      <sheetName val="km208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Figure 6 NPV"/>
      <sheetName val="DMT"/>
      <sheetName val="Soqu 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BTH chua"/>
      <sheetName val="XXXXXX?"/>
      <sheetName val="MTO REV.2(ARMOR)"/>
      <sheetName val="Dhue GTGT"/>
      <sheetName val="DMTCNTM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trong"/>
      <sheetName val="HDong ԰_x0000_"/>
      <sheetName val="c¨"/>
      <sheetName val="cØ"/>
      <sheetName val="BK-C T"/>
      <sheetName val="DT1"/>
      <sheetName val="T6-99_x0000__x0000__x0000__x0000__x0000__x0000__x0000__x0000__x0000__x0000__x0009__x0000__x0012_[IBASE2.XLS]T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_IBASE2.XLS䁝BC6tT17"/>
      <sheetName val="BTHDT_TBA_x000d___THXL_DZcaothe"/>
      <sheetName val="_IBASE2.XLS}BHXH"/>
      <sheetName val="_IBASE2.XLS_Tong hop Matduong"/>
      <sheetName val="_IBASE2_XLSѝTNHNoi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}BHXH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Cong tron D7_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XXXXXX_X"/>
      <sheetName val="Km282-Km_x0003__3"/>
      <sheetName val="L_gngT2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_x0009__x0000__x0012__IBASE2.XLS_T"/>
      <sheetName val="_IBASE2_XLS_TNHNoi1"/>
      <sheetName val="Cong_tron_D7_"/>
      <sheetName val="_IBASE2_XLS_TNHNoi2"/>
      <sheetName val="T6-99_x0000__x0000__x0000__x0000__x0000__x0000__x0000__x0000__x0000__x0000_ _x0000__x0012__IBASE2.XLS_T"/>
      <sheetName val="_IBASE2.XLS뭝êm283-Km284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°_nh"/>
      <sheetName val="Biểu 02"/>
      <sheetName val="QDcua HDQD"/>
      <sheetName val="Km_x0000_83-嘀m28ｄ"/>
      <sheetName val="XXXXXX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Cong tron۬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M 67"/>
      <sheetName val="Soqu_x0005_??"/>
      <sheetName val="GIA 뭼U_x0000__x0000_"/>
      <sheetName val="_x0000__x0000__x0000__x0000__x0005__x0000__x0000__x0000_"/>
      <sheetName val="ZDCBK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I7">
            <v>10000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I7">
            <v>10000</v>
          </cell>
        </row>
      </sheetData>
      <sheetData sheetId="132">
        <row r="7">
          <cell r="AI7">
            <v>10000</v>
          </cell>
        </row>
      </sheetData>
      <sheetData sheetId="133">
        <row r="7">
          <cell r="AI7">
            <v>10000</v>
          </cell>
        </row>
      </sheetData>
      <sheetData sheetId="134">
        <row r="7">
          <cell r="AI7">
            <v>10000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I7">
            <v>10000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I7">
            <v>10000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>
        <row r="7">
          <cell r="AI7">
            <v>10000</v>
          </cell>
        </row>
      </sheetData>
      <sheetData sheetId="173">
        <row r="7">
          <cell r="AI7">
            <v>10000</v>
          </cell>
        </row>
      </sheetData>
      <sheetData sheetId="174">
        <row r="7">
          <cell r="AI7">
            <v>10000</v>
          </cell>
        </row>
      </sheetData>
      <sheetData sheetId="175">
        <row r="7">
          <cell r="AI7">
            <v>10000</v>
          </cell>
        </row>
      </sheetData>
      <sheetData sheetId="176">
        <row r="7">
          <cell r="AI7">
            <v>10000</v>
          </cell>
        </row>
      </sheetData>
      <sheetData sheetId="177">
        <row r="7">
          <cell r="AI7">
            <v>10000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/>
      <sheetData sheetId="184"/>
      <sheetData sheetId="185"/>
      <sheetData sheetId="186"/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/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I7">
            <v>10000</v>
          </cell>
        </row>
      </sheetData>
      <sheetData sheetId="200">
        <row r="7">
          <cell r="AI7">
            <v>10000</v>
          </cell>
        </row>
      </sheetData>
      <sheetData sheetId="201">
        <row r="7">
          <cell r="AI7">
            <v>10000</v>
          </cell>
        </row>
      </sheetData>
      <sheetData sheetId="202">
        <row r="7">
          <cell r="AI7">
            <v>10000</v>
          </cell>
        </row>
      </sheetData>
      <sheetData sheetId="203">
        <row r="7">
          <cell r="AI7">
            <v>10000</v>
          </cell>
        </row>
      </sheetData>
      <sheetData sheetId="204">
        <row r="7">
          <cell r="AI7">
            <v>10000</v>
          </cell>
        </row>
      </sheetData>
      <sheetData sheetId="205">
        <row r="7">
          <cell r="AI7">
            <v>10000</v>
          </cell>
        </row>
      </sheetData>
      <sheetData sheetId="206">
        <row r="7">
          <cell r="AI7">
            <v>10000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I7">
            <v>10000</v>
          </cell>
        </row>
      </sheetData>
      <sheetData sheetId="214">
        <row r="7">
          <cell r="AI7">
            <v>10000</v>
          </cell>
        </row>
      </sheetData>
      <sheetData sheetId="215">
        <row r="7">
          <cell r="AI7">
            <v>10000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I7">
            <v>10000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I7">
            <v>10000</v>
          </cell>
        </row>
      </sheetData>
      <sheetData sheetId="234">
        <row r="7">
          <cell r="AI7">
            <v>10000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I7">
            <v>10000</v>
          </cell>
        </row>
      </sheetData>
      <sheetData sheetId="246">
        <row r="7">
          <cell r="AI7">
            <v>10000</v>
          </cell>
        </row>
      </sheetData>
      <sheetData sheetId="247">
        <row r="7">
          <cell r="AI7">
            <v>10000</v>
          </cell>
        </row>
      </sheetData>
      <sheetData sheetId="248">
        <row r="7">
          <cell r="AI7">
            <v>10000</v>
          </cell>
        </row>
      </sheetData>
      <sheetData sheetId="249">
        <row r="7">
          <cell r="AI7">
            <v>10000</v>
          </cell>
        </row>
      </sheetData>
      <sheetData sheetId="250">
        <row r="7">
          <cell r="AI7">
            <v>10000</v>
          </cell>
        </row>
      </sheetData>
      <sheetData sheetId="251">
        <row r="7">
          <cell r="AI7">
            <v>10000</v>
          </cell>
        </row>
      </sheetData>
      <sheetData sheetId="252">
        <row r="7">
          <cell r="AI7">
            <v>10000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>
        <row r="7">
          <cell r="AI7">
            <v>10000</v>
          </cell>
        </row>
      </sheetData>
      <sheetData sheetId="268">
        <row r="7">
          <cell r="AI7">
            <v>10000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I7">
            <v>10000</v>
          </cell>
        </row>
      </sheetData>
      <sheetData sheetId="322">
        <row r="7">
          <cell r="AI7">
            <v>10000</v>
          </cell>
        </row>
      </sheetData>
      <sheetData sheetId="323">
        <row r="7">
          <cell r="AI7">
            <v>10000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I7">
            <v>10000</v>
          </cell>
        </row>
      </sheetData>
      <sheetData sheetId="356">
        <row r="7">
          <cell r="AI7">
            <v>10000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I7">
            <v>10000</v>
          </cell>
        </row>
      </sheetData>
      <sheetData sheetId="361">
        <row r="7">
          <cell r="AI7">
            <v>10000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I7">
            <v>10000</v>
          </cell>
        </row>
      </sheetData>
      <sheetData sheetId="366">
        <row r="7">
          <cell r="AH7" t="str">
            <v>SP1</v>
          </cell>
        </row>
      </sheetData>
      <sheetData sheetId="367">
        <row r="7">
          <cell r="AH7" t="str">
            <v>SP1</v>
          </cell>
        </row>
      </sheetData>
      <sheetData sheetId="368">
        <row r="7">
          <cell r="AH7" t="str">
            <v>SP1</v>
          </cell>
        </row>
      </sheetData>
      <sheetData sheetId="369">
        <row r="7">
          <cell r="AH7" t="str">
            <v>SP1</v>
          </cell>
        </row>
      </sheetData>
      <sheetData sheetId="370"/>
      <sheetData sheetId="371"/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I7">
            <v>10000</v>
          </cell>
        </row>
      </sheetData>
      <sheetData sheetId="375">
        <row r="7">
          <cell r="AI7">
            <v>10000</v>
          </cell>
        </row>
      </sheetData>
      <sheetData sheetId="376">
        <row r="7">
          <cell r="AI7">
            <v>10000</v>
          </cell>
        </row>
      </sheetData>
      <sheetData sheetId="377">
        <row r="7">
          <cell r="AI7">
            <v>10000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I7">
            <v>10000</v>
          </cell>
        </row>
      </sheetData>
      <sheetData sheetId="401">
        <row r="7">
          <cell r="AI7">
            <v>10000</v>
          </cell>
        </row>
      </sheetData>
      <sheetData sheetId="402">
        <row r="7">
          <cell r="AI7">
            <v>10000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I7">
            <v>10000</v>
          </cell>
        </row>
      </sheetData>
      <sheetData sheetId="406">
        <row r="7">
          <cell r="AI7">
            <v>10000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I7">
            <v>10000</v>
          </cell>
        </row>
      </sheetData>
      <sheetData sheetId="429">
        <row r="7">
          <cell r="AI7">
            <v>10000</v>
          </cell>
        </row>
      </sheetData>
      <sheetData sheetId="430">
        <row r="7">
          <cell r="AI7">
            <v>10000</v>
          </cell>
        </row>
      </sheetData>
      <sheetData sheetId="431">
        <row r="7">
          <cell r="AI7">
            <v>10000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I7">
            <v>10000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I7">
            <v>10000</v>
          </cell>
        </row>
      </sheetData>
      <sheetData sheetId="448">
        <row r="7">
          <cell r="AI7">
            <v>10000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I7">
            <v>10000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I7">
            <v>10000</v>
          </cell>
        </row>
      </sheetData>
      <sheetData sheetId="461">
        <row r="7">
          <cell r="AI7">
            <v>10000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I7">
            <v>10000</v>
          </cell>
        </row>
      </sheetData>
      <sheetData sheetId="469">
        <row r="7">
          <cell r="AI7">
            <v>10000</v>
          </cell>
        </row>
      </sheetData>
      <sheetData sheetId="470">
        <row r="7">
          <cell r="AI7">
            <v>10000</v>
          </cell>
        </row>
      </sheetData>
      <sheetData sheetId="471">
        <row r="7">
          <cell r="AI7">
            <v>10000</v>
          </cell>
        </row>
      </sheetData>
      <sheetData sheetId="472">
        <row r="7">
          <cell r="AI7">
            <v>10000</v>
          </cell>
        </row>
      </sheetData>
      <sheetData sheetId="473">
        <row r="7">
          <cell r="AI7">
            <v>10000</v>
          </cell>
        </row>
      </sheetData>
      <sheetData sheetId="474">
        <row r="7">
          <cell r="AI7">
            <v>10000</v>
          </cell>
        </row>
      </sheetData>
      <sheetData sheetId="475">
        <row r="7">
          <cell r="AI7">
            <v>10000</v>
          </cell>
        </row>
      </sheetData>
      <sheetData sheetId="476">
        <row r="7">
          <cell r="AI7">
            <v>10000</v>
          </cell>
        </row>
      </sheetData>
      <sheetData sheetId="477">
        <row r="7">
          <cell r="AI7">
            <v>10000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I7">
            <v>10000</v>
          </cell>
        </row>
      </sheetData>
      <sheetData sheetId="483">
        <row r="7">
          <cell r="AI7">
            <v>10000</v>
          </cell>
        </row>
      </sheetData>
      <sheetData sheetId="484">
        <row r="7">
          <cell r="AI7">
            <v>10000</v>
          </cell>
        </row>
      </sheetData>
      <sheetData sheetId="485">
        <row r="7">
          <cell r="AI7">
            <v>10000</v>
          </cell>
        </row>
      </sheetData>
      <sheetData sheetId="486">
        <row r="7">
          <cell r="AI7">
            <v>10000</v>
          </cell>
        </row>
      </sheetData>
      <sheetData sheetId="487">
        <row r="7">
          <cell r="AI7">
            <v>10000</v>
          </cell>
        </row>
      </sheetData>
      <sheetData sheetId="488">
        <row r="7">
          <cell r="AI7">
            <v>10000</v>
          </cell>
        </row>
      </sheetData>
      <sheetData sheetId="489">
        <row r="7">
          <cell r="AI7">
            <v>10000</v>
          </cell>
        </row>
      </sheetData>
      <sheetData sheetId="490">
        <row r="7">
          <cell r="AI7">
            <v>10000</v>
          </cell>
        </row>
      </sheetData>
      <sheetData sheetId="491"/>
      <sheetData sheetId="492"/>
      <sheetData sheetId="493"/>
      <sheetData sheetId="494">
        <row r="7">
          <cell r="AI7">
            <v>10000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I7">
            <v>10000</v>
          </cell>
        </row>
      </sheetData>
      <sheetData sheetId="501">
        <row r="7">
          <cell r="AI7">
            <v>10000</v>
          </cell>
        </row>
      </sheetData>
      <sheetData sheetId="502">
        <row r="7">
          <cell r="AI7">
            <v>10000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I7">
            <v>10000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I7">
            <v>10000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I7">
            <v>10000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I7">
            <v>10000</v>
          </cell>
        </row>
      </sheetData>
      <sheetData sheetId="516">
        <row r="7">
          <cell r="AI7">
            <v>10000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I7">
            <v>10000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I7">
            <v>10000</v>
          </cell>
        </row>
      </sheetData>
      <sheetData sheetId="524">
        <row r="7">
          <cell r="AI7">
            <v>10000</v>
          </cell>
        </row>
      </sheetData>
      <sheetData sheetId="525">
        <row r="7">
          <cell r="AI7">
            <v>10000</v>
          </cell>
        </row>
      </sheetData>
      <sheetData sheetId="526">
        <row r="7">
          <cell r="AI7">
            <v>10000</v>
          </cell>
        </row>
      </sheetData>
      <sheetData sheetId="527">
        <row r="7">
          <cell r="AI7">
            <v>10000</v>
          </cell>
        </row>
      </sheetData>
      <sheetData sheetId="528">
        <row r="7">
          <cell r="AI7">
            <v>10000</v>
          </cell>
        </row>
      </sheetData>
      <sheetData sheetId="529">
        <row r="7">
          <cell r="AI7">
            <v>10000</v>
          </cell>
        </row>
      </sheetData>
      <sheetData sheetId="530">
        <row r="7">
          <cell r="AI7">
            <v>10000</v>
          </cell>
        </row>
      </sheetData>
      <sheetData sheetId="531">
        <row r="7">
          <cell r="AI7">
            <v>10000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I7">
            <v>10000</v>
          </cell>
        </row>
      </sheetData>
      <sheetData sheetId="536">
        <row r="7">
          <cell r="AI7">
            <v>10000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I7">
            <v>10000</v>
          </cell>
        </row>
      </sheetData>
      <sheetData sheetId="543">
        <row r="7">
          <cell r="AI7">
            <v>10000</v>
          </cell>
        </row>
      </sheetData>
      <sheetData sheetId="544">
        <row r="7">
          <cell r="AI7">
            <v>10000</v>
          </cell>
        </row>
      </sheetData>
      <sheetData sheetId="545">
        <row r="7">
          <cell r="AI7">
            <v>10000</v>
          </cell>
        </row>
      </sheetData>
      <sheetData sheetId="546"/>
      <sheetData sheetId="547">
        <row r="7">
          <cell r="AI7">
            <v>10000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I7">
            <v>10000</v>
          </cell>
        </row>
      </sheetData>
      <sheetData sheetId="553">
        <row r="7">
          <cell r="AI7">
            <v>10000</v>
          </cell>
        </row>
      </sheetData>
      <sheetData sheetId="554">
        <row r="7">
          <cell r="AI7">
            <v>10000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I7">
            <v>10000</v>
          </cell>
        </row>
      </sheetData>
      <sheetData sheetId="557"/>
      <sheetData sheetId="558"/>
      <sheetData sheetId="559"/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I7">
            <v>10000</v>
          </cell>
        </row>
      </sheetData>
      <sheetData sheetId="567">
        <row r="7">
          <cell r="AI7">
            <v>10000</v>
          </cell>
        </row>
      </sheetData>
      <sheetData sheetId="568" refreshError="1"/>
      <sheetData sheetId="569" refreshError="1"/>
      <sheetData sheetId="570">
        <row r="7">
          <cell r="AI7">
            <v>10000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I7">
            <v>10000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I7">
            <v>10000</v>
          </cell>
        </row>
      </sheetData>
      <sheetData sheetId="636">
        <row r="7">
          <cell r="AI7">
            <v>10000</v>
          </cell>
        </row>
      </sheetData>
      <sheetData sheetId="637">
        <row r="7">
          <cell r="AI7">
            <v>10000</v>
          </cell>
        </row>
      </sheetData>
      <sheetData sheetId="638">
        <row r="7">
          <cell r="AI7">
            <v>10000</v>
          </cell>
        </row>
      </sheetData>
      <sheetData sheetId="639">
        <row r="7">
          <cell r="AI7">
            <v>10000</v>
          </cell>
        </row>
      </sheetData>
      <sheetData sheetId="640">
        <row r="7">
          <cell r="AI7">
            <v>10000</v>
          </cell>
        </row>
      </sheetData>
      <sheetData sheetId="641">
        <row r="7">
          <cell r="AI7">
            <v>10000</v>
          </cell>
        </row>
      </sheetData>
      <sheetData sheetId="642">
        <row r="7">
          <cell r="AI7">
            <v>10000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I7">
            <v>10000</v>
          </cell>
        </row>
      </sheetData>
      <sheetData sheetId="650"/>
      <sheetData sheetId="651">
        <row r="7">
          <cell r="AH7" t="str">
            <v>SP1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I7">
            <v>10000</v>
          </cell>
        </row>
      </sheetData>
      <sheetData sheetId="665">
        <row r="7">
          <cell r="AI7">
            <v>10000</v>
          </cell>
        </row>
      </sheetData>
      <sheetData sheetId="666">
        <row r="7">
          <cell r="AI7">
            <v>10000</v>
          </cell>
        </row>
      </sheetData>
      <sheetData sheetId="667">
        <row r="7">
          <cell r="AI7">
            <v>10000</v>
          </cell>
        </row>
      </sheetData>
      <sheetData sheetId="668">
        <row r="7">
          <cell r="AI7">
            <v>10000</v>
          </cell>
        </row>
      </sheetData>
      <sheetData sheetId="669">
        <row r="7">
          <cell r="AI7">
            <v>10000</v>
          </cell>
        </row>
      </sheetData>
      <sheetData sheetId="670">
        <row r="7">
          <cell r="AI7">
            <v>10000</v>
          </cell>
        </row>
      </sheetData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7">
          <cell r="AH7" t="str">
            <v>SP1</v>
          </cell>
        </row>
      </sheetData>
      <sheetData sheetId="683">
        <row r="7">
          <cell r="AI7">
            <v>10000</v>
          </cell>
        </row>
      </sheetData>
      <sheetData sheetId="684"/>
      <sheetData sheetId="685">
        <row r="7">
          <cell r="AI7">
            <v>10000</v>
          </cell>
        </row>
      </sheetData>
      <sheetData sheetId="686">
        <row r="7">
          <cell r="AI7">
            <v>10000</v>
          </cell>
        </row>
      </sheetData>
      <sheetData sheetId="687">
        <row r="7">
          <cell r="AI7">
            <v>10000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H7" t="str">
            <v>SP1</v>
          </cell>
        </row>
      </sheetData>
      <sheetData sheetId="690">
        <row r="7">
          <cell r="AH7" t="str">
            <v>SP1</v>
          </cell>
        </row>
      </sheetData>
      <sheetData sheetId="691">
        <row r="7">
          <cell r="AH7" t="str">
            <v>SP1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I7">
            <v>10000</v>
          </cell>
        </row>
      </sheetData>
      <sheetData sheetId="694">
        <row r="7">
          <cell r="AI7">
            <v>10000</v>
          </cell>
        </row>
      </sheetData>
      <sheetData sheetId="695">
        <row r="7">
          <cell r="AI7">
            <v>10000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I7">
            <v>10000</v>
          </cell>
        </row>
      </sheetData>
      <sheetData sheetId="698">
        <row r="7">
          <cell r="AI7">
            <v>10000</v>
          </cell>
        </row>
      </sheetData>
      <sheetData sheetId="699">
        <row r="7">
          <cell r="AI7">
            <v>10000</v>
          </cell>
        </row>
      </sheetData>
      <sheetData sheetId="700">
        <row r="7">
          <cell r="AI7">
            <v>10000</v>
          </cell>
        </row>
      </sheetData>
      <sheetData sheetId="701"/>
      <sheetData sheetId="702"/>
      <sheetData sheetId="703">
        <row r="7">
          <cell r="AI7">
            <v>10000</v>
          </cell>
        </row>
      </sheetData>
      <sheetData sheetId="704"/>
      <sheetData sheetId="705"/>
      <sheetData sheetId="706"/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7">
          <cell r="AI7">
            <v>10000</v>
          </cell>
        </row>
      </sheetData>
      <sheetData sheetId="716" refreshError="1"/>
      <sheetData sheetId="717">
        <row r="7">
          <cell r="AI7">
            <v>10000</v>
          </cell>
        </row>
      </sheetData>
      <sheetData sheetId="718">
        <row r="7">
          <cell r="AI7">
            <v>10000</v>
          </cell>
        </row>
      </sheetData>
      <sheetData sheetId="719">
        <row r="7">
          <cell r="AI7">
            <v>10000</v>
          </cell>
        </row>
      </sheetData>
      <sheetData sheetId="720">
        <row r="7">
          <cell r="AI7">
            <v>10000</v>
          </cell>
        </row>
      </sheetData>
      <sheetData sheetId="721">
        <row r="7">
          <cell r="AI7">
            <v>10000</v>
          </cell>
        </row>
      </sheetData>
      <sheetData sheetId="722">
        <row r="7">
          <cell r="AI7">
            <v>10000</v>
          </cell>
        </row>
      </sheetData>
      <sheetData sheetId="723">
        <row r="7">
          <cell r="AI7">
            <v>10000</v>
          </cell>
        </row>
      </sheetData>
      <sheetData sheetId="724">
        <row r="7">
          <cell r="AI7">
            <v>10000</v>
          </cell>
        </row>
      </sheetData>
      <sheetData sheetId="725">
        <row r="7">
          <cell r="AI7">
            <v>10000</v>
          </cell>
        </row>
      </sheetData>
      <sheetData sheetId="726">
        <row r="7">
          <cell r="AI7">
            <v>10000</v>
          </cell>
        </row>
      </sheetData>
      <sheetData sheetId="727">
        <row r="7">
          <cell r="AI7">
            <v>10000</v>
          </cell>
        </row>
      </sheetData>
      <sheetData sheetId="728">
        <row r="7">
          <cell r="AI7">
            <v>10000</v>
          </cell>
        </row>
      </sheetData>
      <sheetData sheetId="729">
        <row r="7">
          <cell r="AI7">
            <v>10000</v>
          </cell>
        </row>
      </sheetData>
      <sheetData sheetId="730">
        <row r="7">
          <cell r="AI7">
            <v>10000</v>
          </cell>
        </row>
      </sheetData>
      <sheetData sheetId="731">
        <row r="7">
          <cell r="AI7">
            <v>10000</v>
          </cell>
        </row>
      </sheetData>
      <sheetData sheetId="732">
        <row r="7">
          <cell r="AI7">
            <v>10000</v>
          </cell>
        </row>
      </sheetData>
      <sheetData sheetId="733">
        <row r="7">
          <cell r="AI7">
            <v>10000</v>
          </cell>
        </row>
      </sheetData>
      <sheetData sheetId="734" refreshError="1"/>
      <sheetData sheetId="735" refreshError="1"/>
      <sheetData sheetId="736">
        <row r="7">
          <cell r="AI7">
            <v>10000</v>
          </cell>
        </row>
      </sheetData>
      <sheetData sheetId="737">
        <row r="7">
          <cell r="AI7">
            <v>10000</v>
          </cell>
        </row>
      </sheetData>
      <sheetData sheetId="738">
        <row r="7">
          <cell r="AI7">
            <v>10000</v>
          </cell>
        </row>
      </sheetData>
      <sheetData sheetId="739">
        <row r="7">
          <cell r="AI7">
            <v>10000</v>
          </cell>
        </row>
      </sheetData>
      <sheetData sheetId="740">
        <row r="7">
          <cell r="AI7">
            <v>10000</v>
          </cell>
        </row>
      </sheetData>
      <sheetData sheetId="741">
        <row r="7">
          <cell r="AI7">
            <v>10000</v>
          </cell>
        </row>
      </sheetData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>
        <row r="7">
          <cell r="AI7">
            <v>10000</v>
          </cell>
        </row>
      </sheetData>
      <sheetData sheetId="776">
        <row r="7">
          <cell r="AH7" t="str">
            <v>SP1</v>
          </cell>
        </row>
      </sheetData>
      <sheetData sheetId="777"/>
      <sheetData sheetId="778">
        <row r="7">
          <cell r="AI7">
            <v>10000</v>
          </cell>
        </row>
      </sheetData>
      <sheetData sheetId="779">
        <row r="7">
          <cell r="AI7">
            <v>10000</v>
          </cell>
        </row>
      </sheetData>
      <sheetData sheetId="780">
        <row r="7">
          <cell r="AI7">
            <v>10000</v>
          </cell>
        </row>
      </sheetData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>
        <row r="7">
          <cell r="AI7">
            <v>10000</v>
          </cell>
        </row>
      </sheetData>
      <sheetData sheetId="790">
        <row r="7">
          <cell r="AI7">
            <v>10000</v>
          </cell>
        </row>
      </sheetData>
      <sheetData sheetId="791">
        <row r="7">
          <cell r="AI7">
            <v>10000</v>
          </cell>
        </row>
      </sheetData>
      <sheetData sheetId="792"/>
      <sheetData sheetId="793"/>
      <sheetData sheetId="794">
        <row r="7">
          <cell r="AH7" t="str">
            <v>SP1</v>
          </cell>
        </row>
      </sheetData>
      <sheetData sheetId="795">
        <row r="7">
          <cell r="AI7">
            <v>10000</v>
          </cell>
        </row>
      </sheetData>
      <sheetData sheetId="796">
        <row r="7">
          <cell r="AI7">
            <v>10000</v>
          </cell>
        </row>
      </sheetData>
      <sheetData sheetId="797">
        <row r="7">
          <cell r="AH7" t="str">
            <v>SP1</v>
          </cell>
        </row>
      </sheetData>
      <sheetData sheetId="798">
        <row r="7">
          <cell r="AH7" t="str">
            <v>SP1</v>
          </cell>
        </row>
      </sheetData>
      <sheetData sheetId="799"/>
      <sheetData sheetId="800"/>
      <sheetData sheetId="801"/>
      <sheetData sheetId="802"/>
      <sheetData sheetId="803"/>
      <sheetData sheetId="804" refreshError="1"/>
      <sheetData sheetId="805">
        <row r="7">
          <cell r="AI7">
            <v>10000</v>
          </cell>
        </row>
      </sheetData>
      <sheetData sheetId="806">
        <row r="7">
          <cell r="AH7" t="str">
            <v>SP1</v>
          </cell>
        </row>
      </sheetData>
      <sheetData sheetId="807">
        <row r="7">
          <cell r="AI7">
            <v>10000</v>
          </cell>
        </row>
      </sheetData>
      <sheetData sheetId="808">
        <row r="7">
          <cell r="AI7">
            <v>10000</v>
          </cell>
        </row>
      </sheetData>
      <sheetData sheetId="809">
        <row r="7">
          <cell r="AI7">
            <v>10000</v>
          </cell>
        </row>
      </sheetData>
      <sheetData sheetId="810">
        <row r="7">
          <cell r="AI7">
            <v>10000</v>
          </cell>
        </row>
      </sheetData>
      <sheetData sheetId="811">
        <row r="7">
          <cell r="AI7">
            <v>10000</v>
          </cell>
        </row>
      </sheetData>
      <sheetData sheetId="812"/>
      <sheetData sheetId="813"/>
      <sheetData sheetId="814"/>
      <sheetData sheetId="815"/>
      <sheetData sheetId="816"/>
      <sheetData sheetId="817"/>
      <sheetData sheetId="818"/>
      <sheetData sheetId="819">
        <row r="7">
          <cell r="AI7">
            <v>10000</v>
          </cell>
        </row>
      </sheetData>
      <sheetData sheetId="820">
        <row r="7">
          <cell r="AI7">
            <v>10000</v>
          </cell>
        </row>
      </sheetData>
      <sheetData sheetId="821">
        <row r="7">
          <cell r="AI7">
            <v>10000</v>
          </cell>
        </row>
      </sheetData>
      <sheetData sheetId="822">
        <row r="7">
          <cell r="AI7">
            <v>10000</v>
          </cell>
        </row>
      </sheetData>
      <sheetData sheetId="823">
        <row r="7">
          <cell r="AI7">
            <v>10000</v>
          </cell>
        </row>
      </sheetData>
      <sheetData sheetId="824"/>
      <sheetData sheetId="825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>
        <row r="7">
          <cell r="AI7">
            <v>10000</v>
          </cell>
        </row>
      </sheetData>
      <sheetData sheetId="995">
        <row r="7">
          <cell r="AI7">
            <v>10000</v>
          </cell>
        </row>
      </sheetData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>
        <row r="7">
          <cell r="AI7">
            <v>10000</v>
          </cell>
        </row>
      </sheetData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>
        <row r="7">
          <cell r="AI7">
            <v>10000</v>
          </cell>
        </row>
      </sheetData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 refreshError="1"/>
      <sheetData sheetId="1228" refreshError="1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>
        <row r="7">
          <cell r="AI7">
            <v>10000</v>
          </cell>
        </row>
      </sheetData>
      <sheetData sheetId="1665">
        <row r="7">
          <cell r="AI7">
            <v>10000</v>
          </cell>
        </row>
      </sheetData>
      <sheetData sheetId="1666">
        <row r="7">
          <cell r="AI7">
            <v>10000</v>
          </cell>
        </row>
      </sheetData>
      <sheetData sheetId="1667">
        <row r="7">
          <cell r="AI7">
            <v>10000</v>
          </cell>
        </row>
      </sheetData>
      <sheetData sheetId="1668">
        <row r="7">
          <cell r="AI7">
            <v>10000</v>
          </cell>
        </row>
      </sheetData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>
        <row r="7">
          <cell r="AI7">
            <v>10000</v>
          </cell>
        </row>
      </sheetData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7">
          <cell r="AI7">
            <v>10000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>
        <row r="7">
          <cell r="AI7">
            <v>10000</v>
          </cell>
        </row>
      </sheetData>
      <sheetData sheetId="1691" refreshError="1"/>
      <sheetData sheetId="1692" refreshError="1"/>
      <sheetData sheetId="1693">
        <row r="7">
          <cell r="AI7">
            <v>10000</v>
          </cell>
        </row>
      </sheetData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>
        <row r="7">
          <cell r="AI7">
            <v>10000</v>
          </cell>
        </row>
      </sheetData>
      <sheetData sheetId="1700">
        <row r="7">
          <cell r="AI7">
            <v>10000</v>
          </cell>
        </row>
      </sheetData>
      <sheetData sheetId="1701" refreshError="1"/>
      <sheetData sheetId="1702" refreshError="1"/>
      <sheetData sheetId="1703">
        <row r="7">
          <cell r="AI7">
            <v>10000</v>
          </cell>
        </row>
      </sheetData>
      <sheetData sheetId="1704">
        <row r="7">
          <cell r="AI7">
            <v>10000</v>
          </cell>
        </row>
      </sheetData>
      <sheetData sheetId="1705">
        <row r="7">
          <cell r="AI7">
            <v>10000</v>
          </cell>
        </row>
      </sheetData>
      <sheetData sheetId="1706">
        <row r="7">
          <cell r="AI7">
            <v>10000</v>
          </cell>
        </row>
      </sheetData>
      <sheetData sheetId="1707">
        <row r="7">
          <cell r="AI7">
            <v>10000</v>
          </cell>
        </row>
      </sheetData>
      <sheetData sheetId="1708">
        <row r="7">
          <cell r="AI7">
            <v>10000</v>
          </cell>
        </row>
      </sheetData>
      <sheetData sheetId="1709">
        <row r="7">
          <cell r="AH7" t="str">
            <v>SP1</v>
          </cell>
        </row>
      </sheetData>
      <sheetData sheetId="1710">
        <row r="7">
          <cell r="AI7">
            <v>10000</v>
          </cell>
        </row>
      </sheetData>
      <sheetData sheetId="1711" refreshError="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/>
      <sheetData sheetId="1722" refreshError="1"/>
      <sheetData sheetId="1723" refreshError="1"/>
      <sheetData sheetId="1724">
        <row r="7">
          <cell r="AH7" t="str">
            <v>SP1</v>
          </cell>
        </row>
      </sheetData>
      <sheetData sheetId="1725" refreshError="1"/>
      <sheetData sheetId="1726" refreshError="1"/>
      <sheetData sheetId="1727"/>
      <sheetData sheetId="1728" refreshError="1"/>
      <sheetData sheetId="1729" refreshError="1"/>
      <sheetData sheetId="1730" refreshError="1"/>
      <sheetData sheetId="1731"/>
      <sheetData sheetId="1732" refreshError="1"/>
      <sheetData sheetId="1733" refreshError="1"/>
      <sheetData sheetId="1734" refreshError="1"/>
      <sheetData sheetId="1735">
        <row r="7">
          <cell r="AI7">
            <v>10000</v>
          </cell>
        </row>
      </sheetData>
      <sheetData sheetId="1736">
        <row r="7">
          <cell r="AI7">
            <v>10000</v>
          </cell>
        </row>
      </sheetData>
      <sheetData sheetId="1737">
        <row r="7">
          <cell r="AI7">
            <v>10000</v>
          </cell>
        </row>
      </sheetData>
      <sheetData sheetId="1738">
        <row r="7">
          <cell r="AI7">
            <v>10000</v>
          </cell>
        </row>
      </sheetData>
      <sheetData sheetId="1739">
        <row r="7">
          <cell r="AH7" t="str">
            <v>SP1</v>
          </cell>
        </row>
      </sheetData>
      <sheetData sheetId="1740">
        <row r="7">
          <cell r="AH7" t="str">
            <v>SP1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>
        <row r="7">
          <cell r="AI7">
            <v>10000</v>
          </cell>
        </row>
      </sheetData>
      <sheetData sheetId="1748" refreshError="1"/>
      <sheetData sheetId="1749">
        <row r="7">
          <cell r="AI7">
            <v>10000</v>
          </cell>
        </row>
      </sheetData>
      <sheetData sheetId="1750">
        <row r="7">
          <cell r="AI7">
            <v>10000</v>
          </cell>
        </row>
      </sheetData>
      <sheetData sheetId="1751">
        <row r="7">
          <cell r="AI7">
            <v>10000</v>
          </cell>
        </row>
      </sheetData>
      <sheetData sheetId="1752">
        <row r="7">
          <cell r="AI7">
            <v>10000</v>
          </cell>
        </row>
      </sheetData>
      <sheetData sheetId="1753" refreshError="1"/>
      <sheetData sheetId="1754">
        <row r="7">
          <cell r="AH7" t="str">
            <v>SP1</v>
          </cell>
        </row>
      </sheetData>
      <sheetData sheetId="1755">
        <row r="7">
          <cell r="AI7">
            <v>10000</v>
          </cell>
        </row>
      </sheetData>
      <sheetData sheetId="1756">
        <row r="7">
          <cell r="AI7">
            <v>10000</v>
          </cell>
        </row>
      </sheetData>
      <sheetData sheetId="1757">
        <row r="7">
          <cell r="AI7">
            <v>10000</v>
          </cell>
        </row>
      </sheetData>
      <sheetData sheetId="1758">
        <row r="7">
          <cell r="AI7">
            <v>10000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>
        <row r="7">
          <cell r="AI7">
            <v>10000</v>
          </cell>
        </row>
      </sheetData>
      <sheetData sheetId="1766">
        <row r="7">
          <cell r="AI7">
            <v>10000</v>
          </cell>
        </row>
      </sheetData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>
        <row r="7">
          <cell r="AI7">
            <v>10000</v>
          </cell>
        </row>
      </sheetData>
      <sheetData sheetId="1791" refreshError="1"/>
      <sheetData sheetId="1792">
        <row r="7">
          <cell r="AI7">
            <v>10000</v>
          </cell>
        </row>
      </sheetData>
      <sheetData sheetId="1793">
        <row r="7">
          <cell r="AI7">
            <v>10000</v>
          </cell>
        </row>
      </sheetData>
      <sheetData sheetId="1794">
        <row r="7">
          <cell r="AI7">
            <v>10000</v>
          </cell>
        </row>
      </sheetData>
      <sheetData sheetId="1795">
        <row r="7">
          <cell r="AI7">
            <v>10000</v>
          </cell>
        </row>
      </sheetData>
      <sheetData sheetId="1796">
        <row r="7">
          <cell r="AI7">
            <v>10000</v>
          </cell>
        </row>
      </sheetData>
      <sheetData sheetId="1797">
        <row r="7">
          <cell r="AI7">
            <v>10000</v>
          </cell>
        </row>
      </sheetData>
      <sheetData sheetId="1798">
        <row r="7">
          <cell r="AI7">
            <v>10000</v>
          </cell>
        </row>
      </sheetData>
      <sheetData sheetId="1799">
        <row r="7">
          <cell r="AI7">
            <v>10000</v>
          </cell>
        </row>
      </sheetData>
      <sheetData sheetId="1800">
        <row r="7">
          <cell r="AI7">
            <v>10000</v>
          </cell>
        </row>
      </sheetData>
      <sheetData sheetId="1801" refreshError="1"/>
      <sheetData sheetId="1802">
        <row r="7">
          <cell r="AI7">
            <v>10000</v>
          </cell>
        </row>
      </sheetData>
      <sheetData sheetId="1803">
        <row r="7">
          <cell r="AI7">
            <v>10000</v>
          </cell>
        </row>
      </sheetData>
      <sheetData sheetId="1804">
        <row r="7">
          <cell r="AI7">
            <v>10000</v>
          </cell>
        </row>
      </sheetData>
      <sheetData sheetId="1805">
        <row r="7">
          <cell r="AI7">
            <v>10000</v>
          </cell>
        </row>
      </sheetData>
      <sheetData sheetId="1806">
        <row r="7">
          <cell r="AI7">
            <v>10000</v>
          </cell>
        </row>
      </sheetData>
      <sheetData sheetId="1807">
        <row r="7">
          <cell r="AI7">
            <v>10000</v>
          </cell>
        </row>
      </sheetData>
      <sheetData sheetId="1808" refreshError="1"/>
      <sheetData sheetId="1809">
        <row r="7">
          <cell r="AI7">
            <v>10000</v>
          </cell>
        </row>
      </sheetData>
      <sheetData sheetId="1810">
        <row r="7">
          <cell r="AH7" t="str">
            <v>SP1</v>
          </cell>
        </row>
      </sheetData>
      <sheetData sheetId="1811">
        <row r="7">
          <cell r="AH7" t="str">
            <v>SP1</v>
          </cell>
        </row>
      </sheetData>
      <sheetData sheetId="1812" refreshError="1"/>
      <sheetData sheetId="1813" refreshError="1"/>
      <sheetData sheetId="1814" refreshError="1"/>
      <sheetData sheetId="1815">
        <row r="7">
          <cell r="AI7">
            <v>10000</v>
          </cell>
        </row>
      </sheetData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>
        <row r="7">
          <cell r="AI7">
            <v>10000</v>
          </cell>
        </row>
      </sheetData>
      <sheetData sheetId="1825">
        <row r="7">
          <cell r="AI7">
            <v>10000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>
        <row r="7">
          <cell r="AI7">
            <v>10000</v>
          </cell>
        </row>
      </sheetData>
      <sheetData sheetId="1852">
        <row r="7">
          <cell r="AH7" t="str">
            <v>SP1</v>
          </cell>
        </row>
      </sheetData>
      <sheetData sheetId="1853">
        <row r="7">
          <cell r="AH7" t="str">
            <v>SP1</v>
          </cell>
        </row>
      </sheetData>
      <sheetData sheetId="1854">
        <row r="7">
          <cell r="AH7" t="str">
            <v>SP1</v>
          </cell>
        </row>
      </sheetData>
      <sheetData sheetId="1855">
        <row r="7">
          <cell r="AH7" t="str">
            <v>SP1</v>
          </cell>
        </row>
      </sheetData>
      <sheetData sheetId="1856">
        <row r="7">
          <cell r="AH7" t="str">
            <v>SP1</v>
          </cell>
        </row>
      </sheetData>
      <sheetData sheetId="1857">
        <row r="7">
          <cell r="AH7" t="str">
            <v>SP1</v>
          </cell>
        </row>
      </sheetData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>
        <row r="7">
          <cell r="AH7" t="str">
            <v>SP1</v>
          </cell>
        </row>
      </sheetData>
      <sheetData sheetId="1864" refreshError="1"/>
      <sheetData sheetId="1865" refreshError="1"/>
      <sheetData sheetId="1866" refreshError="1"/>
      <sheetData sheetId="1867">
        <row r="7">
          <cell r="AI7">
            <v>10000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7">
          <cell r="AI7">
            <v>10000</v>
          </cell>
        </row>
      </sheetData>
      <sheetData sheetId="1882">
        <row r="7">
          <cell r="AI7">
            <v>10000</v>
          </cell>
        </row>
      </sheetData>
      <sheetData sheetId="1883">
        <row r="7">
          <cell r="AI7">
            <v>10000</v>
          </cell>
        </row>
      </sheetData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>
        <row r="7">
          <cell r="AI7">
            <v>10000</v>
          </cell>
        </row>
      </sheetData>
      <sheetData sheetId="1891">
        <row r="7">
          <cell r="AI7">
            <v>10000</v>
          </cell>
        </row>
      </sheetData>
      <sheetData sheetId="1892">
        <row r="7">
          <cell r="AI7">
            <v>10000</v>
          </cell>
        </row>
      </sheetData>
      <sheetData sheetId="1893">
        <row r="7">
          <cell r="AH7" t="str">
            <v>SP1</v>
          </cell>
        </row>
      </sheetData>
      <sheetData sheetId="1894">
        <row r="7">
          <cell r="AI7">
            <v>10000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I7">
            <v>10000</v>
          </cell>
        </row>
      </sheetData>
      <sheetData sheetId="2090">
        <row r="7">
          <cell r="AI7">
            <v>10000</v>
          </cell>
        </row>
      </sheetData>
      <sheetData sheetId="2091">
        <row r="7">
          <cell r="AI7">
            <v>10000</v>
          </cell>
        </row>
      </sheetData>
      <sheetData sheetId="2092">
        <row r="7">
          <cell r="AI7">
            <v>10000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I7">
            <v>10000</v>
          </cell>
        </row>
      </sheetData>
      <sheetData sheetId="2099">
        <row r="7">
          <cell r="AI7">
            <v>10000</v>
          </cell>
        </row>
      </sheetData>
      <sheetData sheetId="2100">
        <row r="7">
          <cell r="AI7">
            <v>10000</v>
          </cell>
        </row>
      </sheetData>
      <sheetData sheetId="2101">
        <row r="7">
          <cell r="AI7">
            <v>10000</v>
          </cell>
        </row>
      </sheetData>
      <sheetData sheetId="2102">
        <row r="7">
          <cell r="AI7">
            <v>10000</v>
          </cell>
        </row>
      </sheetData>
      <sheetData sheetId="2103">
        <row r="7">
          <cell r="AI7">
            <v>10000</v>
          </cell>
        </row>
      </sheetData>
      <sheetData sheetId="2104">
        <row r="7">
          <cell r="AI7">
            <v>10000</v>
          </cell>
        </row>
      </sheetData>
      <sheetData sheetId="2105">
        <row r="7">
          <cell r="AI7">
            <v>10000</v>
          </cell>
        </row>
      </sheetData>
      <sheetData sheetId="2106">
        <row r="7">
          <cell r="AI7">
            <v>10000</v>
          </cell>
        </row>
      </sheetData>
      <sheetData sheetId="2107">
        <row r="7">
          <cell r="AI7">
            <v>10000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I7">
            <v>10000</v>
          </cell>
        </row>
      </sheetData>
      <sheetData sheetId="2111">
        <row r="7">
          <cell r="AI7">
            <v>10000</v>
          </cell>
        </row>
      </sheetData>
      <sheetData sheetId="2112">
        <row r="7">
          <cell r="AI7">
            <v>10000</v>
          </cell>
        </row>
      </sheetData>
      <sheetData sheetId="2113">
        <row r="7">
          <cell r="AI7">
            <v>10000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H7" t="str">
            <v>SP1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H7" t="str">
            <v>SP1</v>
          </cell>
        </row>
      </sheetData>
      <sheetData sheetId="2119">
        <row r="7">
          <cell r="AI7">
            <v>10000</v>
          </cell>
        </row>
      </sheetData>
      <sheetData sheetId="2120">
        <row r="7">
          <cell r="AI7">
            <v>10000</v>
          </cell>
        </row>
      </sheetData>
      <sheetData sheetId="2121">
        <row r="7">
          <cell r="AI7">
            <v>10000</v>
          </cell>
        </row>
      </sheetData>
      <sheetData sheetId="2122">
        <row r="7">
          <cell r="AI7">
            <v>10000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I7">
            <v>10000</v>
          </cell>
        </row>
      </sheetData>
      <sheetData sheetId="2126">
        <row r="7">
          <cell r="AI7">
            <v>10000</v>
          </cell>
        </row>
      </sheetData>
      <sheetData sheetId="2127">
        <row r="7">
          <cell r="AI7">
            <v>10000</v>
          </cell>
        </row>
      </sheetData>
      <sheetData sheetId="2128">
        <row r="7">
          <cell r="AI7">
            <v>10000</v>
          </cell>
        </row>
      </sheetData>
      <sheetData sheetId="2129">
        <row r="7">
          <cell r="AI7">
            <v>10000</v>
          </cell>
        </row>
      </sheetData>
      <sheetData sheetId="2130">
        <row r="7">
          <cell r="AI7">
            <v>10000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H7" t="str">
            <v>SP1</v>
          </cell>
        </row>
      </sheetData>
      <sheetData sheetId="2134">
        <row r="7">
          <cell r="AI7">
            <v>10000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H7" t="str">
            <v>SP1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I7">
            <v>10000</v>
          </cell>
        </row>
      </sheetData>
      <sheetData sheetId="2139">
        <row r="7">
          <cell r="AI7">
            <v>10000</v>
          </cell>
        </row>
      </sheetData>
      <sheetData sheetId="2140">
        <row r="7">
          <cell r="AI7">
            <v>10000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I7">
            <v>10000</v>
          </cell>
        </row>
      </sheetData>
      <sheetData sheetId="2145">
        <row r="7">
          <cell r="AI7">
            <v>10000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H7" t="str">
            <v>SP1</v>
          </cell>
        </row>
      </sheetData>
      <sheetData sheetId="2149">
        <row r="7">
          <cell r="AI7">
            <v>10000</v>
          </cell>
        </row>
      </sheetData>
      <sheetData sheetId="2150">
        <row r="7">
          <cell r="AI7">
            <v>10000</v>
          </cell>
        </row>
      </sheetData>
      <sheetData sheetId="2151">
        <row r="7">
          <cell r="AI7">
            <v>10000</v>
          </cell>
        </row>
      </sheetData>
      <sheetData sheetId="2152">
        <row r="7">
          <cell r="AI7">
            <v>10000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I7">
            <v>10000</v>
          </cell>
        </row>
      </sheetData>
      <sheetData sheetId="2156">
        <row r="7">
          <cell r="AI7">
            <v>10000</v>
          </cell>
        </row>
      </sheetData>
      <sheetData sheetId="2157">
        <row r="7">
          <cell r="AI7">
            <v>10000</v>
          </cell>
        </row>
      </sheetData>
      <sheetData sheetId="2158">
        <row r="7">
          <cell r="AI7">
            <v>10000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H7" t="str">
            <v>SP1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H7" t="str">
            <v>SP1</v>
          </cell>
        </row>
      </sheetData>
      <sheetData sheetId="2164">
        <row r="7">
          <cell r="AI7">
            <v>10000</v>
          </cell>
        </row>
      </sheetData>
      <sheetData sheetId="2165">
        <row r="7">
          <cell r="AI7">
            <v>10000</v>
          </cell>
        </row>
      </sheetData>
      <sheetData sheetId="2166">
        <row r="7">
          <cell r="AI7">
            <v>10000</v>
          </cell>
        </row>
      </sheetData>
      <sheetData sheetId="2167">
        <row r="7">
          <cell r="AI7">
            <v>10000</v>
          </cell>
        </row>
      </sheetData>
      <sheetData sheetId="2168">
        <row r="7">
          <cell r="AI7">
            <v>10000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I7">
            <v>10000</v>
          </cell>
        </row>
      </sheetData>
      <sheetData sheetId="2171">
        <row r="7">
          <cell r="AI7">
            <v>10000</v>
          </cell>
        </row>
      </sheetData>
      <sheetData sheetId="2172">
        <row r="7">
          <cell r="AI7">
            <v>10000</v>
          </cell>
        </row>
      </sheetData>
      <sheetData sheetId="2173">
        <row r="7">
          <cell r="AI7">
            <v>10000</v>
          </cell>
        </row>
      </sheetData>
      <sheetData sheetId="2174">
        <row r="7">
          <cell r="AI7">
            <v>10000</v>
          </cell>
        </row>
      </sheetData>
      <sheetData sheetId="2175">
        <row r="7">
          <cell r="AI7">
            <v>10000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H7" t="str">
            <v>SP1</v>
          </cell>
        </row>
      </sheetData>
      <sheetData sheetId="2179">
        <row r="7">
          <cell r="AI7">
            <v>10000</v>
          </cell>
        </row>
      </sheetData>
      <sheetData sheetId="2180">
        <row r="7">
          <cell r="AH7" t="str">
            <v>SP1</v>
          </cell>
        </row>
      </sheetData>
      <sheetData sheetId="2181">
        <row r="7">
          <cell r="AH7" t="str">
            <v>SP1</v>
          </cell>
        </row>
      </sheetData>
      <sheetData sheetId="2182">
        <row r="7">
          <cell r="AH7" t="str">
            <v>SP1</v>
          </cell>
        </row>
      </sheetData>
      <sheetData sheetId="2183">
        <row r="7">
          <cell r="AI7">
            <v>10000</v>
          </cell>
        </row>
      </sheetData>
      <sheetData sheetId="2184">
        <row r="7">
          <cell r="AI7">
            <v>10000</v>
          </cell>
        </row>
      </sheetData>
      <sheetData sheetId="2185">
        <row r="7">
          <cell r="AI7">
            <v>10000</v>
          </cell>
        </row>
      </sheetData>
      <sheetData sheetId="2186">
        <row r="7">
          <cell r="AH7" t="str">
            <v>SP1</v>
          </cell>
        </row>
      </sheetData>
      <sheetData sheetId="2187">
        <row r="7">
          <cell r="AH7" t="str">
            <v>SP1</v>
          </cell>
        </row>
      </sheetData>
      <sheetData sheetId="2188">
        <row r="7">
          <cell r="AH7" t="str">
            <v>SP1</v>
          </cell>
        </row>
      </sheetData>
      <sheetData sheetId="2189">
        <row r="7">
          <cell r="AI7">
            <v>10000</v>
          </cell>
        </row>
      </sheetData>
      <sheetData sheetId="2190">
        <row r="7">
          <cell r="AI7">
            <v>10000</v>
          </cell>
        </row>
      </sheetData>
      <sheetData sheetId="2191">
        <row r="7">
          <cell r="AH7" t="str">
            <v>SP1</v>
          </cell>
        </row>
      </sheetData>
      <sheetData sheetId="2192">
        <row r="7">
          <cell r="AH7" t="str">
            <v>SP1</v>
          </cell>
        </row>
      </sheetData>
      <sheetData sheetId="2193">
        <row r="7">
          <cell r="AH7" t="str">
            <v>SP1</v>
          </cell>
        </row>
      </sheetData>
      <sheetData sheetId="2194">
        <row r="7">
          <cell r="AI7">
            <v>10000</v>
          </cell>
        </row>
      </sheetData>
      <sheetData sheetId="2195">
        <row r="7">
          <cell r="AI7">
            <v>10000</v>
          </cell>
        </row>
      </sheetData>
      <sheetData sheetId="2196">
        <row r="7">
          <cell r="AI7">
            <v>10000</v>
          </cell>
        </row>
      </sheetData>
      <sheetData sheetId="2197">
        <row r="7">
          <cell r="AI7">
            <v>10000</v>
          </cell>
        </row>
      </sheetData>
      <sheetData sheetId="2198">
        <row r="7">
          <cell r="AI7">
            <v>10000</v>
          </cell>
        </row>
      </sheetData>
      <sheetData sheetId="2199" refreshError="1"/>
      <sheetData sheetId="2200">
        <row r="7">
          <cell r="AI7">
            <v>10000</v>
          </cell>
        </row>
      </sheetData>
      <sheetData sheetId="2201">
        <row r="7">
          <cell r="AI7">
            <v>10000</v>
          </cell>
        </row>
      </sheetData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>
        <row r="7">
          <cell r="AI7">
            <v>10000</v>
          </cell>
        </row>
      </sheetData>
      <sheetData sheetId="2226" refreshError="1"/>
      <sheetData sheetId="2227" refreshError="1"/>
      <sheetData sheetId="2228" refreshError="1"/>
      <sheetData sheetId="2229" refreshError="1"/>
      <sheetData sheetId="2230">
        <row r="7">
          <cell r="AI7">
            <v>10000</v>
          </cell>
        </row>
      </sheetData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I7">
            <v>10000</v>
          </cell>
        </row>
      </sheetData>
      <sheetData sheetId="2308">
        <row r="7">
          <cell r="AI7">
            <v>10000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I7">
            <v>10000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I7">
            <v>10000</v>
          </cell>
        </row>
      </sheetData>
      <sheetData sheetId="2323">
        <row r="7">
          <cell r="AH7" t="str">
            <v>SP1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I7">
            <v>10000</v>
          </cell>
        </row>
      </sheetData>
      <sheetData sheetId="2540">
        <row r="7">
          <cell r="AI7">
            <v>10000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I7">
            <v>10000</v>
          </cell>
        </row>
      </sheetData>
      <sheetData sheetId="2551">
        <row r="7">
          <cell r="AI7">
            <v>10000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I7">
            <v>10000</v>
          </cell>
        </row>
      </sheetData>
      <sheetData sheetId="2555">
        <row r="7">
          <cell r="AI7">
            <v>10000</v>
          </cell>
        </row>
      </sheetData>
      <sheetData sheetId="2556">
        <row r="7">
          <cell r="AI7">
            <v>10000</v>
          </cell>
        </row>
      </sheetData>
      <sheetData sheetId="2557">
        <row r="7">
          <cell r="AI7">
            <v>10000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I7">
            <v>10000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I7">
            <v>10000</v>
          </cell>
        </row>
      </sheetData>
      <sheetData sheetId="2566">
        <row r="7">
          <cell r="AH7" t="str">
            <v>SP1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I7">
            <v>10000</v>
          </cell>
        </row>
      </sheetData>
      <sheetData sheetId="2569">
        <row r="7">
          <cell r="AI7">
            <v>10000</v>
          </cell>
        </row>
      </sheetData>
      <sheetData sheetId="2570">
        <row r="7">
          <cell r="AI7">
            <v>10000</v>
          </cell>
        </row>
      </sheetData>
      <sheetData sheetId="2571">
        <row r="7">
          <cell r="AI7">
            <v>10000</v>
          </cell>
        </row>
      </sheetData>
      <sheetData sheetId="2572">
        <row r="7">
          <cell r="AH7" t="str">
            <v>SP1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I7">
            <v>10000</v>
          </cell>
        </row>
      </sheetData>
      <sheetData sheetId="2576">
        <row r="7">
          <cell r="AI7">
            <v>10000</v>
          </cell>
        </row>
      </sheetData>
      <sheetData sheetId="2577">
        <row r="7">
          <cell r="AI7">
            <v>10000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I7">
            <v>10000</v>
          </cell>
        </row>
      </sheetData>
      <sheetData sheetId="2581">
        <row r="7">
          <cell r="AH7" t="str">
            <v>SP1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I7">
            <v>10000</v>
          </cell>
        </row>
      </sheetData>
      <sheetData sheetId="2584">
        <row r="7">
          <cell r="AI7">
            <v>10000</v>
          </cell>
        </row>
      </sheetData>
      <sheetData sheetId="2585">
        <row r="7">
          <cell r="AH7" t="str">
            <v>SP1</v>
          </cell>
        </row>
      </sheetData>
      <sheetData sheetId="2586">
        <row r="7">
          <cell r="AI7">
            <v>10000</v>
          </cell>
        </row>
      </sheetData>
      <sheetData sheetId="2587">
        <row r="7">
          <cell r="AI7">
            <v>10000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I7">
            <v>10000</v>
          </cell>
        </row>
      </sheetData>
      <sheetData sheetId="2591">
        <row r="7">
          <cell r="AH7" t="str">
            <v>SP1</v>
          </cell>
        </row>
      </sheetData>
      <sheetData sheetId="2592">
        <row r="7">
          <cell r="AI7">
            <v>10000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I7">
            <v>10000</v>
          </cell>
        </row>
      </sheetData>
      <sheetData sheetId="2596">
        <row r="7">
          <cell r="AH7" t="str">
            <v>SP1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I7">
            <v>10000</v>
          </cell>
        </row>
      </sheetData>
      <sheetData sheetId="2599">
        <row r="7">
          <cell r="AI7">
            <v>10000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I7">
            <v>10000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I7">
            <v>10000</v>
          </cell>
        </row>
      </sheetData>
      <sheetData sheetId="2611">
        <row r="7">
          <cell r="AH7" t="str">
            <v>SP1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I7">
            <v>10000</v>
          </cell>
        </row>
      </sheetData>
      <sheetData sheetId="2616">
        <row r="7">
          <cell r="AI7">
            <v>10000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>
        <row r="7">
          <cell r="AI7">
            <v>10000</v>
          </cell>
        </row>
      </sheetData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>
        <row r="7">
          <cell r="AI7">
            <v>10000</v>
          </cell>
        </row>
      </sheetData>
      <sheetData sheetId="3053" refreshError="1"/>
      <sheetData sheetId="3054">
        <row r="7">
          <cell r="AI7">
            <v>10000</v>
          </cell>
        </row>
      </sheetData>
      <sheetData sheetId="3055">
        <row r="7">
          <cell r="AI7">
            <v>10000</v>
          </cell>
        </row>
      </sheetData>
      <sheetData sheetId="3056">
        <row r="7">
          <cell r="AI7">
            <v>10000</v>
          </cell>
        </row>
      </sheetData>
      <sheetData sheetId="3057">
        <row r="7">
          <cell r="AI7">
            <v>10000</v>
          </cell>
        </row>
      </sheetData>
      <sheetData sheetId="3058">
        <row r="7">
          <cell r="AI7">
            <v>10000</v>
          </cell>
        </row>
      </sheetData>
      <sheetData sheetId="3059">
        <row r="7">
          <cell r="AI7">
            <v>10000</v>
          </cell>
        </row>
      </sheetData>
      <sheetData sheetId="3060">
        <row r="7">
          <cell r="AI7">
            <v>10000</v>
          </cell>
        </row>
      </sheetData>
      <sheetData sheetId="3061">
        <row r="7">
          <cell r="AI7">
            <v>10000</v>
          </cell>
        </row>
      </sheetData>
      <sheetData sheetId="3062">
        <row r="7">
          <cell r="AI7">
            <v>10000</v>
          </cell>
        </row>
      </sheetData>
      <sheetData sheetId="3063">
        <row r="7">
          <cell r="AI7">
            <v>10000</v>
          </cell>
        </row>
      </sheetData>
      <sheetData sheetId="3064">
        <row r="7">
          <cell r="AI7">
            <v>10000</v>
          </cell>
        </row>
      </sheetData>
      <sheetData sheetId="3065">
        <row r="7">
          <cell r="AI7">
            <v>10000</v>
          </cell>
        </row>
      </sheetData>
      <sheetData sheetId="3066">
        <row r="7">
          <cell r="AI7">
            <v>10000</v>
          </cell>
        </row>
      </sheetData>
      <sheetData sheetId="3067">
        <row r="7">
          <cell r="AI7">
            <v>10000</v>
          </cell>
        </row>
      </sheetData>
      <sheetData sheetId="3068">
        <row r="7">
          <cell r="AI7">
            <v>10000</v>
          </cell>
        </row>
      </sheetData>
      <sheetData sheetId="3069">
        <row r="7">
          <cell r="AI7">
            <v>10000</v>
          </cell>
        </row>
      </sheetData>
      <sheetData sheetId="3070">
        <row r="7">
          <cell r="AI7">
            <v>10000</v>
          </cell>
        </row>
      </sheetData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>
        <row r="7">
          <cell r="AI7">
            <v>10000</v>
          </cell>
        </row>
      </sheetData>
      <sheetData sheetId="3084" refreshError="1"/>
      <sheetData sheetId="3085" refreshError="1"/>
      <sheetData sheetId="3086">
        <row r="7">
          <cell r="AI7">
            <v>10000</v>
          </cell>
        </row>
      </sheetData>
      <sheetData sheetId="3087">
        <row r="7">
          <cell r="AI7">
            <v>10000</v>
          </cell>
        </row>
      </sheetData>
      <sheetData sheetId="3088">
        <row r="7">
          <cell r="AI7">
            <v>10000</v>
          </cell>
        </row>
      </sheetData>
      <sheetData sheetId="3089">
        <row r="7">
          <cell r="AI7">
            <v>10000</v>
          </cell>
        </row>
      </sheetData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>
        <row r="7">
          <cell r="AI7">
            <v>10000</v>
          </cell>
        </row>
      </sheetData>
      <sheetData sheetId="3105"/>
      <sheetData sheetId="3106">
        <row r="7">
          <cell r="AI7">
            <v>10000</v>
          </cell>
        </row>
      </sheetData>
      <sheetData sheetId="3107">
        <row r="7">
          <cell r="AI7">
            <v>10000</v>
          </cell>
        </row>
      </sheetData>
      <sheetData sheetId="3108">
        <row r="7">
          <cell r="AI7">
            <v>10000</v>
          </cell>
        </row>
      </sheetData>
      <sheetData sheetId="3109">
        <row r="7">
          <cell r="AI7">
            <v>10000</v>
          </cell>
        </row>
      </sheetData>
      <sheetData sheetId="3110">
        <row r="7">
          <cell r="AI7">
            <v>10000</v>
          </cell>
        </row>
      </sheetData>
      <sheetData sheetId="3111">
        <row r="7">
          <cell r="AI7">
            <v>10000</v>
          </cell>
        </row>
      </sheetData>
      <sheetData sheetId="3112">
        <row r="7">
          <cell r="AI7">
            <v>10000</v>
          </cell>
        </row>
      </sheetData>
      <sheetData sheetId="3113">
        <row r="7">
          <cell r="AI7">
            <v>10000</v>
          </cell>
        </row>
      </sheetData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>
        <row r="7">
          <cell r="AI7">
            <v>10000</v>
          </cell>
        </row>
      </sheetData>
      <sheetData sheetId="3131">
        <row r="7">
          <cell r="AI7">
            <v>10000</v>
          </cell>
        </row>
      </sheetData>
      <sheetData sheetId="3132">
        <row r="7">
          <cell r="AI7">
            <v>10000</v>
          </cell>
        </row>
      </sheetData>
      <sheetData sheetId="3133">
        <row r="7">
          <cell r="AI7">
            <v>10000</v>
          </cell>
        </row>
      </sheetData>
      <sheetData sheetId="3134">
        <row r="7">
          <cell r="AI7">
            <v>10000</v>
          </cell>
        </row>
      </sheetData>
      <sheetData sheetId="3135">
        <row r="7">
          <cell r="AI7">
            <v>10000</v>
          </cell>
        </row>
      </sheetData>
      <sheetData sheetId="3136">
        <row r="7">
          <cell r="AI7">
            <v>10000</v>
          </cell>
        </row>
      </sheetData>
      <sheetData sheetId="3137">
        <row r="7">
          <cell r="AI7">
            <v>10000</v>
          </cell>
        </row>
      </sheetData>
      <sheetData sheetId="3138">
        <row r="7">
          <cell r="AI7">
            <v>10000</v>
          </cell>
        </row>
      </sheetData>
      <sheetData sheetId="3139">
        <row r="7">
          <cell r="AI7">
            <v>10000</v>
          </cell>
        </row>
      </sheetData>
      <sheetData sheetId="3140">
        <row r="7">
          <cell r="AI7">
            <v>10000</v>
          </cell>
        </row>
      </sheetData>
      <sheetData sheetId="3141">
        <row r="7">
          <cell r="AI7">
            <v>10000</v>
          </cell>
        </row>
      </sheetData>
      <sheetData sheetId="3142">
        <row r="7">
          <cell r="AI7">
            <v>10000</v>
          </cell>
        </row>
      </sheetData>
      <sheetData sheetId="3143">
        <row r="7">
          <cell r="AI7">
            <v>10000</v>
          </cell>
        </row>
      </sheetData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>
        <row r="7">
          <cell r="AI7">
            <v>10000</v>
          </cell>
        </row>
      </sheetData>
      <sheetData sheetId="3172" refreshError="1"/>
      <sheetData sheetId="3173" refreshError="1"/>
      <sheetData sheetId="3174" refreshError="1"/>
      <sheetData sheetId="3175" refreshError="1"/>
      <sheetData sheetId="3176">
        <row r="7">
          <cell r="AI7">
            <v>10000</v>
          </cell>
        </row>
      </sheetData>
      <sheetData sheetId="3177">
        <row r="7">
          <cell r="AI7">
            <v>10000</v>
          </cell>
        </row>
      </sheetData>
      <sheetData sheetId="3178">
        <row r="7">
          <cell r="AI7">
            <v>10000</v>
          </cell>
        </row>
      </sheetData>
      <sheetData sheetId="3179">
        <row r="7">
          <cell r="AI7">
            <v>10000</v>
          </cell>
        </row>
      </sheetData>
      <sheetData sheetId="3180">
        <row r="7">
          <cell r="AI7">
            <v>10000</v>
          </cell>
        </row>
      </sheetData>
      <sheetData sheetId="3181" refreshError="1"/>
      <sheetData sheetId="3182">
        <row r="7">
          <cell r="AI7">
            <v>10000</v>
          </cell>
        </row>
      </sheetData>
      <sheetData sheetId="3183">
        <row r="7">
          <cell r="AI7">
            <v>10000</v>
          </cell>
        </row>
      </sheetData>
      <sheetData sheetId="3184">
        <row r="7">
          <cell r="AI7">
            <v>10000</v>
          </cell>
        </row>
      </sheetData>
      <sheetData sheetId="3185">
        <row r="7">
          <cell r="AI7">
            <v>10000</v>
          </cell>
        </row>
      </sheetData>
      <sheetData sheetId="3186">
        <row r="7">
          <cell r="AI7">
            <v>10000</v>
          </cell>
        </row>
      </sheetData>
      <sheetData sheetId="3187">
        <row r="7">
          <cell r="AI7">
            <v>10000</v>
          </cell>
        </row>
      </sheetData>
      <sheetData sheetId="3188">
        <row r="7">
          <cell r="AI7">
            <v>10000</v>
          </cell>
        </row>
      </sheetData>
      <sheetData sheetId="3189">
        <row r="7">
          <cell r="AI7">
            <v>10000</v>
          </cell>
        </row>
      </sheetData>
      <sheetData sheetId="3190">
        <row r="7">
          <cell r="AI7">
            <v>10000</v>
          </cell>
        </row>
      </sheetData>
      <sheetData sheetId="3191">
        <row r="7">
          <cell r="AI7">
            <v>10000</v>
          </cell>
        </row>
      </sheetData>
      <sheetData sheetId="3192">
        <row r="7">
          <cell r="AI7">
            <v>10000</v>
          </cell>
        </row>
      </sheetData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>
        <row r="7">
          <cell r="AI7">
            <v>10000</v>
          </cell>
        </row>
      </sheetData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>
        <row r="7">
          <cell r="AI7">
            <v>10000</v>
          </cell>
        </row>
      </sheetData>
      <sheetData sheetId="3219" refreshError="1"/>
      <sheetData sheetId="3220" refreshError="1"/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>
        <row r="7">
          <cell r="AI7">
            <v>10000</v>
          </cell>
        </row>
      </sheetData>
      <sheetData sheetId="3302">
        <row r="7">
          <cell r="AI7">
            <v>10000</v>
          </cell>
        </row>
      </sheetData>
      <sheetData sheetId="3303">
        <row r="7">
          <cell r="AI7">
            <v>10000</v>
          </cell>
        </row>
      </sheetData>
      <sheetData sheetId="3304">
        <row r="7">
          <cell r="AI7">
            <v>10000</v>
          </cell>
        </row>
      </sheetData>
      <sheetData sheetId="3305">
        <row r="7">
          <cell r="AI7">
            <v>10000</v>
          </cell>
        </row>
      </sheetData>
      <sheetData sheetId="3306">
        <row r="7">
          <cell r="AI7">
            <v>10000</v>
          </cell>
        </row>
      </sheetData>
      <sheetData sheetId="3307">
        <row r="7">
          <cell r="AI7">
            <v>10000</v>
          </cell>
        </row>
      </sheetData>
      <sheetData sheetId="3308">
        <row r="7">
          <cell r="AI7">
            <v>10000</v>
          </cell>
        </row>
      </sheetData>
      <sheetData sheetId="3309">
        <row r="7">
          <cell r="AI7">
            <v>10000</v>
          </cell>
        </row>
      </sheetData>
      <sheetData sheetId="3310">
        <row r="7">
          <cell r="AI7">
            <v>10000</v>
          </cell>
        </row>
      </sheetData>
      <sheetData sheetId="3311">
        <row r="7">
          <cell r="AI7">
            <v>10000</v>
          </cell>
        </row>
      </sheetData>
      <sheetData sheetId="3312">
        <row r="7">
          <cell r="AI7">
            <v>10000</v>
          </cell>
        </row>
      </sheetData>
      <sheetData sheetId="3313">
        <row r="7">
          <cell r="AI7">
            <v>10000</v>
          </cell>
        </row>
      </sheetData>
      <sheetData sheetId="3314">
        <row r="7">
          <cell r="AI7">
            <v>10000</v>
          </cell>
        </row>
      </sheetData>
      <sheetData sheetId="3315">
        <row r="7">
          <cell r="AI7">
            <v>10000</v>
          </cell>
        </row>
      </sheetData>
      <sheetData sheetId="3316">
        <row r="7">
          <cell r="AI7">
            <v>10000</v>
          </cell>
        </row>
      </sheetData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>
        <row r="7">
          <cell r="AI7">
            <v>10000</v>
          </cell>
        </row>
      </sheetData>
      <sheetData sheetId="3399">
        <row r="7">
          <cell r="AI7">
            <v>10000</v>
          </cell>
        </row>
      </sheetData>
      <sheetData sheetId="3400">
        <row r="7">
          <cell r="AI7">
            <v>10000</v>
          </cell>
        </row>
      </sheetData>
      <sheetData sheetId="3401">
        <row r="7">
          <cell r="AI7">
            <v>10000</v>
          </cell>
        </row>
      </sheetData>
      <sheetData sheetId="3402">
        <row r="7">
          <cell r="AI7">
            <v>10000</v>
          </cell>
        </row>
      </sheetData>
      <sheetData sheetId="3403">
        <row r="7">
          <cell r="AI7">
            <v>10000</v>
          </cell>
        </row>
      </sheetData>
      <sheetData sheetId="3404">
        <row r="7">
          <cell r="AI7">
            <v>10000</v>
          </cell>
        </row>
      </sheetData>
      <sheetData sheetId="3405">
        <row r="7">
          <cell r="AI7">
            <v>10000</v>
          </cell>
        </row>
      </sheetData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>
        <row r="7">
          <cell r="AI7">
            <v>10000</v>
          </cell>
        </row>
      </sheetData>
      <sheetData sheetId="3415">
        <row r="7">
          <cell r="AI7">
            <v>10000</v>
          </cell>
        </row>
      </sheetData>
      <sheetData sheetId="3416">
        <row r="7">
          <cell r="AI7">
            <v>10000</v>
          </cell>
        </row>
      </sheetData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>
        <row r="7">
          <cell r="AI7">
            <v>10000</v>
          </cell>
        </row>
      </sheetData>
      <sheetData sheetId="3420">
        <row r="7">
          <cell r="AI7">
            <v>10000</v>
          </cell>
        </row>
      </sheetData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 refreshError="1"/>
      <sheetData sheetId="3428" refreshError="1"/>
      <sheetData sheetId="3429" refreshError="1"/>
      <sheetData sheetId="3430">
        <row r="7">
          <cell r="AI7">
            <v>10000</v>
          </cell>
        </row>
      </sheetData>
      <sheetData sheetId="3431" refreshError="1"/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>
        <row r="7">
          <cell r="AI7">
            <v>10000</v>
          </cell>
        </row>
      </sheetData>
      <sheetData sheetId="3476">
        <row r="7">
          <cell r="AI7">
            <v>10000</v>
          </cell>
        </row>
      </sheetData>
      <sheetData sheetId="3477">
        <row r="7">
          <cell r="AI7">
            <v>10000</v>
          </cell>
        </row>
      </sheetData>
      <sheetData sheetId="3478">
        <row r="7">
          <cell r="AI7">
            <v>10000</v>
          </cell>
        </row>
      </sheetData>
      <sheetData sheetId="3479">
        <row r="7">
          <cell r="AI7">
            <v>10000</v>
          </cell>
        </row>
      </sheetData>
      <sheetData sheetId="3480">
        <row r="7">
          <cell r="AI7">
            <v>10000</v>
          </cell>
        </row>
      </sheetData>
      <sheetData sheetId="3481">
        <row r="7">
          <cell r="AI7">
            <v>10000</v>
          </cell>
        </row>
      </sheetData>
      <sheetData sheetId="3482">
        <row r="7">
          <cell r="AI7">
            <v>10000</v>
          </cell>
        </row>
      </sheetData>
      <sheetData sheetId="3483">
        <row r="7">
          <cell r="AI7">
            <v>10000</v>
          </cell>
        </row>
      </sheetData>
      <sheetData sheetId="3484">
        <row r="7">
          <cell r="AI7">
            <v>10000</v>
          </cell>
        </row>
      </sheetData>
      <sheetData sheetId="3485">
        <row r="7">
          <cell r="AI7">
            <v>10000</v>
          </cell>
        </row>
      </sheetData>
      <sheetData sheetId="3486">
        <row r="7">
          <cell r="AI7">
            <v>10000</v>
          </cell>
        </row>
      </sheetData>
      <sheetData sheetId="3487">
        <row r="7">
          <cell r="AI7">
            <v>10000</v>
          </cell>
        </row>
      </sheetData>
      <sheetData sheetId="3488">
        <row r="7">
          <cell r="AI7">
            <v>10000</v>
          </cell>
        </row>
      </sheetData>
      <sheetData sheetId="3489">
        <row r="7">
          <cell r="AI7">
            <v>10000</v>
          </cell>
        </row>
      </sheetData>
      <sheetData sheetId="3490">
        <row r="7">
          <cell r="AI7">
            <v>10000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>
        <row r="7">
          <cell r="AI7">
            <v>10000</v>
          </cell>
        </row>
      </sheetData>
      <sheetData sheetId="3504">
        <row r="7">
          <cell r="AI7">
            <v>10000</v>
          </cell>
        </row>
      </sheetData>
      <sheetData sheetId="3505">
        <row r="7">
          <cell r="AI7">
            <v>10000</v>
          </cell>
        </row>
      </sheetData>
      <sheetData sheetId="3506" refreshError="1"/>
      <sheetData sheetId="3507">
        <row r="7">
          <cell r="AI7">
            <v>10000</v>
          </cell>
        </row>
      </sheetData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>
        <row r="7">
          <cell r="AI7">
            <v>10000</v>
          </cell>
        </row>
      </sheetData>
      <sheetData sheetId="3515">
        <row r="7">
          <cell r="AI7">
            <v>10000</v>
          </cell>
        </row>
      </sheetData>
      <sheetData sheetId="3516">
        <row r="7">
          <cell r="AI7">
            <v>10000</v>
          </cell>
        </row>
      </sheetData>
      <sheetData sheetId="3517">
        <row r="7">
          <cell r="AI7">
            <v>10000</v>
          </cell>
        </row>
      </sheetData>
      <sheetData sheetId="3518">
        <row r="7">
          <cell r="AI7">
            <v>10000</v>
          </cell>
        </row>
      </sheetData>
      <sheetData sheetId="3519">
        <row r="7">
          <cell r="AI7">
            <v>10000</v>
          </cell>
        </row>
      </sheetData>
      <sheetData sheetId="3520">
        <row r="7">
          <cell r="AI7">
            <v>10000</v>
          </cell>
        </row>
      </sheetData>
      <sheetData sheetId="3521">
        <row r="7">
          <cell r="AI7">
            <v>10000</v>
          </cell>
        </row>
      </sheetData>
      <sheetData sheetId="3522">
        <row r="7">
          <cell r="AI7">
            <v>10000</v>
          </cell>
        </row>
      </sheetData>
      <sheetData sheetId="3523">
        <row r="7">
          <cell r="AI7">
            <v>10000</v>
          </cell>
        </row>
      </sheetData>
      <sheetData sheetId="3524">
        <row r="7">
          <cell r="AI7">
            <v>10000</v>
          </cell>
        </row>
      </sheetData>
      <sheetData sheetId="3525">
        <row r="7">
          <cell r="AI7">
            <v>10000</v>
          </cell>
        </row>
      </sheetData>
      <sheetData sheetId="3526">
        <row r="7">
          <cell r="AI7">
            <v>10000</v>
          </cell>
        </row>
      </sheetData>
      <sheetData sheetId="3527">
        <row r="7">
          <cell r="AI7">
            <v>10000</v>
          </cell>
        </row>
      </sheetData>
      <sheetData sheetId="3528">
        <row r="7">
          <cell r="AI7">
            <v>10000</v>
          </cell>
        </row>
      </sheetData>
      <sheetData sheetId="3529">
        <row r="7">
          <cell r="AI7">
            <v>10000</v>
          </cell>
        </row>
      </sheetData>
      <sheetData sheetId="3530">
        <row r="7">
          <cell r="AI7">
            <v>10000</v>
          </cell>
        </row>
      </sheetData>
      <sheetData sheetId="3531">
        <row r="7">
          <cell r="AI7">
            <v>10000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>
        <row r="7">
          <cell r="AI7">
            <v>10000</v>
          </cell>
        </row>
      </sheetData>
      <sheetData sheetId="3548">
        <row r="7">
          <cell r="AI7">
            <v>10000</v>
          </cell>
        </row>
      </sheetData>
      <sheetData sheetId="3549" refreshError="1"/>
      <sheetData sheetId="3550" refreshError="1"/>
      <sheetData sheetId="3551" refreshError="1"/>
      <sheetData sheetId="3552" refreshError="1"/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>
        <row r="7">
          <cell r="AI7">
            <v>10000</v>
          </cell>
        </row>
      </sheetData>
      <sheetData sheetId="3557">
        <row r="7">
          <cell r="AI7">
            <v>10000</v>
          </cell>
        </row>
      </sheetData>
      <sheetData sheetId="3558">
        <row r="7">
          <cell r="AI7">
            <v>10000</v>
          </cell>
        </row>
      </sheetData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 refreshError="1"/>
      <sheetData sheetId="3565" refreshError="1"/>
      <sheetData sheetId="3566" refreshError="1"/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>
        <row r="7">
          <cell r="AI7">
            <v>10000</v>
          </cell>
        </row>
      </sheetData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 refreshError="1"/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>
        <row r="7">
          <cell r="AI7">
            <v>10000</v>
          </cell>
        </row>
      </sheetData>
      <sheetData sheetId="3631">
        <row r="7">
          <cell r="AI7">
            <v>10000</v>
          </cell>
        </row>
      </sheetData>
      <sheetData sheetId="3632">
        <row r="7">
          <cell r="AI7">
            <v>10000</v>
          </cell>
        </row>
      </sheetData>
      <sheetData sheetId="3633">
        <row r="7">
          <cell r="AI7">
            <v>10000</v>
          </cell>
        </row>
      </sheetData>
      <sheetData sheetId="3634">
        <row r="7">
          <cell r="AI7">
            <v>10000</v>
          </cell>
        </row>
      </sheetData>
      <sheetData sheetId="3635">
        <row r="7">
          <cell r="AI7">
            <v>10000</v>
          </cell>
        </row>
      </sheetData>
      <sheetData sheetId="3636">
        <row r="7">
          <cell r="AI7">
            <v>10000</v>
          </cell>
        </row>
      </sheetData>
      <sheetData sheetId="3637">
        <row r="7">
          <cell r="AI7">
            <v>10000</v>
          </cell>
        </row>
      </sheetData>
      <sheetData sheetId="3638">
        <row r="7">
          <cell r="AI7">
            <v>10000</v>
          </cell>
        </row>
      </sheetData>
      <sheetData sheetId="3639">
        <row r="7">
          <cell r="AI7">
            <v>10000</v>
          </cell>
        </row>
      </sheetData>
      <sheetData sheetId="3640">
        <row r="7">
          <cell r="AI7">
            <v>10000</v>
          </cell>
        </row>
      </sheetData>
      <sheetData sheetId="3641">
        <row r="7">
          <cell r="AI7">
            <v>10000</v>
          </cell>
        </row>
      </sheetData>
      <sheetData sheetId="3642">
        <row r="7">
          <cell r="AI7">
            <v>10000</v>
          </cell>
        </row>
      </sheetData>
      <sheetData sheetId="3643">
        <row r="7">
          <cell r="AI7">
            <v>10000</v>
          </cell>
        </row>
      </sheetData>
      <sheetData sheetId="3644">
        <row r="7">
          <cell r="AI7">
            <v>10000</v>
          </cell>
        </row>
      </sheetData>
      <sheetData sheetId="3645">
        <row r="7">
          <cell r="AI7">
            <v>10000</v>
          </cell>
        </row>
      </sheetData>
      <sheetData sheetId="3646" refreshError="1"/>
      <sheetData sheetId="3647">
        <row r="7">
          <cell r="AI7">
            <v>10000</v>
          </cell>
        </row>
      </sheetData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>
        <row r="7">
          <cell r="AI7">
            <v>10000</v>
          </cell>
        </row>
      </sheetData>
      <sheetData sheetId="3654">
        <row r="7">
          <cell r="AI7">
            <v>10000</v>
          </cell>
        </row>
      </sheetData>
      <sheetData sheetId="3655">
        <row r="7">
          <cell r="AI7">
            <v>10000</v>
          </cell>
        </row>
      </sheetData>
      <sheetData sheetId="3656" refreshError="1"/>
      <sheetData sheetId="3657">
        <row r="7">
          <cell r="AI7">
            <v>10000</v>
          </cell>
        </row>
      </sheetData>
      <sheetData sheetId="3658">
        <row r="7">
          <cell r="AI7">
            <v>10000</v>
          </cell>
        </row>
      </sheetData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>
        <row r="7">
          <cell r="AI7">
            <v>10000</v>
          </cell>
        </row>
      </sheetData>
      <sheetData sheetId="3672" refreshError="1"/>
      <sheetData sheetId="3673" refreshError="1"/>
      <sheetData sheetId="3674" refreshError="1"/>
      <sheetData sheetId="3675">
        <row r="7">
          <cell r="AI7">
            <v>10000</v>
          </cell>
        </row>
      </sheetData>
      <sheetData sheetId="3676">
        <row r="7">
          <cell r="AI7">
            <v>10000</v>
          </cell>
        </row>
      </sheetData>
      <sheetData sheetId="3677" refreshError="1"/>
      <sheetData sheetId="3678">
        <row r="7">
          <cell r="AI7">
            <v>10000</v>
          </cell>
        </row>
      </sheetData>
      <sheetData sheetId="3679">
        <row r="7">
          <cell r="AI7">
            <v>10000</v>
          </cell>
        </row>
      </sheetData>
      <sheetData sheetId="3680">
        <row r="7">
          <cell r="AI7">
            <v>10000</v>
          </cell>
        </row>
      </sheetData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>
        <row r="7">
          <cell r="AI7">
            <v>10000</v>
          </cell>
        </row>
      </sheetData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>
        <row r="7">
          <cell r="AI7">
            <v>10000</v>
          </cell>
        </row>
      </sheetData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>
        <row r="7">
          <cell r="AI7">
            <v>10000</v>
          </cell>
        </row>
      </sheetData>
      <sheetData sheetId="3731">
        <row r="7">
          <cell r="AI7">
            <v>10000</v>
          </cell>
        </row>
      </sheetData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>
        <row r="7">
          <cell r="AI7">
            <v>10000</v>
          </cell>
        </row>
      </sheetData>
      <sheetData sheetId="3774">
        <row r="7">
          <cell r="AI7">
            <v>10000</v>
          </cell>
        </row>
      </sheetData>
      <sheetData sheetId="3775" refreshError="1"/>
      <sheetData sheetId="3776">
        <row r="7">
          <cell r="AI7">
            <v>10000</v>
          </cell>
        </row>
      </sheetData>
      <sheetData sheetId="3777">
        <row r="7">
          <cell r="AI7">
            <v>10000</v>
          </cell>
        </row>
      </sheetData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>
        <row r="7">
          <cell r="AI7">
            <v>10000</v>
          </cell>
        </row>
      </sheetData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>
        <row r="7">
          <cell r="AI7">
            <v>10000</v>
          </cell>
        </row>
      </sheetData>
      <sheetData sheetId="3831">
        <row r="7">
          <cell r="AI7">
            <v>10000</v>
          </cell>
        </row>
      </sheetData>
      <sheetData sheetId="3832">
        <row r="7">
          <cell r="AI7">
            <v>10000</v>
          </cell>
        </row>
      </sheetData>
      <sheetData sheetId="3833">
        <row r="7">
          <cell r="AI7">
            <v>10000</v>
          </cell>
        </row>
      </sheetData>
      <sheetData sheetId="3834">
        <row r="7">
          <cell r="AI7">
            <v>10000</v>
          </cell>
        </row>
      </sheetData>
      <sheetData sheetId="3835">
        <row r="7">
          <cell r="AI7">
            <v>10000</v>
          </cell>
        </row>
      </sheetData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>
        <row r="7">
          <cell r="AI7">
            <v>10000</v>
          </cell>
        </row>
      </sheetData>
      <sheetData sheetId="3844">
        <row r="7">
          <cell r="AI7">
            <v>10000</v>
          </cell>
        </row>
      </sheetData>
      <sheetData sheetId="3845">
        <row r="7">
          <cell r="AI7">
            <v>10000</v>
          </cell>
        </row>
      </sheetData>
      <sheetData sheetId="3846">
        <row r="7">
          <cell r="AI7">
            <v>10000</v>
          </cell>
        </row>
      </sheetData>
      <sheetData sheetId="3847">
        <row r="7">
          <cell r="AI7">
            <v>10000</v>
          </cell>
        </row>
      </sheetData>
      <sheetData sheetId="3848">
        <row r="7">
          <cell r="AI7">
            <v>10000</v>
          </cell>
        </row>
      </sheetData>
      <sheetData sheetId="3849">
        <row r="7">
          <cell r="AI7">
            <v>10000</v>
          </cell>
        </row>
      </sheetData>
      <sheetData sheetId="3850">
        <row r="7">
          <cell r="AI7">
            <v>10000</v>
          </cell>
        </row>
      </sheetData>
      <sheetData sheetId="3851">
        <row r="7">
          <cell r="AI7">
            <v>10000</v>
          </cell>
        </row>
      </sheetData>
      <sheetData sheetId="3852">
        <row r="7">
          <cell r="AI7">
            <v>10000</v>
          </cell>
        </row>
      </sheetData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>
        <row r="7">
          <cell r="AI7">
            <v>10000</v>
          </cell>
        </row>
      </sheetData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>
        <row r="7">
          <cell r="AI7">
            <v>10000</v>
          </cell>
        </row>
      </sheetData>
      <sheetData sheetId="4300" refreshError="1"/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>
        <row r="7">
          <cell r="AI7">
            <v>10000</v>
          </cell>
        </row>
      </sheetData>
      <sheetData sheetId="4791">
        <row r="7">
          <cell r="AI7">
            <v>10000</v>
          </cell>
        </row>
      </sheetData>
      <sheetData sheetId="4792">
        <row r="7">
          <cell r="AI7">
            <v>10000</v>
          </cell>
        </row>
      </sheetData>
      <sheetData sheetId="4793">
        <row r="7">
          <cell r="AI7">
            <v>10000</v>
          </cell>
        </row>
      </sheetData>
      <sheetData sheetId="4794">
        <row r="7">
          <cell r="AI7">
            <v>10000</v>
          </cell>
        </row>
      </sheetData>
      <sheetData sheetId="4795">
        <row r="7">
          <cell r="AI7">
            <v>10000</v>
          </cell>
        </row>
      </sheetData>
      <sheetData sheetId="4796">
        <row r="7">
          <cell r="AI7">
            <v>10000</v>
          </cell>
        </row>
      </sheetData>
      <sheetData sheetId="4797">
        <row r="7">
          <cell r="AI7">
            <v>10000</v>
          </cell>
        </row>
      </sheetData>
      <sheetData sheetId="4798">
        <row r="7">
          <cell r="AI7">
            <v>10000</v>
          </cell>
        </row>
      </sheetData>
      <sheetData sheetId="4799">
        <row r="7">
          <cell r="AI7">
            <v>10000</v>
          </cell>
        </row>
      </sheetData>
      <sheetData sheetId="4800">
        <row r="7">
          <cell r="AI7">
            <v>10000</v>
          </cell>
        </row>
      </sheetData>
      <sheetData sheetId="4801">
        <row r="7">
          <cell r="AI7">
            <v>10000</v>
          </cell>
        </row>
      </sheetData>
      <sheetData sheetId="4802">
        <row r="7">
          <cell r="AI7">
            <v>10000</v>
          </cell>
        </row>
      </sheetData>
      <sheetData sheetId="4803">
        <row r="7">
          <cell r="AI7">
            <v>10000</v>
          </cell>
        </row>
      </sheetData>
      <sheetData sheetId="4804">
        <row r="7">
          <cell r="AI7">
            <v>10000</v>
          </cell>
        </row>
      </sheetData>
      <sheetData sheetId="4805">
        <row r="7">
          <cell r="AI7">
            <v>10000</v>
          </cell>
        </row>
      </sheetData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>
        <row r="7">
          <cell r="AI7">
            <v>10000</v>
          </cell>
        </row>
      </sheetData>
      <sheetData sheetId="4824" refreshError="1"/>
      <sheetData sheetId="4825" refreshError="1"/>
      <sheetData sheetId="4826">
        <row r="7">
          <cell r="AI7">
            <v>10000</v>
          </cell>
        </row>
      </sheetData>
      <sheetData sheetId="4827">
        <row r="7">
          <cell r="AI7">
            <v>10000</v>
          </cell>
        </row>
      </sheetData>
      <sheetData sheetId="4828">
        <row r="7">
          <cell r="AI7">
            <v>10000</v>
          </cell>
        </row>
      </sheetData>
      <sheetData sheetId="4829">
        <row r="7">
          <cell r="AI7">
            <v>10000</v>
          </cell>
        </row>
      </sheetData>
      <sheetData sheetId="4830">
        <row r="7">
          <cell r="AI7">
            <v>10000</v>
          </cell>
        </row>
      </sheetData>
      <sheetData sheetId="4831">
        <row r="7">
          <cell r="AI7">
            <v>10000</v>
          </cell>
        </row>
      </sheetData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>
        <row r="7">
          <cell r="AI7">
            <v>10000</v>
          </cell>
        </row>
      </sheetData>
      <sheetData sheetId="4839" refreshError="1"/>
      <sheetData sheetId="4840">
        <row r="7">
          <cell r="AI7">
            <v>10000</v>
          </cell>
        </row>
      </sheetData>
      <sheetData sheetId="4841">
        <row r="7">
          <cell r="AI7">
            <v>10000</v>
          </cell>
        </row>
      </sheetData>
      <sheetData sheetId="4842">
        <row r="7">
          <cell r="AI7">
            <v>10000</v>
          </cell>
        </row>
      </sheetData>
      <sheetData sheetId="4843">
        <row r="7">
          <cell r="AI7">
            <v>10000</v>
          </cell>
        </row>
      </sheetData>
      <sheetData sheetId="4844">
        <row r="7">
          <cell r="AI7">
            <v>10000</v>
          </cell>
        </row>
      </sheetData>
      <sheetData sheetId="4845">
        <row r="7">
          <cell r="AI7">
            <v>10000</v>
          </cell>
        </row>
      </sheetData>
      <sheetData sheetId="4846">
        <row r="7">
          <cell r="AI7">
            <v>10000</v>
          </cell>
        </row>
      </sheetData>
      <sheetData sheetId="4847">
        <row r="7">
          <cell r="AI7">
            <v>10000</v>
          </cell>
        </row>
      </sheetData>
      <sheetData sheetId="4848">
        <row r="7">
          <cell r="AI7">
            <v>10000</v>
          </cell>
        </row>
      </sheetData>
      <sheetData sheetId="4849" refreshError="1"/>
      <sheetData sheetId="4850">
        <row r="7">
          <cell r="AI7">
            <v>10000</v>
          </cell>
        </row>
      </sheetData>
      <sheetData sheetId="4851">
        <row r="7">
          <cell r="AI7">
            <v>10000</v>
          </cell>
        </row>
      </sheetData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>
        <row r="7">
          <cell r="AI7">
            <v>10000</v>
          </cell>
        </row>
      </sheetData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>
        <row r="7">
          <cell r="AI7">
            <v>10000</v>
          </cell>
        </row>
      </sheetData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>
        <row r="7">
          <cell r="AI7">
            <v>10000</v>
          </cell>
        </row>
      </sheetData>
      <sheetData sheetId="4887">
        <row r="7">
          <cell r="AI7">
            <v>10000</v>
          </cell>
        </row>
      </sheetData>
      <sheetData sheetId="4888" refreshError="1"/>
      <sheetData sheetId="4889" refreshError="1"/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>
        <row r="7">
          <cell r="AI7">
            <v>10000</v>
          </cell>
        </row>
      </sheetData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 refreshError="1"/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>
        <row r="7">
          <cell r="AI7">
            <v>10000</v>
          </cell>
        </row>
      </sheetData>
      <sheetData sheetId="10531">
        <row r="7">
          <cell r="AI7">
            <v>10000</v>
          </cell>
        </row>
      </sheetData>
      <sheetData sheetId="10532">
        <row r="7">
          <cell r="AI7">
            <v>10000</v>
          </cell>
        </row>
      </sheetData>
      <sheetData sheetId="10533">
        <row r="7">
          <cell r="AI7">
            <v>10000</v>
          </cell>
        </row>
      </sheetData>
      <sheetData sheetId="10534">
        <row r="7">
          <cell r="AI7">
            <v>10000</v>
          </cell>
        </row>
      </sheetData>
      <sheetData sheetId="10535">
        <row r="7">
          <cell r="AI7">
            <v>10000</v>
          </cell>
        </row>
      </sheetData>
      <sheetData sheetId="10536">
        <row r="7">
          <cell r="AI7">
            <v>10000</v>
          </cell>
        </row>
      </sheetData>
      <sheetData sheetId="10537">
        <row r="7">
          <cell r="AI7">
            <v>10000</v>
          </cell>
        </row>
      </sheetData>
      <sheetData sheetId="10538">
        <row r="7">
          <cell r="AI7">
            <v>10000</v>
          </cell>
        </row>
      </sheetData>
      <sheetData sheetId="10539">
        <row r="7">
          <cell r="AI7">
            <v>10000</v>
          </cell>
        </row>
      </sheetData>
      <sheetData sheetId="10540">
        <row r="7">
          <cell r="AI7">
            <v>10000</v>
          </cell>
        </row>
      </sheetData>
      <sheetData sheetId="10541">
        <row r="7">
          <cell r="AI7">
            <v>10000</v>
          </cell>
        </row>
      </sheetData>
      <sheetData sheetId="10542">
        <row r="7">
          <cell r="AI7">
            <v>10000</v>
          </cell>
        </row>
      </sheetData>
      <sheetData sheetId="10543">
        <row r="7">
          <cell r="AI7">
            <v>10000</v>
          </cell>
        </row>
      </sheetData>
      <sheetData sheetId="10544">
        <row r="7">
          <cell r="AI7">
            <v>10000</v>
          </cell>
        </row>
      </sheetData>
      <sheetData sheetId="10545">
        <row r="7">
          <cell r="AI7">
            <v>10000</v>
          </cell>
        </row>
      </sheetData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>
        <row r="7">
          <cell r="AI7">
            <v>10000</v>
          </cell>
        </row>
      </sheetData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>
        <row r="7">
          <cell r="AI7">
            <v>10000</v>
          </cell>
        </row>
      </sheetData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>
        <row r="7">
          <cell r="AI7">
            <v>10000</v>
          </cell>
        </row>
      </sheetData>
      <sheetData sheetId="10600">
        <row r="7">
          <cell r="AI7">
            <v>10000</v>
          </cell>
        </row>
      </sheetData>
      <sheetData sheetId="10601" refreshError="1"/>
      <sheetData sheetId="10602" refreshError="1"/>
      <sheetData sheetId="10603"/>
      <sheetData sheetId="10604"/>
      <sheetData sheetId="10605">
        <row r="7">
          <cell r="AI7">
            <v>10000</v>
          </cell>
        </row>
      </sheetData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>
        <row r="7">
          <cell r="AI7">
            <v>10000</v>
          </cell>
        </row>
      </sheetData>
      <sheetData sheetId="10615">
        <row r="7">
          <cell r="AI7">
            <v>10000</v>
          </cell>
        </row>
      </sheetData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 refreshError="1"/>
      <sheetData sheetId="10651" refreshError="1"/>
      <sheetData sheetId="10652" refreshError="1"/>
      <sheetData sheetId="10653" refreshError="1"/>
      <sheetData sheetId="10654">
        <row r="7">
          <cell r="AI7">
            <v>10000</v>
          </cell>
        </row>
      </sheetData>
      <sheetData sheetId="10655" refreshError="1"/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>
        <row r="7">
          <cell r="AI7">
            <v>10000</v>
          </cell>
        </row>
      </sheetData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>
        <row r="7">
          <cell r="AI7">
            <v>10000</v>
          </cell>
        </row>
      </sheetData>
      <sheetData sheetId="10702" refreshError="1"/>
      <sheetData sheetId="10703" refreshError="1"/>
      <sheetData sheetId="10704" refreshError="1"/>
      <sheetData sheetId="10705">
        <row r="7">
          <cell r="AI7">
            <v>10000</v>
          </cell>
        </row>
      </sheetData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>
        <row r="7">
          <cell r="AI7">
            <v>10000</v>
          </cell>
        </row>
      </sheetData>
      <sheetData sheetId="10713">
        <row r="7">
          <cell r="AI7">
            <v>10000</v>
          </cell>
        </row>
      </sheetData>
      <sheetData sheetId="10714">
        <row r="7">
          <cell r="AI7">
            <v>10000</v>
          </cell>
        </row>
      </sheetData>
      <sheetData sheetId="10715">
        <row r="7">
          <cell r="AI7">
            <v>10000</v>
          </cell>
        </row>
      </sheetData>
      <sheetData sheetId="10716">
        <row r="7">
          <cell r="AI7">
            <v>10000</v>
          </cell>
        </row>
      </sheetData>
      <sheetData sheetId="10717">
        <row r="7">
          <cell r="AI7">
            <v>10000</v>
          </cell>
        </row>
      </sheetData>
      <sheetData sheetId="10718">
        <row r="7">
          <cell r="AI7">
            <v>10000</v>
          </cell>
        </row>
      </sheetData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 refreshError="1"/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>
        <row r="7">
          <cell r="AI7">
            <v>10000</v>
          </cell>
        </row>
      </sheetData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>
        <row r="7">
          <cell r="AI7">
            <v>10000</v>
          </cell>
        </row>
      </sheetData>
      <sheetData sheetId="10808">
        <row r="7">
          <cell r="AI7">
            <v>10000</v>
          </cell>
        </row>
      </sheetData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 refreshError="1"/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 refreshError="1"/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>
        <row r="7">
          <cell r="AI7">
            <v>10000</v>
          </cell>
        </row>
      </sheetData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 refreshError="1"/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>
        <row r="7">
          <cell r="AI7">
            <v>10000</v>
          </cell>
        </row>
      </sheetData>
      <sheetData sheetId="10865">
        <row r="7">
          <cell r="AI7">
            <v>10000</v>
          </cell>
        </row>
      </sheetData>
      <sheetData sheetId="10866">
        <row r="7">
          <cell r="AI7">
            <v>10000</v>
          </cell>
        </row>
      </sheetData>
      <sheetData sheetId="10867">
        <row r="7">
          <cell r="AI7">
            <v>10000</v>
          </cell>
        </row>
      </sheetData>
      <sheetData sheetId="10868">
        <row r="7">
          <cell r="AI7">
            <v>10000</v>
          </cell>
        </row>
      </sheetData>
      <sheetData sheetId="10869">
        <row r="7">
          <cell r="AI7">
            <v>10000</v>
          </cell>
        </row>
      </sheetData>
      <sheetData sheetId="10870">
        <row r="7">
          <cell r="AI7">
            <v>10000</v>
          </cell>
        </row>
      </sheetData>
      <sheetData sheetId="10871">
        <row r="7">
          <cell r="AI7">
            <v>10000</v>
          </cell>
        </row>
      </sheetData>
      <sheetData sheetId="10872">
        <row r="7">
          <cell r="AI7">
            <v>10000</v>
          </cell>
        </row>
      </sheetData>
      <sheetData sheetId="10873">
        <row r="7">
          <cell r="AI7">
            <v>10000</v>
          </cell>
        </row>
      </sheetData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>
        <row r="7">
          <cell r="AI7">
            <v>10000</v>
          </cell>
        </row>
      </sheetData>
      <sheetData sheetId="10879">
        <row r="7">
          <cell r="AI7">
            <v>10000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>
        <row r="7">
          <cell r="AI7">
            <v>10000</v>
          </cell>
        </row>
      </sheetData>
      <sheetData sheetId="10973">
        <row r="7">
          <cell r="AI7">
            <v>10000</v>
          </cell>
        </row>
      </sheetData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>
        <row r="7">
          <cell r="AI7">
            <v>10000</v>
          </cell>
        </row>
      </sheetData>
      <sheetData sheetId="10986">
        <row r="7">
          <cell r="AI7">
            <v>10000</v>
          </cell>
        </row>
      </sheetData>
      <sheetData sheetId="10987">
        <row r="7">
          <cell r="AI7">
            <v>10000</v>
          </cell>
        </row>
      </sheetData>
      <sheetData sheetId="10988" refreshError="1"/>
      <sheetData sheetId="10989" refreshError="1"/>
      <sheetData sheetId="10990">
        <row r="7">
          <cell r="AI7">
            <v>10000</v>
          </cell>
        </row>
      </sheetData>
      <sheetData sheetId="10991">
        <row r="7">
          <cell r="AI7">
            <v>10000</v>
          </cell>
        </row>
      </sheetData>
      <sheetData sheetId="10992">
        <row r="7">
          <cell r="AI7">
            <v>10000</v>
          </cell>
        </row>
      </sheetData>
      <sheetData sheetId="10993">
        <row r="7">
          <cell r="AI7">
            <v>10000</v>
          </cell>
        </row>
      </sheetData>
      <sheetData sheetId="10994">
        <row r="7">
          <cell r="AI7">
            <v>10000</v>
          </cell>
        </row>
      </sheetData>
      <sheetData sheetId="10995">
        <row r="7">
          <cell r="AI7">
            <v>10000</v>
          </cell>
        </row>
      </sheetData>
      <sheetData sheetId="10996">
        <row r="7">
          <cell r="AI7">
            <v>10000</v>
          </cell>
        </row>
      </sheetData>
      <sheetData sheetId="10997">
        <row r="7">
          <cell r="AI7">
            <v>10000</v>
          </cell>
        </row>
      </sheetData>
      <sheetData sheetId="10998">
        <row r="7">
          <cell r="AI7">
            <v>10000</v>
          </cell>
        </row>
      </sheetData>
      <sheetData sheetId="10999">
        <row r="7">
          <cell r="AI7">
            <v>10000</v>
          </cell>
        </row>
      </sheetData>
      <sheetData sheetId="11000">
        <row r="7">
          <cell r="AI7">
            <v>10000</v>
          </cell>
        </row>
      </sheetData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>
        <row r="7">
          <cell r="AI7">
            <v>10000</v>
          </cell>
        </row>
      </sheetData>
      <sheetData sheetId="11015">
        <row r="7">
          <cell r="AI7">
            <v>10000</v>
          </cell>
        </row>
      </sheetData>
      <sheetData sheetId="11016">
        <row r="7">
          <cell r="AI7">
            <v>10000</v>
          </cell>
        </row>
      </sheetData>
      <sheetData sheetId="11017">
        <row r="7">
          <cell r="AI7">
            <v>10000</v>
          </cell>
        </row>
      </sheetData>
      <sheetData sheetId="11018">
        <row r="7">
          <cell r="AI7">
            <v>10000</v>
          </cell>
        </row>
      </sheetData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>
        <row r="7">
          <cell r="AI7">
            <v>10000</v>
          </cell>
        </row>
      </sheetData>
      <sheetData sheetId="11109">
        <row r="7">
          <cell r="AI7">
            <v>10000</v>
          </cell>
        </row>
      </sheetData>
      <sheetData sheetId="11110">
        <row r="7">
          <cell r="AI7">
            <v>10000</v>
          </cell>
        </row>
      </sheetData>
      <sheetData sheetId="11111">
        <row r="7">
          <cell r="AI7">
            <v>10000</v>
          </cell>
        </row>
      </sheetData>
      <sheetData sheetId="11112">
        <row r="7">
          <cell r="AI7">
            <v>10000</v>
          </cell>
        </row>
      </sheetData>
      <sheetData sheetId="11113">
        <row r="7">
          <cell r="AI7">
            <v>10000</v>
          </cell>
        </row>
      </sheetData>
      <sheetData sheetId="11114">
        <row r="7">
          <cell r="AI7">
            <v>10000</v>
          </cell>
        </row>
      </sheetData>
      <sheetData sheetId="11115">
        <row r="7">
          <cell r="AI7">
            <v>10000</v>
          </cell>
        </row>
      </sheetData>
      <sheetData sheetId="11116">
        <row r="7">
          <cell r="AI7">
            <v>10000</v>
          </cell>
        </row>
      </sheetData>
      <sheetData sheetId="11117">
        <row r="7">
          <cell r="AI7">
            <v>10000</v>
          </cell>
        </row>
      </sheetData>
      <sheetData sheetId="11118">
        <row r="7">
          <cell r="AI7">
            <v>10000</v>
          </cell>
        </row>
      </sheetData>
      <sheetData sheetId="11119">
        <row r="7">
          <cell r="AI7">
            <v>10000</v>
          </cell>
        </row>
      </sheetData>
      <sheetData sheetId="11120">
        <row r="7">
          <cell r="AI7">
            <v>10000</v>
          </cell>
        </row>
      </sheetData>
      <sheetData sheetId="11121">
        <row r="7">
          <cell r="AI7">
            <v>10000</v>
          </cell>
        </row>
      </sheetData>
      <sheetData sheetId="11122">
        <row r="7">
          <cell r="AI7">
            <v>10000</v>
          </cell>
        </row>
      </sheetData>
      <sheetData sheetId="11123">
        <row r="7">
          <cell r="AI7">
            <v>10000</v>
          </cell>
        </row>
      </sheetData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>
        <row r="7">
          <cell r="AI7">
            <v>10000</v>
          </cell>
        </row>
      </sheetData>
      <sheetData sheetId="1114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>
        <row r="7">
          <cell r="AH7" t="str">
            <v>SP1</v>
          </cell>
        </row>
      </sheetData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>
        <row r="7">
          <cell r="AH7" t="str">
            <v>SP1</v>
          </cell>
        </row>
      </sheetData>
      <sheetData sheetId="11242">
        <row r="7">
          <cell r="AH7" t="str">
            <v>SP1</v>
          </cell>
        </row>
      </sheetData>
      <sheetData sheetId="11243">
        <row r="7">
          <cell r="AH7" t="str">
            <v>SP1</v>
          </cell>
        </row>
      </sheetData>
      <sheetData sheetId="11244" refreshError="1"/>
      <sheetData sheetId="11245">
        <row r="7">
          <cell r="AI7">
            <v>10000</v>
          </cell>
        </row>
      </sheetData>
      <sheetData sheetId="11246" refreshError="1"/>
      <sheetData sheetId="11247" refreshError="1"/>
      <sheetData sheetId="11248">
        <row r="7">
          <cell r="AH7" t="str">
            <v>SP1</v>
          </cell>
        </row>
      </sheetData>
      <sheetData sheetId="11249" refreshError="1"/>
      <sheetData sheetId="11250">
        <row r="7">
          <cell r="AI7">
            <v>10000</v>
          </cell>
        </row>
      </sheetData>
      <sheetData sheetId="11251">
        <row r="7">
          <cell r="AI7">
            <v>10000</v>
          </cell>
        </row>
      </sheetData>
      <sheetData sheetId="11252">
        <row r="7">
          <cell r="AI7">
            <v>10000</v>
          </cell>
        </row>
      </sheetData>
      <sheetData sheetId="11253">
        <row r="7">
          <cell r="AI7">
            <v>10000</v>
          </cell>
        </row>
      </sheetData>
      <sheetData sheetId="11254">
        <row r="7">
          <cell r="AI7">
            <v>10000</v>
          </cell>
        </row>
      </sheetData>
      <sheetData sheetId="11255">
        <row r="7">
          <cell r="AI7">
            <v>10000</v>
          </cell>
        </row>
      </sheetData>
      <sheetData sheetId="11256">
        <row r="7">
          <cell r="AH7" t="str">
            <v>SP1</v>
          </cell>
        </row>
      </sheetData>
      <sheetData sheetId="11257">
        <row r="7">
          <cell r="AH7" t="str">
            <v>SP1</v>
          </cell>
        </row>
      </sheetData>
      <sheetData sheetId="11258">
        <row r="7">
          <cell r="AH7" t="str">
            <v>SP1</v>
          </cell>
        </row>
      </sheetData>
      <sheetData sheetId="11259">
        <row r="7">
          <cell r="AI7">
            <v>10000</v>
          </cell>
        </row>
      </sheetData>
      <sheetData sheetId="11260">
        <row r="7">
          <cell r="AI7">
            <v>10000</v>
          </cell>
        </row>
      </sheetData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>
        <row r="7">
          <cell r="AI7">
            <v>10000</v>
          </cell>
        </row>
      </sheetData>
      <sheetData sheetId="11280">
        <row r="7">
          <cell r="AI7">
            <v>10000</v>
          </cell>
        </row>
      </sheetData>
      <sheetData sheetId="11281">
        <row r="7">
          <cell r="AI7">
            <v>10000</v>
          </cell>
        </row>
      </sheetData>
      <sheetData sheetId="11282">
        <row r="7">
          <cell r="AI7">
            <v>10000</v>
          </cell>
        </row>
      </sheetData>
      <sheetData sheetId="11283">
        <row r="7">
          <cell r="AI7">
            <v>10000</v>
          </cell>
        </row>
      </sheetData>
      <sheetData sheetId="11284">
        <row r="7">
          <cell r="AI7">
            <v>10000</v>
          </cell>
        </row>
      </sheetData>
      <sheetData sheetId="11285">
        <row r="7">
          <cell r="AI7">
            <v>10000</v>
          </cell>
        </row>
      </sheetData>
      <sheetData sheetId="11286">
        <row r="7">
          <cell r="AI7">
            <v>10000</v>
          </cell>
        </row>
      </sheetData>
      <sheetData sheetId="11287">
        <row r="7">
          <cell r="AI7">
            <v>10000</v>
          </cell>
        </row>
      </sheetData>
      <sheetData sheetId="11288">
        <row r="7">
          <cell r="AI7">
            <v>10000</v>
          </cell>
        </row>
      </sheetData>
      <sheetData sheetId="11289">
        <row r="7">
          <cell r="AI7">
            <v>10000</v>
          </cell>
        </row>
      </sheetData>
      <sheetData sheetId="11290">
        <row r="7">
          <cell r="AI7">
            <v>10000</v>
          </cell>
        </row>
      </sheetData>
      <sheetData sheetId="11291">
        <row r="7">
          <cell r="AI7">
            <v>10000</v>
          </cell>
        </row>
      </sheetData>
      <sheetData sheetId="11292">
        <row r="7">
          <cell r="AI7">
            <v>10000</v>
          </cell>
        </row>
      </sheetData>
      <sheetData sheetId="11293">
        <row r="7">
          <cell r="AI7">
            <v>10000</v>
          </cell>
        </row>
      </sheetData>
      <sheetData sheetId="11294">
        <row r="7">
          <cell r="AI7">
            <v>10000</v>
          </cell>
        </row>
      </sheetData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 refreshError="1"/>
      <sheetData sheetId="11320">
        <row r="7">
          <cell r="AI7">
            <v>10000</v>
          </cell>
        </row>
      </sheetData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>
        <row r="7">
          <cell r="AI7">
            <v>10000</v>
          </cell>
        </row>
      </sheetData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>
        <row r="7">
          <cell r="AI7">
            <v>10000</v>
          </cell>
        </row>
      </sheetData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>
        <row r="7">
          <cell r="AI7">
            <v>10000</v>
          </cell>
        </row>
      </sheetData>
      <sheetData sheetId="11347">
        <row r="7">
          <cell r="AI7">
            <v>10000</v>
          </cell>
        </row>
      </sheetData>
      <sheetData sheetId="11348">
        <row r="7">
          <cell r="AI7">
            <v>10000</v>
          </cell>
        </row>
      </sheetData>
      <sheetData sheetId="11349">
        <row r="7">
          <cell r="AI7">
            <v>10000</v>
          </cell>
        </row>
      </sheetData>
      <sheetData sheetId="11350">
        <row r="7">
          <cell r="AI7">
            <v>10000</v>
          </cell>
        </row>
      </sheetData>
      <sheetData sheetId="11351">
        <row r="7">
          <cell r="AI7">
            <v>10000</v>
          </cell>
        </row>
      </sheetData>
      <sheetData sheetId="11352">
        <row r="7">
          <cell r="AI7">
            <v>10000</v>
          </cell>
        </row>
      </sheetData>
      <sheetData sheetId="11353">
        <row r="7">
          <cell r="AI7">
            <v>10000</v>
          </cell>
        </row>
      </sheetData>
      <sheetData sheetId="11354">
        <row r="7">
          <cell r="AI7">
            <v>10000</v>
          </cell>
        </row>
      </sheetData>
      <sheetData sheetId="11355">
        <row r="7">
          <cell r="AI7">
            <v>10000</v>
          </cell>
        </row>
      </sheetData>
      <sheetData sheetId="11356">
        <row r="7">
          <cell r="AI7">
            <v>10000</v>
          </cell>
        </row>
      </sheetData>
      <sheetData sheetId="11357">
        <row r="7">
          <cell r="AI7">
            <v>10000</v>
          </cell>
        </row>
      </sheetData>
      <sheetData sheetId="11358">
        <row r="7">
          <cell r="AI7">
            <v>10000</v>
          </cell>
        </row>
      </sheetData>
      <sheetData sheetId="11359">
        <row r="7">
          <cell r="AI7">
            <v>10000</v>
          </cell>
        </row>
      </sheetData>
      <sheetData sheetId="11360">
        <row r="7">
          <cell r="AI7">
            <v>10000</v>
          </cell>
        </row>
      </sheetData>
      <sheetData sheetId="11361">
        <row r="7">
          <cell r="AI7">
            <v>10000</v>
          </cell>
        </row>
      </sheetData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>
        <row r="7">
          <cell r="AI7">
            <v>10000</v>
          </cell>
        </row>
      </sheetData>
      <sheetData sheetId="12852">
        <row r="7">
          <cell r="AI7">
            <v>10000</v>
          </cell>
        </row>
      </sheetData>
      <sheetData sheetId="12853">
        <row r="7">
          <cell r="AI7">
            <v>10000</v>
          </cell>
        </row>
      </sheetData>
      <sheetData sheetId="12854"/>
      <sheetData sheetId="12855"/>
      <sheetData sheetId="12856"/>
      <sheetData sheetId="12857"/>
      <sheetData sheetId="12858">
        <row r="7">
          <cell r="AI7">
            <v>10000</v>
          </cell>
        </row>
      </sheetData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>
        <row r="7">
          <cell r="AI7">
            <v>10000</v>
          </cell>
        </row>
      </sheetData>
      <sheetData sheetId="12869"/>
      <sheetData sheetId="12870"/>
      <sheetData sheetId="12871"/>
      <sheetData sheetId="12872"/>
      <sheetData sheetId="12873">
        <row r="7">
          <cell r="AI7">
            <v>10000</v>
          </cell>
        </row>
      </sheetData>
      <sheetData sheetId="12874"/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/>
      <sheetData sheetId="12888">
        <row r="7">
          <cell r="AI7">
            <v>10000</v>
          </cell>
        </row>
      </sheetData>
      <sheetData sheetId="12889"/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/>
      <sheetData sheetId="12923"/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/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/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>
        <row r="7">
          <cell r="AI7">
            <v>10000</v>
          </cell>
        </row>
      </sheetData>
      <sheetData sheetId="13559">
        <row r="7">
          <cell r="AI7">
            <v>10000</v>
          </cell>
        </row>
      </sheetData>
      <sheetData sheetId="13560">
        <row r="7">
          <cell r="AI7">
            <v>10000</v>
          </cell>
        </row>
      </sheetData>
      <sheetData sheetId="13561"/>
      <sheetData sheetId="13562"/>
      <sheetData sheetId="13563"/>
      <sheetData sheetId="13564"/>
      <sheetData sheetId="13565">
        <row r="7">
          <cell r="AI7">
            <v>10000</v>
          </cell>
        </row>
      </sheetData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>
        <row r="7">
          <cell r="AI7">
            <v>10000</v>
          </cell>
        </row>
      </sheetData>
      <sheetData sheetId="13576"/>
      <sheetData sheetId="13577"/>
      <sheetData sheetId="13578"/>
      <sheetData sheetId="13579"/>
      <sheetData sheetId="13580">
        <row r="7">
          <cell r="AI7">
            <v>10000</v>
          </cell>
        </row>
      </sheetData>
      <sheetData sheetId="13581"/>
      <sheetData sheetId="13582">
        <row r="7">
          <cell r="AI7">
            <v>10000</v>
          </cell>
        </row>
      </sheetData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>
        <row r="7">
          <cell r="AI7">
            <v>10000</v>
          </cell>
        </row>
      </sheetData>
      <sheetData sheetId="13594"/>
      <sheetData sheetId="13595">
        <row r="7">
          <cell r="AI7">
            <v>10000</v>
          </cell>
        </row>
      </sheetData>
      <sheetData sheetId="13596"/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/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>
        <row r="7">
          <cell r="AI7">
            <v>10000</v>
          </cell>
        </row>
      </sheetData>
      <sheetData sheetId="13627">
        <row r="7">
          <cell r="AI7">
            <v>10000</v>
          </cell>
        </row>
      </sheetData>
      <sheetData sheetId="13628">
        <row r="7">
          <cell r="AI7">
            <v>10000</v>
          </cell>
        </row>
      </sheetData>
      <sheetData sheetId="13629"/>
      <sheetData sheetId="13630"/>
      <sheetData sheetId="13631"/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>
        <row r="7">
          <cell r="AI7">
            <v>10000</v>
          </cell>
        </row>
      </sheetData>
      <sheetData sheetId="13637">
        <row r="7">
          <cell r="AI7">
            <v>10000</v>
          </cell>
        </row>
      </sheetData>
      <sheetData sheetId="13638">
        <row r="7">
          <cell r="AI7">
            <v>10000</v>
          </cell>
        </row>
      </sheetData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/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/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>
        <row r="7">
          <cell r="AI7">
            <v>10000</v>
          </cell>
        </row>
      </sheetData>
      <sheetData sheetId="16170">
        <row r="7">
          <cell r="AI7">
            <v>10000</v>
          </cell>
        </row>
      </sheetData>
      <sheetData sheetId="16171"/>
      <sheetData sheetId="16172"/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/>
      <sheetData sheetId="16177"/>
      <sheetData sheetId="16178">
        <row r="7">
          <cell r="AI7">
            <v>10000</v>
          </cell>
        </row>
      </sheetData>
      <sheetData sheetId="16179"/>
      <sheetData sheetId="16180"/>
      <sheetData sheetId="16181"/>
      <sheetData sheetId="16182"/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/>
      <sheetData sheetId="16188">
        <row r="7">
          <cell r="AI7">
            <v>10000</v>
          </cell>
        </row>
      </sheetData>
      <sheetData sheetId="16189"/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/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/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/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/>
      <sheetData sheetId="16253">
        <row r="7">
          <cell r="AI7">
            <v>10000</v>
          </cell>
        </row>
      </sheetData>
      <sheetData sheetId="16254">
        <row r="7">
          <cell r="AI7">
            <v>10000</v>
          </cell>
        </row>
      </sheetData>
      <sheetData sheetId="16255">
        <row r="7">
          <cell r="AI7">
            <v>10000</v>
          </cell>
        </row>
      </sheetData>
      <sheetData sheetId="16256">
        <row r="7">
          <cell r="AI7">
            <v>10000</v>
          </cell>
        </row>
      </sheetData>
      <sheetData sheetId="16257"/>
      <sheetData sheetId="16258"/>
      <sheetData sheetId="16259"/>
      <sheetData sheetId="16260">
        <row r="7">
          <cell r="AI7">
            <v>10000</v>
          </cell>
        </row>
      </sheetData>
      <sheetData sheetId="16261">
        <row r="7">
          <cell r="AI7">
            <v>10000</v>
          </cell>
        </row>
      </sheetData>
      <sheetData sheetId="16262"/>
      <sheetData sheetId="16263"/>
      <sheetData sheetId="16264"/>
      <sheetData sheetId="16265">
        <row r="7">
          <cell r="AI7">
            <v>10000</v>
          </cell>
        </row>
      </sheetData>
      <sheetData sheetId="16266"/>
      <sheetData sheetId="16267"/>
      <sheetData sheetId="16268"/>
      <sheetData sheetId="16269"/>
      <sheetData sheetId="16270">
        <row r="7">
          <cell r="AI7">
            <v>10000</v>
          </cell>
        </row>
      </sheetData>
      <sheetData sheetId="16271">
        <row r="7">
          <cell r="AI7">
            <v>10000</v>
          </cell>
        </row>
      </sheetData>
      <sheetData sheetId="16272"/>
      <sheetData sheetId="16273">
        <row r="7">
          <cell r="AI7">
            <v>10000</v>
          </cell>
        </row>
      </sheetData>
      <sheetData sheetId="16274"/>
      <sheetData sheetId="16275">
        <row r="7">
          <cell r="AI7">
            <v>10000</v>
          </cell>
        </row>
      </sheetData>
      <sheetData sheetId="16276"/>
      <sheetData sheetId="16277"/>
      <sheetData sheetId="16278">
        <row r="7">
          <cell r="AI7">
            <v>10000</v>
          </cell>
        </row>
      </sheetData>
      <sheetData sheetId="16279">
        <row r="7">
          <cell r="AI7">
            <v>10000</v>
          </cell>
        </row>
      </sheetData>
      <sheetData sheetId="16280">
        <row r="7">
          <cell r="AI7">
            <v>10000</v>
          </cell>
        </row>
      </sheetData>
      <sheetData sheetId="16281"/>
      <sheetData sheetId="16282"/>
      <sheetData sheetId="16283"/>
      <sheetData sheetId="16284"/>
      <sheetData sheetId="16285">
        <row r="7">
          <cell r="AI7">
            <v>10000</v>
          </cell>
        </row>
      </sheetData>
      <sheetData sheetId="16286"/>
      <sheetData sheetId="16287"/>
      <sheetData sheetId="16288">
        <row r="7">
          <cell r="AI7">
            <v>10000</v>
          </cell>
        </row>
      </sheetData>
      <sheetData sheetId="16289"/>
      <sheetData sheetId="16290"/>
      <sheetData sheetId="16291"/>
      <sheetData sheetId="16292"/>
      <sheetData sheetId="16293">
        <row r="7">
          <cell r="AI7">
            <v>10000</v>
          </cell>
        </row>
      </sheetData>
      <sheetData sheetId="16294"/>
      <sheetData sheetId="16295">
        <row r="7">
          <cell r="AI7">
            <v>10000</v>
          </cell>
        </row>
      </sheetData>
      <sheetData sheetId="16296"/>
      <sheetData sheetId="16297"/>
      <sheetData sheetId="16298"/>
      <sheetData sheetId="16299"/>
      <sheetData sheetId="16300"/>
      <sheetData sheetId="16301"/>
      <sheetData sheetId="16302"/>
      <sheetData sheetId="16303">
        <row r="7">
          <cell r="AI7">
            <v>10000</v>
          </cell>
        </row>
      </sheetData>
      <sheetData sheetId="16304"/>
      <sheetData sheetId="16305"/>
      <sheetData sheetId="16306">
        <row r="7">
          <cell r="AI7">
            <v>10000</v>
          </cell>
        </row>
      </sheetData>
      <sheetData sheetId="16307">
        <row r="7">
          <cell r="AI7">
            <v>10000</v>
          </cell>
        </row>
      </sheetData>
      <sheetData sheetId="16308">
        <row r="7">
          <cell r="AI7">
            <v>10000</v>
          </cell>
        </row>
      </sheetData>
      <sheetData sheetId="16309"/>
      <sheetData sheetId="16310"/>
      <sheetData sheetId="16311"/>
      <sheetData sheetId="16312"/>
      <sheetData sheetId="16313">
        <row r="7">
          <cell r="AI7">
            <v>10000</v>
          </cell>
        </row>
      </sheetData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>
        <row r="7">
          <cell r="AI7">
            <v>10000</v>
          </cell>
        </row>
      </sheetData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/>
      <sheetData sheetId="17266" refreshError="1"/>
      <sheetData sheetId="17267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/>
      <sheetData sheetId="17276" refreshError="1"/>
      <sheetData sheetId="17277" refreshError="1"/>
      <sheetData sheetId="17278" refreshError="1"/>
      <sheetData sheetId="17279"/>
      <sheetData sheetId="17280"/>
      <sheetData sheetId="17281" refreshError="1"/>
      <sheetData sheetId="17282" refreshError="1"/>
      <sheetData sheetId="17283"/>
      <sheetData sheetId="17284" refreshError="1"/>
      <sheetData sheetId="17285">
        <row r="7">
          <cell r="AI7">
            <v>10000</v>
          </cell>
        </row>
      </sheetData>
      <sheetData sheetId="17286">
        <row r="7">
          <cell r="AI7">
            <v>10000</v>
          </cell>
        </row>
      </sheetData>
      <sheetData sheetId="17287"/>
      <sheetData sheetId="17288"/>
      <sheetData sheetId="17289">
        <row r="7">
          <cell r="AI7">
            <v>10000</v>
          </cell>
        </row>
      </sheetData>
      <sheetData sheetId="17290" refreshError="1"/>
      <sheetData sheetId="17291" refreshError="1"/>
      <sheetData sheetId="17292" refreshError="1"/>
      <sheetData sheetId="17293" refreshError="1"/>
      <sheetData sheetId="17294"/>
      <sheetData sheetId="17295" refreshError="1"/>
      <sheetData sheetId="17296" refreshError="1"/>
      <sheetData sheetId="17297"/>
      <sheetData sheetId="17298" refreshError="1"/>
      <sheetData sheetId="17299" refreshError="1"/>
      <sheetData sheetId="17300"/>
      <sheetData sheetId="17301" refreshError="1"/>
      <sheetData sheetId="17302"/>
      <sheetData sheetId="17303" refreshError="1"/>
      <sheetData sheetId="17304"/>
      <sheetData sheetId="17305"/>
      <sheetData sheetId="17306" refreshError="1"/>
      <sheetData sheetId="17307"/>
      <sheetData sheetId="17308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/>
      <sheetData sheetId="17315" refreshError="1"/>
      <sheetData sheetId="17316" refreshError="1"/>
      <sheetData sheetId="17317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/>
      <sheetData sheetId="17326" refreshError="1"/>
      <sheetData sheetId="17327" refreshError="1"/>
      <sheetData sheetId="17328"/>
      <sheetData sheetId="17329" refreshError="1"/>
      <sheetData sheetId="1733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2.74"/>
      <sheetName val="NS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m282-Km_x0003_3"/>
      <sheetName val="T4-99_x0005_"/>
      <sheetName val="Soqu_x0005_"/>
      <sheetName val="thong ke"/>
      <sheetName val="DMT"/>
      <sheetName val="Năm"/>
      <sheetName val="Thời gian"/>
      <sheetName val="Tỉnh"/>
      <sheetName val="_x0005_"/>
      <sheetName val="tien uong"/>
      <sheetName val="Y_BA"/>
      <sheetName val="T6-99 _x0012_[IBASE2.XLS]T"/>
      <sheetName val="T4-99_x0005_T5-99"/>
      <sheetName val="ma-pt"/>
      <sheetName val="KH-Q1,Q2,01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 refreshError="1"/>
      <sheetData sheetId="1212"/>
      <sheetData sheetId="1213" refreshError="1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/>
      <sheetData sheetId="1241" refreshError="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_x0000_"/>
      <sheetName val="K261_x0000_Base"/>
      <sheetName val="K_x0000_5_x0001_ @9_x0008_"/>
      <sheetName val="km342+520-km342+690 (2_x0009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 t="str">
            <v/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 t="str">
            <v/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 t="str">
            <v/>
          </cell>
          <cell r="S1">
            <v>0</v>
          </cell>
          <cell r="T1" t="str">
            <v/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 t="str">
            <v/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/>
      <sheetData sheetId="888"/>
      <sheetData sheetId="889"/>
      <sheetData sheetId="890"/>
      <sheetData sheetId="891" refreshError="1"/>
      <sheetData sheetId="892" refreshError="1"/>
      <sheetData sheetId="893"/>
      <sheetData sheetId="894"/>
      <sheetData sheetId="895"/>
      <sheetData sheetId="896"/>
      <sheetData sheetId="897" refreshError="1"/>
      <sheetData sheetId="898" refreshError="1"/>
      <sheetData sheetId="899"/>
      <sheetData sheetId="900" refreshError="1"/>
      <sheetData sheetId="90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/>
      <sheetData sheetId="909" refreshError="1"/>
      <sheetData sheetId="9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DanhMuc"/>
      <sheetName val="ma-pt"/>
      <sheetName val="MTL$-INTER"/>
      <sheetName val="TDT"/>
      <sheetName val="2.74"/>
      <sheetName val="DTXL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7 THAI NGUYEN"/>
      <sheetName val="TONGKE3p "/>
      <sheetName val="TDTKP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4"/>
  <sheetViews>
    <sheetView tabSelected="1" workbookViewId="0">
      <selection activeCell="F11" sqref="F11"/>
    </sheetView>
  </sheetViews>
  <sheetFormatPr defaultColWidth="10.28515625" defaultRowHeight="15"/>
  <cols>
    <col min="1" max="1" width="5" style="3" customWidth="1"/>
    <col min="2" max="2" width="36.140625" style="3" customWidth="1"/>
    <col min="3" max="3" width="15.140625" style="3" customWidth="1"/>
    <col min="4" max="4" width="11.42578125" style="3" customWidth="1"/>
    <col min="5" max="5" width="17.7109375" style="3" customWidth="1"/>
    <col min="6" max="16384" width="10.28515625" style="3"/>
  </cols>
  <sheetData>
    <row r="1" spans="1:7" ht="20.100000000000001" customHeight="1">
      <c r="A1" s="1" t="s">
        <v>19</v>
      </c>
      <c r="B1" s="2"/>
      <c r="C1" s="2"/>
      <c r="D1" s="2"/>
      <c r="E1" s="2"/>
    </row>
    <row r="2" spans="1:7" ht="20.100000000000001" customHeight="1">
      <c r="A2" s="2"/>
      <c r="B2" s="2"/>
      <c r="C2" s="2"/>
      <c r="D2" s="2"/>
      <c r="E2" s="2"/>
    </row>
    <row r="3" spans="1:7" s="4" customFormat="1" ht="20.100000000000001" customHeight="1">
      <c r="E3" s="5" t="s">
        <v>0</v>
      </c>
    </row>
    <row r="4" spans="1:7" ht="20.100000000000001" customHeight="1">
      <c r="A4" s="6"/>
      <c r="B4" s="6"/>
      <c r="C4" s="7" t="s">
        <v>1</v>
      </c>
      <c r="D4" s="7" t="s">
        <v>2</v>
      </c>
      <c r="E4" s="7" t="s">
        <v>3</v>
      </c>
    </row>
    <row r="5" spans="1:7" ht="20.100000000000001" customHeight="1">
      <c r="A5" s="2"/>
      <c r="B5" s="2"/>
      <c r="C5" s="8" t="s">
        <v>4</v>
      </c>
      <c r="D5" s="8" t="s">
        <v>5</v>
      </c>
      <c r="E5" s="8" t="s">
        <v>6</v>
      </c>
    </row>
    <row r="6" spans="1:7" ht="20.100000000000001" customHeight="1">
      <c r="A6" s="2"/>
      <c r="B6" s="2"/>
      <c r="C6" s="9"/>
      <c r="D6" s="9"/>
      <c r="E6" s="9" t="s">
        <v>7</v>
      </c>
    </row>
    <row r="7" spans="1:7" ht="20.100000000000001" customHeight="1">
      <c r="A7" s="10"/>
      <c r="B7" s="10"/>
      <c r="C7" s="10"/>
      <c r="D7" s="10"/>
      <c r="E7" s="11"/>
    </row>
    <row r="8" spans="1:7" ht="20.100000000000001" customHeight="1">
      <c r="A8" s="12" t="s">
        <v>8</v>
      </c>
      <c r="B8" s="13"/>
      <c r="C8" s="14">
        <v>1220.1395429508391</v>
      </c>
      <c r="D8" s="14">
        <v>1209.5999999999999</v>
      </c>
      <c r="E8" s="15">
        <v>99.136201837590647</v>
      </c>
      <c r="F8" s="16"/>
      <c r="G8" s="16"/>
    </row>
    <row r="9" spans="1:7" ht="20.100000000000001" customHeight="1">
      <c r="A9" s="12"/>
      <c r="B9" s="17" t="s">
        <v>9</v>
      </c>
      <c r="C9" s="18">
        <v>865.67029455083912</v>
      </c>
      <c r="D9" s="18">
        <v>841.77535999999998</v>
      </c>
      <c r="E9" s="19">
        <v>97.239718781936801</v>
      </c>
      <c r="F9" s="16"/>
    </row>
    <row r="10" spans="1:7" ht="20.100000000000001" customHeight="1">
      <c r="A10" s="12"/>
      <c r="B10" s="17" t="s">
        <v>10</v>
      </c>
      <c r="C10" s="18">
        <v>354.46924840000003</v>
      </c>
      <c r="D10" s="18">
        <v>367.79816212760005</v>
      </c>
      <c r="E10" s="19">
        <v>103.76024543391675</v>
      </c>
      <c r="F10" s="16"/>
    </row>
    <row r="11" spans="1:7" ht="20.100000000000001" customHeight="1">
      <c r="A11" s="12" t="s">
        <v>11</v>
      </c>
      <c r="B11" s="13"/>
      <c r="C11" s="14">
        <v>1901.3</v>
      </c>
      <c r="D11" s="14">
        <v>1893.8516168981873</v>
      </c>
      <c r="E11" s="15">
        <v>99.608247877672511</v>
      </c>
      <c r="F11" s="16"/>
      <c r="G11" s="16"/>
    </row>
    <row r="12" spans="1:7" ht="20.100000000000001" customHeight="1">
      <c r="A12" s="12"/>
      <c r="B12" s="17" t="s">
        <v>9</v>
      </c>
      <c r="C12" s="18">
        <v>173.96616</v>
      </c>
      <c r="D12" s="18">
        <v>172.5</v>
      </c>
      <c r="E12" s="19">
        <v>99.157215403271536</v>
      </c>
      <c r="F12" s="16"/>
    </row>
    <row r="13" spans="1:7" ht="20.100000000000001" customHeight="1">
      <c r="A13" s="12"/>
      <c r="B13" s="17" t="s">
        <v>10</v>
      </c>
      <c r="C13" s="18">
        <v>1727.2777545290187</v>
      </c>
      <c r="D13" s="18">
        <v>1721.4102188981874</v>
      </c>
      <c r="E13" s="19">
        <v>99.660301557439368</v>
      </c>
      <c r="F13" s="16"/>
    </row>
    <row r="14" spans="1:7" ht="20.100000000000001" customHeight="1">
      <c r="A14" s="12" t="s">
        <v>12</v>
      </c>
      <c r="B14" s="20"/>
      <c r="C14" s="18"/>
      <c r="D14" s="18"/>
      <c r="E14" s="15"/>
      <c r="F14" s="16"/>
    </row>
    <row r="15" spans="1:7" ht="20.100000000000001" customHeight="1">
      <c r="A15" s="21"/>
      <c r="B15" s="17" t="s">
        <v>13</v>
      </c>
      <c r="C15" s="18">
        <v>720.93372789691466</v>
      </c>
      <c r="D15" s="18">
        <v>713.42861861158394</v>
      </c>
      <c r="E15" s="19">
        <v>98.95897375931844</v>
      </c>
      <c r="F15" s="16"/>
    </row>
    <row r="16" spans="1:7" ht="20.100000000000001" customHeight="1">
      <c r="A16" s="21"/>
      <c r="B16" s="17" t="s">
        <v>14</v>
      </c>
      <c r="C16" s="18">
        <v>68.371777317977745</v>
      </c>
      <c r="D16" s="18">
        <v>65.520776479999995</v>
      </c>
      <c r="E16" s="19">
        <v>95.83014958830374</v>
      </c>
      <c r="F16" s="16"/>
    </row>
    <row r="17" spans="1:6" ht="20.100000000000001" customHeight="1">
      <c r="A17" s="22"/>
      <c r="B17" s="17" t="s">
        <v>15</v>
      </c>
      <c r="C17" s="18">
        <v>16.354472080780575</v>
      </c>
      <c r="D17" s="18">
        <v>15.162571000000002</v>
      </c>
      <c r="E17" s="19">
        <v>92.712078537947619</v>
      </c>
      <c r="F17" s="16"/>
    </row>
    <row r="18" spans="1:6" ht="20.100000000000001" customHeight="1">
      <c r="A18" s="23"/>
      <c r="B18" s="17" t="s">
        <v>16</v>
      </c>
      <c r="C18" s="18">
        <v>122.61814085472315</v>
      </c>
      <c r="D18" s="18">
        <v>118.52988131812113</v>
      </c>
      <c r="E18" s="19">
        <v>96.66586077059695</v>
      </c>
      <c r="F18" s="16"/>
    </row>
    <row r="19" spans="1:6" ht="20.100000000000001" customHeight="1">
      <c r="A19" s="23"/>
      <c r="B19" s="17" t="s">
        <v>17</v>
      </c>
      <c r="C19" s="18">
        <v>786.33750099173324</v>
      </c>
      <c r="D19" s="18">
        <v>790.80594573421968</v>
      </c>
      <c r="E19" s="19">
        <v>100.56826041449769</v>
      </c>
      <c r="F19" s="16"/>
    </row>
    <row r="20" spans="1:6" ht="20.100000000000001" customHeight="1">
      <c r="A20" s="23"/>
      <c r="B20" s="17" t="s">
        <v>18</v>
      </c>
      <c r="C20" s="18">
        <v>84.052845330743992</v>
      </c>
      <c r="D20" s="18">
        <v>83.671763167999998</v>
      </c>
      <c r="E20" s="19">
        <v>99.546615987543959</v>
      </c>
      <c r="F20" s="16"/>
    </row>
    <row r="21" spans="1:6" ht="20.100000000000001" customHeight="1">
      <c r="A21" s="23"/>
      <c r="B21" s="23"/>
      <c r="C21" s="24"/>
      <c r="D21" s="24"/>
      <c r="E21" s="23"/>
    </row>
    <row r="22" spans="1:6" ht="20.100000000000001" customHeight="1">
      <c r="A22" s="23"/>
      <c r="B22" s="23"/>
      <c r="C22" s="24"/>
      <c r="D22" s="24"/>
      <c r="E22" s="23"/>
    </row>
    <row r="23" spans="1:6" ht="20.100000000000001" customHeight="1">
      <c r="A23" s="23"/>
      <c r="B23" s="23"/>
      <c r="C23" s="24"/>
      <c r="D23" s="24"/>
      <c r="E23" s="23"/>
    </row>
    <row r="24" spans="1:6" ht="20.100000000000001" customHeight="1">
      <c r="A24" s="23"/>
      <c r="B24" s="23"/>
      <c r="C24" s="24"/>
      <c r="D24" s="24"/>
      <c r="E24" s="23"/>
    </row>
    <row r="25" spans="1:6" ht="20.100000000000001" customHeight="1">
      <c r="A25" s="23"/>
      <c r="B25" s="23"/>
      <c r="C25" s="23"/>
      <c r="D25" s="23"/>
      <c r="E25" s="23"/>
    </row>
    <row r="26" spans="1:6" ht="20.100000000000001" customHeight="1"/>
    <row r="27" spans="1:6" ht="20.100000000000001" customHeight="1"/>
    <row r="28" spans="1:6" ht="20.100000000000001" customHeight="1"/>
    <row r="29" spans="1:6" ht="20.100000000000001" customHeight="1"/>
    <row r="30" spans="1:6" ht="20.100000000000001" customHeight="1"/>
    <row r="31" spans="1:6" ht="20.100000000000001" customHeight="1"/>
    <row r="32" spans="1:6" ht="20.100000000000001" customHeight="1"/>
    <row r="33" ht="20.100000000000001" customHeight="1"/>
    <row r="34" ht="20.100000000000001" customHeight="1"/>
  </sheetData>
  <pageMargins left="0.78740157480314998" right="0.47244094488188998" top="0.74803149606299202" bottom="0.511811023622047" header="0.43307086614173201" footer="0.23622047244094499"/>
  <pageSetup paperSize="9" firstPageNumber="27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65D9-856A-4520-997A-B05299D40E8C}">
  <sheetPr>
    <pageSetUpPr fitToPage="1"/>
  </sheetPr>
  <dimension ref="A1:DO45"/>
  <sheetViews>
    <sheetView topLeftCell="A25" zoomScale="145" zoomScaleNormal="145" workbookViewId="0">
      <selection activeCell="F11" sqref="F11"/>
    </sheetView>
  </sheetViews>
  <sheetFormatPr defaultColWidth="14.7109375" defaultRowHeight="16.5" customHeight="1"/>
  <cols>
    <col min="1" max="1" width="47.85546875" style="26" customWidth="1"/>
    <col min="2" max="2" width="9.7109375" style="26" customWidth="1"/>
    <col min="3" max="5" width="10.140625" style="26" customWidth="1"/>
    <col min="6" max="16384" width="14.7109375" style="26"/>
  </cols>
  <sheetData>
    <row r="1" spans="1:119" ht="19.5" customHeight="1">
      <c r="A1" s="476" t="s">
        <v>20</v>
      </c>
      <c r="B1" s="476"/>
      <c r="C1" s="476"/>
      <c r="D1" s="476"/>
      <c r="E1" s="476"/>
    </row>
    <row r="2" spans="1:119" ht="8.4499999999999993" customHeight="1">
      <c r="A2" s="25"/>
      <c r="B2" s="25"/>
      <c r="C2" s="25"/>
      <c r="D2" s="25"/>
      <c r="E2" s="25"/>
    </row>
    <row r="3" spans="1:119" ht="15" customHeight="1">
      <c r="A3" s="27"/>
      <c r="C3" s="28"/>
      <c r="D3" s="29"/>
      <c r="E3" s="30" t="s">
        <v>21</v>
      </c>
    </row>
    <row r="4" spans="1:119" ht="15" customHeight="1">
      <c r="A4" s="31"/>
      <c r="B4" s="32" t="s">
        <v>22</v>
      </c>
      <c r="C4" s="32" t="s">
        <v>23</v>
      </c>
      <c r="D4" s="32" t="s">
        <v>23</v>
      </c>
      <c r="E4" s="32" t="s">
        <v>24</v>
      </c>
    </row>
    <row r="5" spans="1:119" ht="15" customHeight="1">
      <c r="A5" s="33"/>
      <c r="B5" s="34" t="s">
        <v>25</v>
      </c>
      <c r="C5" s="34" t="s">
        <v>25</v>
      </c>
      <c r="D5" s="34" t="s">
        <v>25</v>
      </c>
      <c r="E5" s="34" t="s">
        <v>25</v>
      </c>
    </row>
    <row r="6" spans="1:119" ht="15" customHeight="1">
      <c r="A6" s="33"/>
      <c r="B6" s="34" t="s">
        <v>26</v>
      </c>
      <c r="C6" s="34" t="s">
        <v>26</v>
      </c>
      <c r="D6" s="34" t="s">
        <v>26</v>
      </c>
      <c r="E6" s="34" t="s">
        <v>26</v>
      </c>
    </row>
    <row r="7" spans="1:119" ht="15" customHeight="1">
      <c r="A7" s="33"/>
      <c r="B7" s="34" t="s">
        <v>27</v>
      </c>
      <c r="C7" s="34" t="s">
        <v>28</v>
      </c>
      <c r="D7" s="34" t="s">
        <v>27</v>
      </c>
      <c r="E7" s="34" t="s">
        <v>29</v>
      </c>
    </row>
    <row r="8" spans="1:119" ht="15" customHeight="1">
      <c r="A8" s="33"/>
      <c r="B8" s="35" t="s">
        <v>30</v>
      </c>
      <c r="C8" s="35" t="s">
        <v>31</v>
      </c>
      <c r="D8" s="35" t="s">
        <v>30</v>
      </c>
      <c r="E8" s="35" t="s">
        <v>30</v>
      </c>
    </row>
    <row r="9" spans="1:119" s="34" customFormat="1" ht="18" customHeight="1">
      <c r="A9" s="36" t="s">
        <v>32</v>
      </c>
      <c r="B9" s="37">
        <v>107.98</v>
      </c>
      <c r="C9" s="38">
        <v>100.52</v>
      </c>
      <c r="D9" s="38">
        <v>108.54</v>
      </c>
      <c r="E9" s="38">
        <v>108.64</v>
      </c>
    </row>
    <row r="10" spans="1:119" s="43" customFormat="1" ht="15" customHeight="1">
      <c r="A10" s="39" t="s">
        <v>33</v>
      </c>
      <c r="B10" s="40">
        <v>99.74</v>
      </c>
      <c r="C10" s="41">
        <v>97.95</v>
      </c>
      <c r="D10" s="41">
        <v>102.55</v>
      </c>
      <c r="E10" s="41">
        <v>97.33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</row>
    <row r="11" spans="1:119" ht="15" customHeight="1">
      <c r="A11" s="44" t="s">
        <v>34</v>
      </c>
      <c r="B11" s="45">
        <v>105.46</v>
      </c>
      <c r="C11" s="46">
        <v>88.85</v>
      </c>
      <c r="D11" s="46">
        <v>103.48</v>
      </c>
      <c r="E11" s="46">
        <v>103.69</v>
      </c>
    </row>
    <row r="12" spans="1:119" ht="15" customHeight="1">
      <c r="A12" s="44" t="s">
        <v>35</v>
      </c>
      <c r="B12" s="45">
        <v>93.13</v>
      </c>
      <c r="C12" s="46">
        <v>101.96</v>
      </c>
      <c r="D12" s="46">
        <v>96.87</v>
      </c>
      <c r="E12" s="46">
        <v>91.91</v>
      </c>
    </row>
    <row r="13" spans="1:119" ht="15" customHeight="1">
      <c r="A13" s="44" t="s">
        <v>36</v>
      </c>
      <c r="B13" s="45">
        <v>87.08</v>
      </c>
      <c r="C13" s="46">
        <v>120.02</v>
      </c>
      <c r="D13" s="46">
        <v>103.13</v>
      </c>
      <c r="E13" s="46">
        <v>99.73</v>
      </c>
    </row>
    <row r="14" spans="1:119" s="47" customFormat="1" ht="15" customHeight="1">
      <c r="A14" s="44" t="s">
        <v>37</v>
      </c>
      <c r="B14" s="45">
        <v>115.34</v>
      </c>
      <c r="C14" s="46">
        <v>95.58</v>
      </c>
      <c r="D14" s="46">
        <v>115.52</v>
      </c>
      <c r="E14" s="46">
        <v>109.38</v>
      </c>
    </row>
    <row r="15" spans="1:119" s="47" customFormat="1" ht="15" customHeight="1">
      <c r="A15" s="44" t="s">
        <v>38</v>
      </c>
      <c r="B15" s="45">
        <v>106.86</v>
      </c>
      <c r="C15" s="46">
        <v>103.29</v>
      </c>
      <c r="D15" s="46">
        <v>123.36</v>
      </c>
      <c r="E15" s="46">
        <v>96.55</v>
      </c>
    </row>
    <row r="16" spans="1:119" ht="15" customHeight="1">
      <c r="A16" s="48" t="s">
        <v>39</v>
      </c>
      <c r="B16" s="49">
        <v>109.17</v>
      </c>
      <c r="C16" s="41">
        <v>100.32</v>
      </c>
      <c r="D16" s="41">
        <v>109.28</v>
      </c>
      <c r="E16" s="41">
        <v>110.33</v>
      </c>
    </row>
    <row r="17" spans="1:119" ht="15" customHeight="1">
      <c r="A17" s="44" t="s">
        <v>40</v>
      </c>
      <c r="B17" s="46">
        <v>109.07</v>
      </c>
      <c r="C17" s="46">
        <v>101.52</v>
      </c>
      <c r="D17" s="46">
        <v>109.93</v>
      </c>
      <c r="E17" s="46">
        <v>110.04</v>
      </c>
    </row>
    <row r="18" spans="1:119" ht="15" customHeight="1">
      <c r="A18" s="44" t="s">
        <v>41</v>
      </c>
      <c r="B18" s="46">
        <v>105.24</v>
      </c>
      <c r="C18" s="46">
        <v>101.33</v>
      </c>
      <c r="D18" s="46">
        <v>113.28</v>
      </c>
      <c r="E18" s="46">
        <v>103.13</v>
      </c>
    </row>
    <row r="19" spans="1:119" ht="15" customHeight="1">
      <c r="A19" s="44" t="s">
        <v>42</v>
      </c>
      <c r="B19" s="46">
        <v>108.96</v>
      </c>
      <c r="C19" s="46">
        <v>100.53</v>
      </c>
      <c r="D19" s="46">
        <v>108.03</v>
      </c>
      <c r="E19" s="46">
        <v>106.13</v>
      </c>
    </row>
    <row r="20" spans="1:119" ht="15" customHeight="1">
      <c r="A20" s="44" t="s">
        <v>43</v>
      </c>
      <c r="B20" s="46">
        <v>104.74</v>
      </c>
      <c r="C20" s="46">
        <v>103.01</v>
      </c>
      <c r="D20" s="46">
        <v>107.15</v>
      </c>
      <c r="E20" s="46">
        <v>108.1</v>
      </c>
    </row>
    <row r="21" spans="1:119" ht="15" customHeight="1">
      <c r="A21" s="44" t="s">
        <v>44</v>
      </c>
      <c r="B21" s="46">
        <v>114.14</v>
      </c>
      <c r="C21" s="46">
        <v>103.99</v>
      </c>
      <c r="D21" s="46">
        <v>109.77</v>
      </c>
      <c r="E21" s="46">
        <v>114.47</v>
      </c>
    </row>
    <row r="22" spans="1:119" ht="15" customHeight="1">
      <c r="A22" s="44" t="s">
        <v>45</v>
      </c>
      <c r="B22" s="46">
        <v>113.27</v>
      </c>
      <c r="C22" s="46">
        <v>103.22</v>
      </c>
      <c r="D22" s="46">
        <v>110.37</v>
      </c>
      <c r="E22" s="46">
        <v>115.43</v>
      </c>
    </row>
    <row r="23" spans="1:119" ht="37.15" customHeight="1">
      <c r="A23" s="44" t="s">
        <v>46</v>
      </c>
      <c r="B23" s="46">
        <v>105.85</v>
      </c>
      <c r="C23" s="46">
        <v>103.2</v>
      </c>
      <c r="D23" s="46">
        <v>105.39</v>
      </c>
      <c r="E23" s="46">
        <v>109.97</v>
      </c>
    </row>
    <row r="24" spans="1:119" ht="15" customHeight="1">
      <c r="A24" s="44" t="s">
        <v>47</v>
      </c>
      <c r="B24" s="46">
        <v>111.33</v>
      </c>
      <c r="C24" s="46">
        <v>101.7</v>
      </c>
      <c r="D24" s="46">
        <v>108.57</v>
      </c>
      <c r="E24" s="46">
        <v>109.12</v>
      </c>
    </row>
    <row r="25" spans="1:119" ht="15" customHeight="1">
      <c r="A25" s="44" t="s">
        <v>48</v>
      </c>
      <c r="B25" s="46">
        <v>113.75</v>
      </c>
      <c r="C25" s="46">
        <v>101.46</v>
      </c>
      <c r="D25" s="46">
        <v>113.42</v>
      </c>
      <c r="E25" s="46">
        <v>108.91</v>
      </c>
    </row>
    <row r="26" spans="1:119" ht="15" customHeight="1">
      <c r="A26" s="44" t="s">
        <v>49</v>
      </c>
      <c r="B26" s="46">
        <v>100.47</v>
      </c>
      <c r="C26" s="46">
        <v>101.92</v>
      </c>
      <c r="D26" s="46">
        <v>101.14</v>
      </c>
      <c r="E26" s="46">
        <v>108.76</v>
      </c>
    </row>
    <row r="27" spans="1:119" ht="15" customHeight="1">
      <c r="A27" s="44" t="s">
        <v>50</v>
      </c>
      <c r="B27" s="46">
        <v>109.29</v>
      </c>
      <c r="C27" s="46">
        <v>101.42</v>
      </c>
      <c r="D27" s="46">
        <v>111.39</v>
      </c>
      <c r="E27" s="46">
        <v>107.59</v>
      </c>
    </row>
    <row r="28" spans="1:119" ht="15" customHeight="1">
      <c r="A28" s="44" t="s">
        <v>51</v>
      </c>
      <c r="B28" s="46">
        <v>97.14</v>
      </c>
      <c r="C28" s="46">
        <v>101.05</v>
      </c>
      <c r="D28" s="46">
        <v>103.22</v>
      </c>
      <c r="E28" s="46">
        <v>95.11</v>
      </c>
    </row>
    <row r="29" spans="1:119" s="50" customFormat="1" ht="15" customHeight="1">
      <c r="A29" s="44" t="s">
        <v>52</v>
      </c>
      <c r="B29" s="46">
        <v>119.79</v>
      </c>
      <c r="C29" s="46">
        <v>101.19</v>
      </c>
      <c r="D29" s="46">
        <v>116.37</v>
      </c>
      <c r="E29" s="46">
        <v>116.89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</row>
    <row r="30" spans="1:119" ht="15" customHeight="1">
      <c r="A30" s="44" t="s">
        <v>53</v>
      </c>
      <c r="B30" s="46">
        <v>122.87</v>
      </c>
      <c r="C30" s="46">
        <v>101.01</v>
      </c>
      <c r="D30" s="46">
        <v>122.33</v>
      </c>
      <c r="E30" s="46">
        <v>114.84</v>
      </c>
    </row>
    <row r="31" spans="1:119" ht="15" customHeight="1">
      <c r="A31" s="44" t="s">
        <v>54</v>
      </c>
      <c r="B31" s="46">
        <v>110.88</v>
      </c>
      <c r="C31" s="46">
        <v>99.58</v>
      </c>
      <c r="D31" s="46">
        <v>112.3</v>
      </c>
      <c r="E31" s="46">
        <v>110.12</v>
      </c>
    </row>
    <row r="32" spans="1:119" ht="27" customHeight="1">
      <c r="A32" s="44" t="s">
        <v>55</v>
      </c>
      <c r="B32" s="46">
        <v>109.35</v>
      </c>
      <c r="C32" s="46">
        <v>103.1</v>
      </c>
      <c r="D32" s="46">
        <v>112.52</v>
      </c>
      <c r="E32" s="46">
        <v>111.03</v>
      </c>
    </row>
    <row r="33" spans="1:5" ht="27" customHeight="1">
      <c r="A33" s="44" t="s">
        <v>56</v>
      </c>
      <c r="B33" s="46">
        <v>102.71</v>
      </c>
      <c r="C33" s="46">
        <v>96.85</v>
      </c>
      <c r="D33" s="46">
        <v>105.05</v>
      </c>
      <c r="E33" s="46">
        <v>107.86</v>
      </c>
    </row>
    <row r="34" spans="1:5" ht="15" customHeight="1">
      <c r="A34" s="44" t="s">
        <v>57</v>
      </c>
      <c r="B34" s="46">
        <v>111.95</v>
      </c>
      <c r="C34" s="46">
        <v>101.06</v>
      </c>
      <c r="D34" s="46">
        <v>115.15</v>
      </c>
      <c r="E34" s="46">
        <v>103.04</v>
      </c>
    </row>
    <row r="35" spans="1:5" ht="15" customHeight="1">
      <c r="A35" s="44" t="s">
        <v>58</v>
      </c>
      <c r="B35" s="46">
        <v>107.86</v>
      </c>
      <c r="C35" s="46">
        <v>100.27</v>
      </c>
      <c r="D35" s="46">
        <v>100.58</v>
      </c>
      <c r="E35" s="46">
        <v>105.87</v>
      </c>
    </row>
    <row r="36" spans="1:5" ht="15" customHeight="1">
      <c r="A36" s="44" t="s">
        <v>59</v>
      </c>
      <c r="B36" s="46">
        <v>137.33000000000001</v>
      </c>
      <c r="C36" s="46">
        <v>98.17</v>
      </c>
      <c r="D36" s="46">
        <v>118.96</v>
      </c>
      <c r="E36" s="46">
        <v>129.88</v>
      </c>
    </row>
    <row r="37" spans="1:5" ht="15" customHeight="1">
      <c r="A37" s="44" t="s">
        <v>60</v>
      </c>
      <c r="B37" s="46">
        <v>112.05</v>
      </c>
      <c r="C37" s="46">
        <v>102.61</v>
      </c>
      <c r="D37" s="46">
        <v>99.77</v>
      </c>
      <c r="E37" s="46">
        <v>112.16</v>
      </c>
    </row>
    <row r="38" spans="1:5" ht="15" customHeight="1">
      <c r="A38" s="44" t="s">
        <v>61</v>
      </c>
      <c r="B38" s="46">
        <v>114.24</v>
      </c>
      <c r="C38" s="46">
        <v>102.06</v>
      </c>
      <c r="D38" s="46">
        <v>108.27</v>
      </c>
      <c r="E38" s="46">
        <v>110.88</v>
      </c>
    </row>
    <row r="39" spans="1:5" ht="15" customHeight="1">
      <c r="A39" s="44" t="s">
        <v>62</v>
      </c>
      <c r="B39" s="46">
        <v>104.74</v>
      </c>
      <c r="C39" s="46">
        <v>100.14</v>
      </c>
      <c r="D39" s="46">
        <v>101.12</v>
      </c>
      <c r="E39" s="46">
        <v>106.42</v>
      </c>
    </row>
    <row r="40" spans="1:5" ht="15" customHeight="1">
      <c r="A40" s="44" t="s">
        <v>63</v>
      </c>
      <c r="B40" s="46">
        <v>113.47</v>
      </c>
      <c r="C40" s="46">
        <v>99.59</v>
      </c>
      <c r="D40" s="46">
        <v>114.91</v>
      </c>
      <c r="E40" s="46">
        <v>113.81</v>
      </c>
    </row>
    <row r="41" spans="1:5" s="47" customFormat="1" ht="15" customHeight="1">
      <c r="A41" s="51" t="s">
        <v>64</v>
      </c>
      <c r="B41" s="41">
        <v>103.88</v>
      </c>
      <c r="C41" s="41">
        <v>103.36</v>
      </c>
      <c r="D41" s="41">
        <v>106.95</v>
      </c>
      <c r="E41" s="41">
        <v>104.57</v>
      </c>
    </row>
    <row r="42" spans="1:5" s="47" customFormat="1" ht="27" customHeight="1">
      <c r="A42" s="51" t="s">
        <v>65</v>
      </c>
      <c r="B42" s="41">
        <v>110.56</v>
      </c>
      <c r="C42" s="41">
        <v>98.58</v>
      </c>
      <c r="D42" s="41">
        <v>109.08</v>
      </c>
      <c r="E42" s="41">
        <v>110.42</v>
      </c>
    </row>
    <row r="43" spans="1:5" s="47" customFormat="1" ht="15" customHeight="1">
      <c r="A43" s="44" t="s">
        <v>66</v>
      </c>
      <c r="B43" s="52">
        <v>104.99</v>
      </c>
      <c r="C43" s="53">
        <v>99.39</v>
      </c>
      <c r="D43" s="53">
        <v>106.81</v>
      </c>
      <c r="E43" s="53">
        <v>103.54</v>
      </c>
    </row>
    <row r="44" spans="1:5" s="47" customFormat="1" ht="15" customHeight="1">
      <c r="A44" s="44" t="s">
        <v>67</v>
      </c>
      <c r="B44" s="52">
        <v>106.7</v>
      </c>
      <c r="C44" s="53">
        <v>98.2</v>
      </c>
      <c r="D44" s="53">
        <v>108.74</v>
      </c>
      <c r="E44" s="53">
        <v>108.63</v>
      </c>
    </row>
    <row r="45" spans="1:5" ht="25.9" customHeight="1">
      <c r="A45" s="44" t="s">
        <v>68</v>
      </c>
      <c r="B45" s="52">
        <v>118.06</v>
      </c>
      <c r="C45" s="52">
        <v>97.75</v>
      </c>
      <c r="D45" s="52">
        <v>111.76</v>
      </c>
      <c r="E45" s="52">
        <v>119.48</v>
      </c>
    </row>
  </sheetData>
  <mergeCells count="1">
    <mergeCell ref="A1:E1"/>
  </mergeCells>
  <pageMargins left="0.78740157480314998" right="0.47244094488188998" top="0.74803149606299202" bottom="0.511811023622047" header="0.43307086614173201" footer="0.23622047244094499"/>
  <pageSetup paperSize="9" firstPageNumber="27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407D-BCED-4B00-9051-4BA7C539D425}">
  <sheetPr>
    <pageSetUpPr fitToPage="1"/>
  </sheetPr>
  <dimension ref="A1:G72"/>
  <sheetViews>
    <sheetView topLeftCell="A10" workbookViewId="0">
      <selection activeCell="F11" sqref="F11"/>
    </sheetView>
  </sheetViews>
  <sheetFormatPr defaultRowHeight="18" customHeight="1"/>
  <cols>
    <col min="1" max="1" width="25" style="57" customWidth="1"/>
    <col min="2" max="2" width="11.5703125" style="57" customWidth="1"/>
    <col min="3" max="3" width="9.140625" style="57" customWidth="1"/>
    <col min="4" max="4" width="8.42578125" style="57" customWidth="1"/>
    <col min="5" max="5" width="8.85546875" style="57" customWidth="1"/>
    <col min="6" max="6" width="12.28515625" style="57" customWidth="1"/>
    <col min="7" max="7" width="13.28515625" style="57" customWidth="1"/>
    <col min="8" max="239" width="9.140625" style="57"/>
    <col min="240" max="240" width="33.85546875" style="57" customWidth="1"/>
    <col min="241" max="241" width="10.28515625" style="57" bestFit="1" customWidth="1"/>
    <col min="242" max="242" width="7.85546875" style="57" bestFit="1" customWidth="1"/>
    <col min="243" max="243" width="7" style="57" bestFit="1" customWidth="1"/>
    <col min="244" max="244" width="7.5703125" style="57" bestFit="1" customWidth="1"/>
    <col min="245" max="246" width="10.7109375" style="57" customWidth="1"/>
    <col min="247" max="495" width="9.140625" style="57"/>
    <col min="496" max="496" width="33.85546875" style="57" customWidth="1"/>
    <col min="497" max="497" width="10.28515625" style="57" bestFit="1" customWidth="1"/>
    <col min="498" max="498" width="7.85546875" style="57" bestFit="1" customWidth="1"/>
    <col min="499" max="499" width="7" style="57" bestFit="1" customWidth="1"/>
    <col min="500" max="500" width="7.5703125" style="57" bestFit="1" customWidth="1"/>
    <col min="501" max="502" width="10.7109375" style="57" customWidth="1"/>
    <col min="503" max="751" width="9.140625" style="57"/>
    <col min="752" max="752" width="33.85546875" style="57" customWidth="1"/>
    <col min="753" max="753" width="10.28515625" style="57" bestFit="1" customWidth="1"/>
    <col min="754" max="754" width="7.85546875" style="57" bestFit="1" customWidth="1"/>
    <col min="755" max="755" width="7" style="57" bestFit="1" customWidth="1"/>
    <col min="756" max="756" width="7.5703125" style="57" bestFit="1" customWidth="1"/>
    <col min="757" max="758" width="10.7109375" style="57" customWidth="1"/>
    <col min="759" max="1007" width="9.140625" style="57"/>
    <col min="1008" max="1008" width="33.85546875" style="57" customWidth="1"/>
    <col min="1009" max="1009" width="10.28515625" style="57" bestFit="1" customWidth="1"/>
    <col min="1010" max="1010" width="7.85546875" style="57" bestFit="1" customWidth="1"/>
    <col min="1011" max="1011" width="7" style="57" bestFit="1" customWidth="1"/>
    <col min="1012" max="1012" width="7.5703125" style="57" bestFit="1" customWidth="1"/>
    <col min="1013" max="1014" width="10.7109375" style="57" customWidth="1"/>
    <col min="1015" max="1263" width="9.140625" style="57"/>
    <col min="1264" max="1264" width="33.85546875" style="57" customWidth="1"/>
    <col min="1265" max="1265" width="10.28515625" style="57" bestFit="1" customWidth="1"/>
    <col min="1266" max="1266" width="7.85546875" style="57" bestFit="1" customWidth="1"/>
    <col min="1267" max="1267" width="7" style="57" bestFit="1" customWidth="1"/>
    <col min="1268" max="1268" width="7.5703125" style="57" bestFit="1" customWidth="1"/>
    <col min="1269" max="1270" width="10.7109375" style="57" customWidth="1"/>
    <col min="1271" max="1519" width="9.140625" style="57"/>
    <col min="1520" max="1520" width="33.85546875" style="57" customWidth="1"/>
    <col min="1521" max="1521" width="10.28515625" style="57" bestFit="1" customWidth="1"/>
    <col min="1522" max="1522" width="7.85546875" style="57" bestFit="1" customWidth="1"/>
    <col min="1523" max="1523" width="7" style="57" bestFit="1" customWidth="1"/>
    <col min="1524" max="1524" width="7.5703125" style="57" bestFit="1" customWidth="1"/>
    <col min="1525" max="1526" width="10.7109375" style="57" customWidth="1"/>
    <col min="1527" max="1775" width="9.140625" style="57"/>
    <col min="1776" max="1776" width="33.85546875" style="57" customWidth="1"/>
    <col min="1777" max="1777" width="10.28515625" style="57" bestFit="1" customWidth="1"/>
    <col min="1778" max="1778" width="7.85546875" style="57" bestFit="1" customWidth="1"/>
    <col min="1779" max="1779" width="7" style="57" bestFit="1" customWidth="1"/>
    <col min="1780" max="1780" width="7.5703125" style="57" bestFit="1" customWidth="1"/>
    <col min="1781" max="1782" width="10.7109375" style="57" customWidth="1"/>
    <col min="1783" max="2031" width="9.140625" style="57"/>
    <col min="2032" max="2032" width="33.85546875" style="57" customWidth="1"/>
    <col min="2033" max="2033" width="10.28515625" style="57" bestFit="1" customWidth="1"/>
    <col min="2034" max="2034" width="7.85546875" style="57" bestFit="1" customWidth="1"/>
    <col min="2035" max="2035" width="7" style="57" bestFit="1" customWidth="1"/>
    <col min="2036" max="2036" width="7.5703125" style="57" bestFit="1" customWidth="1"/>
    <col min="2037" max="2038" width="10.7109375" style="57" customWidth="1"/>
    <col min="2039" max="2287" width="9.140625" style="57"/>
    <col min="2288" max="2288" width="33.85546875" style="57" customWidth="1"/>
    <col min="2289" max="2289" width="10.28515625" style="57" bestFit="1" customWidth="1"/>
    <col min="2290" max="2290" width="7.85546875" style="57" bestFit="1" customWidth="1"/>
    <col min="2291" max="2291" width="7" style="57" bestFit="1" customWidth="1"/>
    <col min="2292" max="2292" width="7.5703125" style="57" bestFit="1" customWidth="1"/>
    <col min="2293" max="2294" width="10.7109375" style="57" customWidth="1"/>
    <col min="2295" max="2543" width="9.140625" style="57"/>
    <col min="2544" max="2544" width="33.85546875" style="57" customWidth="1"/>
    <col min="2545" max="2545" width="10.28515625" style="57" bestFit="1" customWidth="1"/>
    <col min="2546" max="2546" width="7.85546875" style="57" bestFit="1" customWidth="1"/>
    <col min="2547" max="2547" width="7" style="57" bestFit="1" customWidth="1"/>
    <col min="2548" max="2548" width="7.5703125" style="57" bestFit="1" customWidth="1"/>
    <col min="2549" max="2550" width="10.7109375" style="57" customWidth="1"/>
    <col min="2551" max="2799" width="9.140625" style="57"/>
    <col min="2800" max="2800" width="33.85546875" style="57" customWidth="1"/>
    <col min="2801" max="2801" width="10.28515625" style="57" bestFit="1" customWidth="1"/>
    <col min="2802" max="2802" width="7.85546875" style="57" bestFit="1" customWidth="1"/>
    <col min="2803" max="2803" width="7" style="57" bestFit="1" customWidth="1"/>
    <col min="2804" max="2804" width="7.5703125" style="57" bestFit="1" customWidth="1"/>
    <col min="2805" max="2806" width="10.7109375" style="57" customWidth="1"/>
    <col min="2807" max="3055" width="9.140625" style="57"/>
    <col min="3056" max="3056" width="33.85546875" style="57" customWidth="1"/>
    <col min="3057" max="3057" width="10.28515625" style="57" bestFit="1" customWidth="1"/>
    <col min="3058" max="3058" width="7.85546875" style="57" bestFit="1" customWidth="1"/>
    <col min="3059" max="3059" width="7" style="57" bestFit="1" customWidth="1"/>
    <col min="3060" max="3060" width="7.5703125" style="57" bestFit="1" customWidth="1"/>
    <col min="3061" max="3062" width="10.7109375" style="57" customWidth="1"/>
    <col min="3063" max="3311" width="9.140625" style="57"/>
    <col min="3312" max="3312" width="33.85546875" style="57" customWidth="1"/>
    <col min="3313" max="3313" width="10.28515625" style="57" bestFit="1" customWidth="1"/>
    <col min="3314" max="3314" width="7.85546875" style="57" bestFit="1" customWidth="1"/>
    <col min="3315" max="3315" width="7" style="57" bestFit="1" customWidth="1"/>
    <col min="3316" max="3316" width="7.5703125" style="57" bestFit="1" customWidth="1"/>
    <col min="3317" max="3318" width="10.7109375" style="57" customWidth="1"/>
    <col min="3319" max="3567" width="9.140625" style="57"/>
    <col min="3568" max="3568" width="33.85546875" style="57" customWidth="1"/>
    <col min="3569" max="3569" width="10.28515625" style="57" bestFit="1" customWidth="1"/>
    <col min="3570" max="3570" width="7.85546875" style="57" bestFit="1" customWidth="1"/>
    <col min="3571" max="3571" width="7" style="57" bestFit="1" customWidth="1"/>
    <col min="3572" max="3572" width="7.5703125" style="57" bestFit="1" customWidth="1"/>
    <col min="3573" max="3574" width="10.7109375" style="57" customWidth="1"/>
    <col min="3575" max="3823" width="9.140625" style="57"/>
    <col min="3824" max="3824" width="33.85546875" style="57" customWidth="1"/>
    <col min="3825" max="3825" width="10.28515625" style="57" bestFit="1" customWidth="1"/>
    <col min="3826" max="3826" width="7.85546875" style="57" bestFit="1" customWidth="1"/>
    <col min="3827" max="3827" width="7" style="57" bestFit="1" customWidth="1"/>
    <col min="3828" max="3828" width="7.5703125" style="57" bestFit="1" customWidth="1"/>
    <col min="3829" max="3830" width="10.7109375" style="57" customWidth="1"/>
    <col min="3831" max="4079" width="9.140625" style="57"/>
    <col min="4080" max="4080" width="33.85546875" style="57" customWidth="1"/>
    <col min="4081" max="4081" width="10.28515625" style="57" bestFit="1" customWidth="1"/>
    <col min="4082" max="4082" width="7.85546875" style="57" bestFit="1" customWidth="1"/>
    <col min="4083" max="4083" width="7" style="57" bestFit="1" customWidth="1"/>
    <col min="4084" max="4084" width="7.5703125" style="57" bestFit="1" customWidth="1"/>
    <col min="4085" max="4086" width="10.7109375" style="57" customWidth="1"/>
    <col min="4087" max="4335" width="9.140625" style="57"/>
    <col min="4336" max="4336" width="33.85546875" style="57" customWidth="1"/>
    <col min="4337" max="4337" width="10.28515625" style="57" bestFit="1" customWidth="1"/>
    <col min="4338" max="4338" width="7.85546875" style="57" bestFit="1" customWidth="1"/>
    <col min="4339" max="4339" width="7" style="57" bestFit="1" customWidth="1"/>
    <col min="4340" max="4340" width="7.5703125" style="57" bestFit="1" customWidth="1"/>
    <col min="4341" max="4342" width="10.7109375" style="57" customWidth="1"/>
    <col min="4343" max="4591" width="9.140625" style="57"/>
    <col min="4592" max="4592" width="33.85546875" style="57" customWidth="1"/>
    <col min="4593" max="4593" width="10.28515625" style="57" bestFit="1" customWidth="1"/>
    <col min="4594" max="4594" width="7.85546875" style="57" bestFit="1" customWidth="1"/>
    <col min="4595" max="4595" width="7" style="57" bestFit="1" customWidth="1"/>
    <col min="4596" max="4596" width="7.5703125" style="57" bestFit="1" customWidth="1"/>
    <col min="4597" max="4598" width="10.7109375" style="57" customWidth="1"/>
    <col min="4599" max="4847" width="9.140625" style="57"/>
    <col min="4848" max="4848" width="33.85546875" style="57" customWidth="1"/>
    <col min="4849" max="4849" width="10.28515625" style="57" bestFit="1" customWidth="1"/>
    <col min="4850" max="4850" width="7.85546875" style="57" bestFit="1" customWidth="1"/>
    <col min="4851" max="4851" width="7" style="57" bestFit="1" customWidth="1"/>
    <col min="4852" max="4852" width="7.5703125" style="57" bestFit="1" customWidth="1"/>
    <col min="4853" max="4854" width="10.7109375" style="57" customWidth="1"/>
    <col min="4855" max="5103" width="9.140625" style="57"/>
    <col min="5104" max="5104" width="33.85546875" style="57" customWidth="1"/>
    <col min="5105" max="5105" width="10.28515625" style="57" bestFit="1" customWidth="1"/>
    <col min="5106" max="5106" width="7.85546875" style="57" bestFit="1" customWidth="1"/>
    <col min="5107" max="5107" width="7" style="57" bestFit="1" customWidth="1"/>
    <col min="5108" max="5108" width="7.5703125" style="57" bestFit="1" customWidth="1"/>
    <col min="5109" max="5110" width="10.7109375" style="57" customWidth="1"/>
    <col min="5111" max="5359" width="9.140625" style="57"/>
    <col min="5360" max="5360" width="33.85546875" style="57" customWidth="1"/>
    <col min="5361" max="5361" width="10.28515625" style="57" bestFit="1" customWidth="1"/>
    <col min="5362" max="5362" width="7.85546875" style="57" bestFit="1" customWidth="1"/>
    <col min="5363" max="5363" width="7" style="57" bestFit="1" customWidth="1"/>
    <col min="5364" max="5364" width="7.5703125" style="57" bestFit="1" customWidth="1"/>
    <col min="5365" max="5366" width="10.7109375" style="57" customWidth="1"/>
    <col min="5367" max="5615" width="9.140625" style="57"/>
    <col min="5616" max="5616" width="33.85546875" style="57" customWidth="1"/>
    <col min="5617" max="5617" width="10.28515625" style="57" bestFit="1" customWidth="1"/>
    <col min="5618" max="5618" width="7.85546875" style="57" bestFit="1" customWidth="1"/>
    <col min="5619" max="5619" width="7" style="57" bestFit="1" customWidth="1"/>
    <col min="5620" max="5620" width="7.5703125" style="57" bestFit="1" customWidth="1"/>
    <col min="5621" max="5622" width="10.7109375" style="57" customWidth="1"/>
    <col min="5623" max="5871" width="9.140625" style="57"/>
    <col min="5872" max="5872" width="33.85546875" style="57" customWidth="1"/>
    <col min="5873" max="5873" width="10.28515625" style="57" bestFit="1" customWidth="1"/>
    <col min="5874" max="5874" width="7.85546875" style="57" bestFit="1" customWidth="1"/>
    <col min="5875" max="5875" width="7" style="57" bestFit="1" customWidth="1"/>
    <col min="5876" max="5876" width="7.5703125" style="57" bestFit="1" customWidth="1"/>
    <col min="5877" max="5878" width="10.7109375" style="57" customWidth="1"/>
    <col min="5879" max="6127" width="9.140625" style="57"/>
    <col min="6128" max="6128" width="33.85546875" style="57" customWidth="1"/>
    <col min="6129" max="6129" width="10.28515625" style="57" bestFit="1" customWidth="1"/>
    <col min="6130" max="6130" width="7.85546875" style="57" bestFit="1" customWidth="1"/>
    <col min="6131" max="6131" width="7" style="57" bestFit="1" customWidth="1"/>
    <col min="6132" max="6132" width="7.5703125" style="57" bestFit="1" customWidth="1"/>
    <col min="6133" max="6134" width="10.7109375" style="57" customWidth="1"/>
    <col min="6135" max="6383" width="9.140625" style="57"/>
    <col min="6384" max="6384" width="33.85546875" style="57" customWidth="1"/>
    <col min="6385" max="6385" width="10.28515625" style="57" bestFit="1" customWidth="1"/>
    <col min="6386" max="6386" width="7.85546875" style="57" bestFit="1" customWidth="1"/>
    <col min="6387" max="6387" width="7" style="57" bestFit="1" customWidth="1"/>
    <col min="6388" max="6388" width="7.5703125" style="57" bestFit="1" customWidth="1"/>
    <col min="6389" max="6390" width="10.7109375" style="57" customWidth="1"/>
    <col min="6391" max="6639" width="9.140625" style="57"/>
    <col min="6640" max="6640" width="33.85546875" style="57" customWidth="1"/>
    <col min="6641" max="6641" width="10.28515625" style="57" bestFit="1" customWidth="1"/>
    <col min="6642" max="6642" width="7.85546875" style="57" bestFit="1" customWidth="1"/>
    <col min="6643" max="6643" width="7" style="57" bestFit="1" customWidth="1"/>
    <col min="6644" max="6644" width="7.5703125" style="57" bestFit="1" customWidth="1"/>
    <col min="6645" max="6646" width="10.7109375" style="57" customWidth="1"/>
    <col min="6647" max="6895" width="9.140625" style="57"/>
    <col min="6896" max="6896" width="33.85546875" style="57" customWidth="1"/>
    <col min="6897" max="6897" width="10.28515625" style="57" bestFit="1" customWidth="1"/>
    <col min="6898" max="6898" width="7.85546875" style="57" bestFit="1" customWidth="1"/>
    <col min="6899" max="6899" width="7" style="57" bestFit="1" customWidth="1"/>
    <col min="6900" max="6900" width="7.5703125" style="57" bestFit="1" customWidth="1"/>
    <col min="6901" max="6902" width="10.7109375" style="57" customWidth="1"/>
    <col min="6903" max="7151" width="9.140625" style="57"/>
    <col min="7152" max="7152" width="33.85546875" style="57" customWidth="1"/>
    <col min="7153" max="7153" width="10.28515625" style="57" bestFit="1" customWidth="1"/>
    <col min="7154" max="7154" width="7.85546875" style="57" bestFit="1" customWidth="1"/>
    <col min="7155" max="7155" width="7" style="57" bestFit="1" customWidth="1"/>
    <col min="7156" max="7156" width="7.5703125" style="57" bestFit="1" customWidth="1"/>
    <col min="7157" max="7158" width="10.7109375" style="57" customWidth="1"/>
    <col min="7159" max="7407" width="9.140625" style="57"/>
    <col min="7408" max="7408" width="33.85546875" style="57" customWidth="1"/>
    <col min="7409" max="7409" width="10.28515625" style="57" bestFit="1" customWidth="1"/>
    <col min="7410" max="7410" width="7.85546875" style="57" bestFit="1" customWidth="1"/>
    <col min="7411" max="7411" width="7" style="57" bestFit="1" customWidth="1"/>
    <col min="7412" max="7412" width="7.5703125" style="57" bestFit="1" customWidth="1"/>
    <col min="7413" max="7414" width="10.7109375" style="57" customWidth="1"/>
    <col min="7415" max="7663" width="9.140625" style="57"/>
    <col min="7664" max="7664" width="33.85546875" style="57" customWidth="1"/>
    <col min="7665" max="7665" width="10.28515625" style="57" bestFit="1" customWidth="1"/>
    <col min="7666" max="7666" width="7.85546875" style="57" bestFit="1" customWidth="1"/>
    <col min="7667" max="7667" width="7" style="57" bestFit="1" customWidth="1"/>
    <col min="7668" max="7668" width="7.5703125" style="57" bestFit="1" customWidth="1"/>
    <col min="7669" max="7670" width="10.7109375" style="57" customWidth="1"/>
    <col min="7671" max="7919" width="9.140625" style="57"/>
    <col min="7920" max="7920" width="33.85546875" style="57" customWidth="1"/>
    <col min="7921" max="7921" width="10.28515625" style="57" bestFit="1" customWidth="1"/>
    <col min="7922" max="7922" width="7.85546875" style="57" bestFit="1" customWidth="1"/>
    <col min="7923" max="7923" width="7" style="57" bestFit="1" customWidth="1"/>
    <col min="7924" max="7924" width="7.5703125" style="57" bestFit="1" customWidth="1"/>
    <col min="7925" max="7926" width="10.7109375" style="57" customWidth="1"/>
    <col min="7927" max="8175" width="9.140625" style="57"/>
    <col min="8176" max="8176" width="33.85546875" style="57" customWidth="1"/>
    <col min="8177" max="8177" width="10.28515625" style="57" bestFit="1" customWidth="1"/>
    <col min="8178" max="8178" width="7.85546875" style="57" bestFit="1" customWidth="1"/>
    <col min="8179" max="8179" width="7" style="57" bestFit="1" customWidth="1"/>
    <col min="8180" max="8180" width="7.5703125" style="57" bestFit="1" customWidth="1"/>
    <col min="8181" max="8182" width="10.7109375" style="57" customWidth="1"/>
    <col min="8183" max="8431" width="9.140625" style="57"/>
    <col min="8432" max="8432" width="33.85546875" style="57" customWidth="1"/>
    <col min="8433" max="8433" width="10.28515625" style="57" bestFit="1" customWidth="1"/>
    <col min="8434" max="8434" width="7.85546875" style="57" bestFit="1" customWidth="1"/>
    <col min="8435" max="8435" width="7" style="57" bestFit="1" customWidth="1"/>
    <col min="8436" max="8436" width="7.5703125" style="57" bestFit="1" customWidth="1"/>
    <col min="8437" max="8438" width="10.7109375" style="57" customWidth="1"/>
    <col min="8439" max="8687" width="9.140625" style="57"/>
    <col min="8688" max="8688" width="33.85546875" style="57" customWidth="1"/>
    <col min="8689" max="8689" width="10.28515625" style="57" bestFit="1" customWidth="1"/>
    <col min="8690" max="8690" width="7.85546875" style="57" bestFit="1" customWidth="1"/>
    <col min="8691" max="8691" width="7" style="57" bestFit="1" customWidth="1"/>
    <col min="8692" max="8692" width="7.5703125" style="57" bestFit="1" customWidth="1"/>
    <col min="8693" max="8694" width="10.7109375" style="57" customWidth="1"/>
    <col min="8695" max="8943" width="9.140625" style="57"/>
    <col min="8944" max="8944" width="33.85546875" style="57" customWidth="1"/>
    <col min="8945" max="8945" width="10.28515625" style="57" bestFit="1" customWidth="1"/>
    <col min="8946" max="8946" width="7.85546875" style="57" bestFit="1" customWidth="1"/>
    <col min="8947" max="8947" width="7" style="57" bestFit="1" customWidth="1"/>
    <col min="8948" max="8948" width="7.5703125" style="57" bestFit="1" customWidth="1"/>
    <col min="8949" max="8950" width="10.7109375" style="57" customWidth="1"/>
    <col min="8951" max="9199" width="9.140625" style="57"/>
    <col min="9200" max="9200" width="33.85546875" style="57" customWidth="1"/>
    <col min="9201" max="9201" width="10.28515625" style="57" bestFit="1" customWidth="1"/>
    <col min="9202" max="9202" width="7.85546875" style="57" bestFit="1" customWidth="1"/>
    <col min="9203" max="9203" width="7" style="57" bestFit="1" customWidth="1"/>
    <col min="9204" max="9204" width="7.5703125" style="57" bestFit="1" customWidth="1"/>
    <col min="9205" max="9206" width="10.7109375" style="57" customWidth="1"/>
    <col min="9207" max="9455" width="9.140625" style="57"/>
    <col min="9456" max="9456" width="33.85546875" style="57" customWidth="1"/>
    <col min="9457" max="9457" width="10.28515625" style="57" bestFit="1" customWidth="1"/>
    <col min="9458" max="9458" width="7.85546875" style="57" bestFit="1" customWidth="1"/>
    <col min="9459" max="9459" width="7" style="57" bestFit="1" customWidth="1"/>
    <col min="9460" max="9460" width="7.5703125" style="57" bestFit="1" customWidth="1"/>
    <col min="9461" max="9462" width="10.7109375" style="57" customWidth="1"/>
    <col min="9463" max="9711" width="9.140625" style="57"/>
    <col min="9712" max="9712" width="33.85546875" style="57" customWidth="1"/>
    <col min="9713" max="9713" width="10.28515625" style="57" bestFit="1" customWidth="1"/>
    <col min="9714" max="9714" width="7.85546875" style="57" bestFit="1" customWidth="1"/>
    <col min="9715" max="9715" width="7" style="57" bestFit="1" customWidth="1"/>
    <col min="9716" max="9716" width="7.5703125" style="57" bestFit="1" customWidth="1"/>
    <col min="9717" max="9718" width="10.7109375" style="57" customWidth="1"/>
    <col min="9719" max="9967" width="9.140625" style="57"/>
    <col min="9968" max="9968" width="33.85546875" style="57" customWidth="1"/>
    <col min="9969" max="9969" width="10.28515625" style="57" bestFit="1" customWidth="1"/>
    <col min="9970" max="9970" width="7.85546875" style="57" bestFit="1" customWidth="1"/>
    <col min="9971" max="9971" width="7" style="57" bestFit="1" customWidth="1"/>
    <col min="9972" max="9972" width="7.5703125" style="57" bestFit="1" customWidth="1"/>
    <col min="9973" max="9974" width="10.7109375" style="57" customWidth="1"/>
    <col min="9975" max="10223" width="9.140625" style="57"/>
    <col min="10224" max="10224" width="33.85546875" style="57" customWidth="1"/>
    <col min="10225" max="10225" width="10.28515625" style="57" bestFit="1" customWidth="1"/>
    <col min="10226" max="10226" width="7.85546875" style="57" bestFit="1" customWidth="1"/>
    <col min="10227" max="10227" width="7" style="57" bestFit="1" customWidth="1"/>
    <col min="10228" max="10228" width="7.5703125" style="57" bestFit="1" customWidth="1"/>
    <col min="10229" max="10230" width="10.7109375" style="57" customWidth="1"/>
    <col min="10231" max="10479" width="9.140625" style="57"/>
    <col min="10480" max="10480" width="33.85546875" style="57" customWidth="1"/>
    <col min="10481" max="10481" width="10.28515625" style="57" bestFit="1" customWidth="1"/>
    <col min="10482" max="10482" width="7.85546875" style="57" bestFit="1" customWidth="1"/>
    <col min="10483" max="10483" width="7" style="57" bestFit="1" customWidth="1"/>
    <col min="10484" max="10484" width="7.5703125" style="57" bestFit="1" customWidth="1"/>
    <col min="10485" max="10486" width="10.7109375" style="57" customWidth="1"/>
    <col min="10487" max="10735" width="9.140625" style="57"/>
    <col min="10736" max="10736" width="33.85546875" style="57" customWidth="1"/>
    <col min="10737" max="10737" width="10.28515625" style="57" bestFit="1" customWidth="1"/>
    <col min="10738" max="10738" width="7.85546875" style="57" bestFit="1" customWidth="1"/>
    <col min="10739" max="10739" width="7" style="57" bestFit="1" customWidth="1"/>
    <col min="10740" max="10740" width="7.5703125" style="57" bestFit="1" customWidth="1"/>
    <col min="10741" max="10742" width="10.7109375" style="57" customWidth="1"/>
    <col min="10743" max="10991" width="9.140625" style="57"/>
    <col min="10992" max="10992" width="33.85546875" style="57" customWidth="1"/>
    <col min="10993" max="10993" width="10.28515625" style="57" bestFit="1" customWidth="1"/>
    <col min="10994" max="10994" width="7.85546875" style="57" bestFit="1" customWidth="1"/>
    <col min="10995" max="10995" width="7" style="57" bestFit="1" customWidth="1"/>
    <col min="10996" max="10996" width="7.5703125" style="57" bestFit="1" customWidth="1"/>
    <col min="10997" max="10998" width="10.7109375" style="57" customWidth="1"/>
    <col min="10999" max="11247" width="9.140625" style="57"/>
    <col min="11248" max="11248" width="33.85546875" style="57" customWidth="1"/>
    <col min="11249" max="11249" width="10.28515625" style="57" bestFit="1" customWidth="1"/>
    <col min="11250" max="11250" width="7.85546875" style="57" bestFit="1" customWidth="1"/>
    <col min="11251" max="11251" width="7" style="57" bestFit="1" customWidth="1"/>
    <col min="11252" max="11252" width="7.5703125" style="57" bestFit="1" customWidth="1"/>
    <col min="11253" max="11254" width="10.7109375" style="57" customWidth="1"/>
    <col min="11255" max="11503" width="9.140625" style="57"/>
    <col min="11504" max="11504" width="33.85546875" style="57" customWidth="1"/>
    <col min="11505" max="11505" width="10.28515625" style="57" bestFit="1" customWidth="1"/>
    <col min="11506" max="11506" width="7.85546875" style="57" bestFit="1" customWidth="1"/>
    <col min="11507" max="11507" width="7" style="57" bestFit="1" customWidth="1"/>
    <col min="11508" max="11508" width="7.5703125" style="57" bestFit="1" customWidth="1"/>
    <col min="11509" max="11510" width="10.7109375" style="57" customWidth="1"/>
    <col min="11511" max="11759" width="9.140625" style="57"/>
    <col min="11760" max="11760" width="33.85546875" style="57" customWidth="1"/>
    <col min="11761" max="11761" width="10.28515625" style="57" bestFit="1" customWidth="1"/>
    <col min="11762" max="11762" width="7.85546875" style="57" bestFit="1" customWidth="1"/>
    <col min="11763" max="11763" width="7" style="57" bestFit="1" customWidth="1"/>
    <col min="11764" max="11764" width="7.5703125" style="57" bestFit="1" customWidth="1"/>
    <col min="11765" max="11766" width="10.7109375" style="57" customWidth="1"/>
    <col min="11767" max="12015" width="9.140625" style="57"/>
    <col min="12016" max="12016" width="33.85546875" style="57" customWidth="1"/>
    <col min="12017" max="12017" width="10.28515625" style="57" bestFit="1" customWidth="1"/>
    <col min="12018" max="12018" width="7.85546875" style="57" bestFit="1" customWidth="1"/>
    <col min="12019" max="12019" width="7" style="57" bestFit="1" customWidth="1"/>
    <col min="12020" max="12020" width="7.5703125" style="57" bestFit="1" customWidth="1"/>
    <col min="12021" max="12022" width="10.7109375" style="57" customWidth="1"/>
    <col min="12023" max="12271" width="9.140625" style="57"/>
    <col min="12272" max="12272" width="33.85546875" style="57" customWidth="1"/>
    <col min="12273" max="12273" width="10.28515625" style="57" bestFit="1" customWidth="1"/>
    <col min="12274" max="12274" width="7.85546875" style="57" bestFit="1" customWidth="1"/>
    <col min="12275" max="12275" width="7" style="57" bestFit="1" customWidth="1"/>
    <col min="12276" max="12276" width="7.5703125" style="57" bestFit="1" customWidth="1"/>
    <col min="12277" max="12278" width="10.7109375" style="57" customWidth="1"/>
    <col min="12279" max="12527" width="9.140625" style="57"/>
    <col min="12528" max="12528" width="33.85546875" style="57" customWidth="1"/>
    <col min="12529" max="12529" width="10.28515625" style="57" bestFit="1" customWidth="1"/>
    <col min="12530" max="12530" width="7.85546875" style="57" bestFit="1" customWidth="1"/>
    <col min="12531" max="12531" width="7" style="57" bestFit="1" customWidth="1"/>
    <col min="12532" max="12532" width="7.5703125" style="57" bestFit="1" customWidth="1"/>
    <col min="12533" max="12534" width="10.7109375" style="57" customWidth="1"/>
    <col min="12535" max="12783" width="9.140625" style="57"/>
    <col min="12784" max="12784" width="33.85546875" style="57" customWidth="1"/>
    <col min="12785" max="12785" width="10.28515625" style="57" bestFit="1" customWidth="1"/>
    <col min="12786" max="12786" width="7.85546875" style="57" bestFit="1" customWidth="1"/>
    <col min="12787" max="12787" width="7" style="57" bestFit="1" customWidth="1"/>
    <col min="12788" max="12788" width="7.5703125" style="57" bestFit="1" customWidth="1"/>
    <col min="12789" max="12790" width="10.7109375" style="57" customWidth="1"/>
    <col min="12791" max="13039" width="9.140625" style="57"/>
    <col min="13040" max="13040" width="33.85546875" style="57" customWidth="1"/>
    <col min="13041" max="13041" width="10.28515625" style="57" bestFit="1" customWidth="1"/>
    <col min="13042" max="13042" width="7.85546875" style="57" bestFit="1" customWidth="1"/>
    <col min="13043" max="13043" width="7" style="57" bestFit="1" customWidth="1"/>
    <col min="13044" max="13044" width="7.5703125" style="57" bestFit="1" customWidth="1"/>
    <col min="13045" max="13046" width="10.7109375" style="57" customWidth="1"/>
    <col min="13047" max="13295" width="9.140625" style="57"/>
    <col min="13296" max="13296" width="33.85546875" style="57" customWidth="1"/>
    <col min="13297" max="13297" width="10.28515625" style="57" bestFit="1" customWidth="1"/>
    <col min="13298" max="13298" width="7.85546875" style="57" bestFit="1" customWidth="1"/>
    <col min="13299" max="13299" width="7" style="57" bestFit="1" customWidth="1"/>
    <col min="13300" max="13300" width="7.5703125" style="57" bestFit="1" customWidth="1"/>
    <col min="13301" max="13302" width="10.7109375" style="57" customWidth="1"/>
    <col min="13303" max="13551" width="9.140625" style="57"/>
    <col min="13552" max="13552" width="33.85546875" style="57" customWidth="1"/>
    <col min="13553" max="13553" width="10.28515625" style="57" bestFit="1" customWidth="1"/>
    <col min="13554" max="13554" width="7.85546875" style="57" bestFit="1" customWidth="1"/>
    <col min="13555" max="13555" width="7" style="57" bestFit="1" customWidth="1"/>
    <col min="13556" max="13556" width="7.5703125" style="57" bestFit="1" customWidth="1"/>
    <col min="13557" max="13558" width="10.7109375" style="57" customWidth="1"/>
    <col min="13559" max="13807" width="9.140625" style="57"/>
    <col min="13808" max="13808" width="33.85546875" style="57" customWidth="1"/>
    <col min="13809" max="13809" width="10.28515625" style="57" bestFit="1" customWidth="1"/>
    <col min="13810" max="13810" width="7.85546875" style="57" bestFit="1" customWidth="1"/>
    <col min="13811" max="13811" width="7" style="57" bestFit="1" customWidth="1"/>
    <col min="13812" max="13812" width="7.5703125" style="57" bestFit="1" customWidth="1"/>
    <col min="13813" max="13814" width="10.7109375" style="57" customWidth="1"/>
    <col min="13815" max="14063" width="9.140625" style="57"/>
    <col min="14064" max="14064" width="33.85546875" style="57" customWidth="1"/>
    <col min="14065" max="14065" width="10.28515625" style="57" bestFit="1" customWidth="1"/>
    <col min="14066" max="14066" width="7.85546875" style="57" bestFit="1" customWidth="1"/>
    <col min="14067" max="14067" width="7" style="57" bestFit="1" customWidth="1"/>
    <col min="14068" max="14068" width="7.5703125" style="57" bestFit="1" customWidth="1"/>
    <col min="14069" max="14070" width="10.7109375" style="57" customWidth="1"/>
    <col min="14071" max="14319" width="9.140625" style="57"/>
    <col min="14320" max="14320" width="33.85546875" style="57" customWidth="1"/>
    <col min="14321" max="14321" width="10.28515625" style="57" bestFit="1" customWidth="1"/>
    <col min="14322" max="14322" width="7.85546875" style="57" bestFit="1" customWidth="1"/>
    <col min="14323" max="14323" width="7" style="57" bestFit="1" customWidth="1"/>
    <col min="14324" max="14324" width="7.5703125" style="57" bestFit="1" customWidth="1"/>
    <col min="14325" max="14326" width="10.7109375" style="57" customWidth="1"/>
    <col min="14327" max="14575" width="9.140625" style="57"/>
    <col min="14576" max="14576" width="33.85546875" style="57" customWidth="1"/>
    <col min="14577" max="14577" width="10.28515625" style="57" bestFit="1" customWidth="1"/>
    <col min="14578" max="14578" width="7.85546875" style="57" bestFit="1" customWidth="1"/>
    <col min="14579" max="14579" width="7" style="57" bestFit="1" customWidth="1"/>
    <col min="14580" max="14580" width="7.5703125" style="57" bestFit="1" customWidth="1"/>
    <col min="14581" max="14582" width="10.7109375" style="57" customWidth="1"/>
    <col min="14583" max="14831" width="9.140625" style="57"/>
    <col min="14832" max="14832" width="33.85546875" style="57" customWidth="1"/>
    <col min="14833" max="14833" width="10.28515625" style="57" bestFit="1" customWidth="1"/>
    <col min="14834" max="14834" width="7.85546875" style="57" bestFit="1" customWidth="1"/>
    <col min="14835" max="14835" width="7" style="57" bestFit="1" customWidth="1"/>
    <col min="14836" max="14836" width="7.5703125" style="57" bestFit="1" customWidth="1"/>
    <col min="14837" max="14838" width="10.7109375" style="57" customWidth="1"/>
    <col min="14839" max="15087" width="9.140625" style="57"/>
    <col min="15088" max="15088" width="33.85546875" style="57" customWidth="1"/>
    <col min="15089" max="15089" width="10.28515625" style="57" bestFit="1" customWidth="1"/>
    <col min="15090" max="15090" width="7.85546875" style="57" bestFit="1" customWidth="1"/>
    <col min="15091" max="15091" width="7" style="57" bestFit="1" customWidth="1"/>
    <col min="15092" max="15092" width="7.5703125" style="57" bestFit="1" customWidth="1"/>
    <col min="15093" max="15094" width="10.7109375" style="57" customWidth="1"/>
    <col min="15095" max="15343" width="9.140625" style="57"/>
    <col min="15344" max="15344" width="33.85546875" style="57" customWidth="1"/>
    <col min="15345" max="15345" width="10.28515625" style="57" bestFit="1" customWidth="1"/>
    <col min="15346" max="15346" width="7.85546875" style="57" bestFit="1" customWidth="1"/>
    <col min="15347" max="15347" width="7" style="57" bestFit="1" customWidth="1"/>
    <col min="15348" max="15348" width="7.5703125" style="57" bestFit="1" customWidth="1"/>
    <col min="15349" max="15350" width="10.7109375" style="57" customWidth="1"/>
    <col min="15351" max="15599" width="9.140625" style="57"/>
    <col min="15600" max="15600" width="33.85546875" style="57" customWidth="1"/>
    <col min="15601" max="15601" width="10.28515625" style="57" bestFit="1" customWidth="1"/>
    <col min="15602" max="15602" width="7.85546875" style="57" bestFit="1" customWidth="1"/>
    <col min="15603" max="15603" width="7" style="57" bestFit="1" customWidth="1"/>
    <col min="15604" max="15604" width="7.5703125" style="57" bestFit="1" customWidth="1"/>
    <col min="15605" max="15606" width="10.7109375" style="57" customWidth="1"/>
    <col min="15607" max="15855" width="9.140625" style="57"/>
    <col min="15856" max="15856" width="33.85546875" style="57" customWidth="1"/>
    <col min="15857" max="15857" width="10.28515625" style="57" bestFit="1" customWidth="1"/>
    <col min="15858" max="15858" width="7.85546875" style="57" bestFit="1" customWidth="1"/>
    <col min="15859" max="15859" width="7" style="57" bestFit="1" customWidth="1"/>
    <col min="15860" max="15860" width="7.5703125" style="57" bestFit="1" customWidth="1"/>
    <col min="15861" max="15862" width="10.7109375" style="57" customWidth="1"/>
    <col min="15863" max="16111" width="9.140625" style="57"/>
    <col min="16112" max="16112" width="33.85546875" style="57" customWidth="1"/>
    <col min="16113" max="16113" width="10.28515625" style="57" bestFit="1" customWidth="1"/>
    <col min="16114" max="16114" width="7.85546875" style="57" bestFit="1" customWidth="1"/>
    <col min="16115" max="16115" width="7" style="57" bestFit="1" customWidth="1"/>
    <col min="16116" max="16116" width="7.5703125" style="57" bestFit="1" customWidth="1"/>
    <col min="16117" max="16118" width="10.7109375" style="57" customWidth="1"/>
    <col min="16119" max="16384" width="9.140625" style="57"/>
  </cols>
  <sheetData>
    <row r="1" spans="1:7" ht="24" customHeight="1">
      <c r="A1" s="54" t="s">
        <v>69</v>
      </c>
      <c r="B1" s="55"/>
      <c r="C1" s="55"/>
      <c r="D1" s="55"/>
      <c r="E1" s="55"/>
      <c r="F1" s="56"/>
    </row>
    <row r="2" spans="1:7" ht="15.95" customHeight="1">
      <c r="A2" s="58"/>
      <c r="B2" s="59"/>
      <c r="C2" s="60"/>
      <c r="D2" s="60"/>
      <c r="E2" s="60"/>
      <c r="F2" s="56"/>
    </row>
    <row r="3" spans="1:7" ht="15.95" customHeight="1">
      <c r="A3" s="61"/>
      <c r="B3" s="61"/>
      <c r="C3" s="60"/>
      <c r="D3" s="60"/>
      <c r="E3" s="60"/>
      <c r="F3" s="56"/>
    </row>
    <row r="4" spans="1:7" ht="15.95" customHeight="1">
      <c r="A4" s="62"/>
      <c r="B4" s="63" t="s">
        <v>70</v>
      </c>
      <c r="C4" s="63" t="s">
        <v>71</v>
      </c>
      <c r="D4" s="63" t="s">
        <v>72</v>
      </c>
      <c r="E4" s="63" t="s">
        <v>73</v>
      </c>
      <c r="F4" s="64" t="s">
        <v>23</v>
      </c>
      <c r="G4" s="63" t="s">
        <v>24</v>
      </c>
    </row>
    <row r="5" spans="1:7" ht="15.95" customHeight="1">
      <c r="A5" s="61"/>
      <c r="B5" s="65" t="s">
        <v>74</v>
      </c>
      <c r="C5" s="65" t="s">
        <v>75</v>
      </c>
      <c r="D5" s="66" t="s">
        <v>76</v>
      </c>
      <c r="E5" s="65" t="s">
        <v>24</v>
      </c>
      <c r="F5" s="67" t="s">
        <v>25</v>
      </c>
      <c r="G5" s="67" t="s">
        <v>25</v>
      </c>
    </row>
    <row r="6" spans="1:7" ht="15.95" customHeight="1">
      <c r="A6" s="61"/>
      <c r="B6" s="65"/>
      <c r="C6" s="65" t="s">
        <v>77</v>
      </c>
      <c r="D6" s="65" t="s">
        <v>77</v>
      </c>
      <c r="E6" s="65" t="s">
        <v>77</v>
      </c>
      <c r="F6" s="65" t="s">
        <v>78</v>
      </c>
      <c r="G6" s="65" t="s">
        <v>78</v>
      </c>
    </row>
    <row r="7" spans="1:7" ht="15.95" customHeight="1">
      <c r="A7" s="61"/>
      <c r="B7" s="68"/>
      <c r="C7" s="69">
        <v>2025</v>
      </c>
      <c r="D7" s="69">
        <v>2025</v>
      </c>
      <c r="E7" s="69">
        <v>2025</v>
      </c>
      <c r="F7" s="69" t="s">
        <v>7</v>
      </c>
      <c r="G7" s="69" t="s">
        <v>7</v>
      </c>
    </row>
    <row r="8" spans="1:7" ht="15.95" customHeight="1">
      <c r="A8" s="61"/>
      <c r="B8" s="70"/>
      <c r="C8" s="65"/>
      <c r="D8" s="65"/>
      <c r="E8" s="65"/>
      <c r="F8" s="65"/>
      <c r="G8" s="65"/>
    </row>
    <row r="9" spans="1:7" ht="18" customHeight="1">
      <c r="A9" s="71" t="s">
        <v>79</v>
      </c>
      <c r="B9" s="72" t="s">
        <v>80</v>
      </c>
      <c r="C9" s="73">
        <v>4073.1326578753301</v>
      </c>
      <c r="D9" s="73">
        <v>3619.1305951003101</v>
      </c>
      <c r="E9" s="73">
        <v>28047.004637532948</v>
      </c>
      <c r="F9" s="74">
        <v>103.40876957884375</v>
      </c>
      <c r="G9" s="74">
        <v>103.85233689081055</v>
      </c>
    </row>
    <row r="10" spans="1:7" ht="18" customHeight="1">
      <c r="A10" s="71" t="s">
        <v>81</v>
      </c>
      <c r="B10" s="72" t="s">
        <v>82</v>
      </c>
      <c r="C10" s="73">
        <v>663.38</v>
      </c>
      <c r="D10" s="73">
        <v>688.4552941176471</v>
      </c>
      <c r="E10" s="73">
        <v>4621.3752941176481</v>
      </c>
      <c r="F10" s="74">
        <v>104.15359971522649</v>
      </c>
      <c r="G10" s="74">
        <v>96.899434148178216</v>
      </c>
    </row>
    <row r="11" spans="1:7" ht="18" customHeight="1">
      <c r="A11" s="71" t="s">
        <v>83</v>
      </c>
      <c r="B11" s="72" t="s">
        <v>84</v>
      </c>
      <c r="C11" s="73">
        <v>464.89000000000004</v>
      </c>
      <c r="D11" s="73">
        <v>464.39823529411802</v>
      </c>
      <c r="E11" s="73">
        <v>3453.3782352941175</v>
      </c>
      <c r="F11" s="74">
        <v>89.479428765726027</v>
      </c>
      <c r="G11" s="74">
        <v>87.117313843882528</v>
      </c>
    </row>
    <row r="12" spans="1:7" ht="18" customHeight="1">
      <c r="A12" s="71" t="s">
        <v>85</v>
      </c>
      <c r="B12" s="72" t="s">
        <v>80</v>
      </c>
      <c r="C12" s="73">
        <v>64.875474999999994</v>
      </c>
      <c r="D12" s="73">
        <v>68.90100000000001</v>
      </c>
      <c r="E12" s="73">
        <v>488.3699190000001</v>
      </c>
      <c r="F12" s="74">
        <v>93.002972312958036</v>
      </c>
      <c r="G12" s="74">
        <v>111.42914615128365</v>
      </c>
    </row>
    <row r="13" spans="1:7" ht="18" customHeight="1">
      <c r="A13" s="71" t="s">
        <v>86</v>
      </c>
      <c r="B13" s="72" t="s">
        <v>82</v>
      </c>
      <c r="C13" s="73">
        <v>1568.7850780000003</v>
      </c>
      <c r="D13" s="73">
        <v>1602.2876311913601</v>
      </c>
      <c r="E13" s="73">
        <v>10471.891409191359</v>
      </c>
      <c r="F13" s="74">
        <v>101.7001370553515</v>
      </c>
      <c r="G13" s="74">
        <v>107.64844838635557</v>
      </c>
    </row>
    <row r="14" spans="1:7" ht="18" customHeight="1">
      <c r="A14" s="71" t="s">
        <v>87</v>
      </c>
      <c r="B14" s="72" t="s">
        <v>82</v>
      </c>
      <c r="C14" s="73">
        <v>130.98013</v>
      </c>
      <c r="D14" s="73">
        <v>132</v>
      </c>
      <c r="E14" s="73">
        <v>897.62408000000005</v>
      </c>
      <c r="F14" s="74">
        <v>104.71076269574368</v>
      </c>
      <c r="G14" s="74">
        <v>103.57016010506459</v>
      </c>
    </row>
    <row r="15" spans="1:7" ht="18" customHeight="1">
      <c r="A15" s="71" t="s">
        <v>88</v>
      </c>
      <c r="B15" s="72" t="s">
        <v>82</v>
      </c>
      <c r="C15" s="73">
        <v>624.80251376978958</v>
      </c>
      <c r="D15" s="73">
        <v>633.06434692154289</v>
      </c>
      <c r="E15" s="73">
        <v>3972.3150479679512</v>
      </c>
      <c r="F15" s="74">
        <v>109.2432005041489</v>
      </c>
      <c r="G15" s="74">
        <v>107.67862769768719</v>
      </c>
    </row>
    <row r="16" spans="1:7" ht="18" customHeight="1">
      <c r="A16" s="71" t="s">
        <v>89</v>
      </c>
      <c r="B16" s="72" t="s">
        <v>90</v>
      </c>
      <c r="C16" s="73">
        <v>147.456697982902</v>
      </c>
      <c r="D16" s="73">
        <v>141.08727850978002</v>
      </c>
      <c r="E16" s="73">
        <v>973.98242380883266</v>
      </c>
      <c r="F16" s="74">
        <v>101.50163921566909</v>
      </c>
      <c r="G16" s="74">
        <v>102.84825008723388</v>
      </c>
    </row>
    <row r="17" spans="1:7" ht="18" customHeight="1">
      <c r="A17" s="71" t="s">
        <v>91</v>
      </c>
      <c r="B17" s="72" t="s">
        <v>80</v>
      </c>
      <c r="C17" s="73">
        <v>13.561341654890613</v>
      </c>
      <c r="D17" s="73">
        <v>14.040646253629534</v>
      </c>
      <c r="E17" s="73">
        <v>87.870644887665051</v>
      </c>
      <c r="F17" s="74">
        <v>115.81824840080452</v>
      </c>
      <c r="G17" s="74">
        <v>107.29496223628603</v>
      </c>
    </row>
    <row r="18" spans="1:7" ht="18" customHeight="1">
      <c r="A18" s="71" t="s">
        <v>92</v>
      </c>
      <c r="B18" s="72" t="s">
        <v>82</v>
      </c>
      <c r="C18" s="73">
        <v>26.916599999999995</v>
      </c>
      <c r="D18" s="73">
        <v>3.0219999999999998</v>
      </c>
      <c r="E18" s="73">
        <v>1129.9412163400366</v>
      </c>
      <c r="F18" s="74">
        <v>19.481566003313542</v>
      </c>
      <c r="G18" s="74">
        <v>110.37873146987214</v>
      </c>
    </row>
    <row r="19" spans="1:7" ht="18" customHeight="1">
      <c r="A19" s="71" t="s">
        <v>93</v>
      </c>
      <c r="B19" s="72" t="s">
        <v>82</v>
      </c>
      <c r="C19" s="73">
        <v>29.915514317536701</v>
      </c>
      <c r="D19" s="73">
        <v>30.232773685912402</v>
      </c>
      <c r="E19" s="73">
        <v>196.0979491269357</v>
      </c>
      <c r="F19" s="74">
        <v>108.21390407855817</v>
      </c>
      <c r="G19" s="74">
        <v>106.55181557625453</v>
      </c>
    </row>
    <row r="20" spans="1:7" ht="18" customHeight="1">
      <c r="A20" s="71" t="s">
        <v>94</v>
      </c>
      <c r="B20" s="72" t="s">
        <v>82</v>
      </c>
      <c r="C20" s="73">
        <v>1251.185462611978</v>
      </c>
      <c r="D20" s="73">
        <v>1281.1742955407251</v>
      </c>
      <c r="E20" s="73">
        <v>8517.7452533945288</v>
      </c>
      <c r="F20" s="74">
        <v>111.11659111367953</v>
      </c>
      <c r="G20" s="74">
        <v>109.49428018224236</v>
      </c>
    </row>
    <row r="21" spans="1:7" ht="18" customHeight="1">
      <c r="A21" s="71" t="s">
        <v>95</v>
      </c>
      <c r="B21" s="72" t="s">
        <v>82</v>
      </c>
      <c r="C21" s="73">
        <v>861.68053973122517</v>
      </c>
      <c r="D21" s="73">
        <v>856.17099214054247</v>
      </c>
      <c r="E21" s="73">
        <v>5460.2677848884969</v>
      </c>
      <c r="F21" s="74">
        <v>120.53653275243454</v>
      </c>
      <c r="G21" s="74">
        <v>111.89147954322</v>
      </c>
    </row>
    <row r="22" spans="1:7" ht="18" customHeight="1">
      <c r="A22" s="71" t="s">
        <v>96</v>
      </c>
      <c r="B22" s="72" t="s">
        <v>90</v>
      </c>
      <c r="C22" s="73">
        <v>421.33089961924617</v>
      </c>
      <c r="D22" s="73">
        <v>415.82980689598162</v>
      </c>
      <c r="E22" s="73">
        <v>2553.4655440085357</v>
      </c>
      <c r="F22" s="74">
        <v>110.57725514543348</v>
      </c>
      <c r="G22" s="74">
        <v>102.42629322417982</v>
      </c>
    </row>
    <row r="23" spans="1:7" ht="21" customHeight="1">
      <c r="A23" s="26" t="s">
        <v>97</v>
      </c>
      <c r="B23" s="72" t="s">
        <v>98</v>
      </c>
      <c r="C23" s="73">
        <v>670.20361611454177</v>
      </c>
      <c r="D23" s="73">
        <v>673.73068122530003</v>
      </c>
      <c r="E23" s="73">
        <v>4479.5606201004721</v>
      </c>
      <c r="F23" s="74">
        <v>108.0389161682649</v>
      </c>
      <c r="G23" s="74">
        <v>106.12746582727929</v>
      </c>
    </row>
    <row r="24" spans="1:7" ht="18" customHeight="1">
      <c r="A24" s="26" t="s">
        <v>99</v>
      </c>
      <c r="B24" s="72" t="s">
        <v>100</v>
      </c>
      <c r="C24" s="73">
        <v>88.719328890785363</v>
      </c>
      <c r="D24" s="73">
        <v>91.296218191705506</v>
      </c>
      <c r="E24" s="73">
        <v>631.73348413521933</v>
      </c>
      <c r="F24" s="74">
        <v>101.21531950299945</v>
      </c>
      <c r="G24" s="75">
        <v>109.80227821895932</v>
      </c>
    </row>
    <row r="25" spans="1:7" ht="27" customHeight="1">
      <c r="A25" s="76" t="s">
        <v>101</v>
      </c>
      <c r="B25" s="72" t="s">
        <v>82</v>
      </c>
      <c r="C25" s="73">
        <v>99.836964190060101</v>
      </c>
      <c r="D25" s="73">
        <v>104.63963437985183</v>
      </c>
      <c r="E25" s="73">
        <v>725.83227957192423</v>
      </c>
      <c r="F25" s="74">
        <v>97.977185748924938</v>
      </c>
      <c r="G25" s="74">
        <v>94.76995056022983</v>
      </c>
    </row>
    <row r="26" spans="1:7" ht="18" customHeight="1">
      <c r="A26" s="71" t="s">
        <v>102</v>
      </c>
      <c r="B26" s="72" t="s">
        <v>103</v>
      </c>
      <c r="C26" s="73">
        <v>529.68546956421346</v>
      </c>
      <c r="D26" s="73">
        <v>546.3090554514531</v>
      </c>
      <c r="E26" s="73">
        <v>3482.4280580877003</v>
      </c>
      <c r="F26" s="74">
        <v>113.81438655238607</v>
      </c>
      <c r="G26" s="74">
        <v>114.89103588282245</v>
      </c>
    </row>
    <row r="27" spans="1:7" ht="18" customHeight="1">
      <c r="A27" s="77" t="s">
        <v>104</v>
      </c>
      <c r="B27" s="67" t="s">
        <v>105</v>
      </c>
      <c r="C27" s="78">
        <v>33.208741953158132</v>
      </c>
      <c r="D27" s="78">
        <v>34.505938383373334</v>
      </c>
      <c r="E27" s="78">
        <v>215.21604050222521</v>
      </c>
      <c r="F27" s="79">
        <v>116.55442791208692</v>
      </c>
      <c r="G27" s="79">
        <v>113.60126900289865</v>
      </c>
    </row>
    <row r="28" spans="1:7" ht="18" customHeight="1">
      <c r="A28" s="71" t="s">
        <v>106</v>
      </c>
      <c r="B28" s="72" t="s">
        <v>80</v>
      </c>
      <c r="C28" s="73">
        <v>248.90403463380284</v>
      </c>
      <c r="D28" s="73">
        <v>256.51136632394366</v>
      </c>
      <c r="E28" s="73">
        <v>1718.9900262816898</v>
      </c>
      <c r="F28" s="74">
        <v>113.47577193781034</v>
      </c>
      <c r="G28" s="74">
        <v>107.00642955163818</v>
      </c>
    </row>
    <row r="29" spans="1:7" ht="18" customHeight="1">
      <c r="A29" s="71" t="s">
        <v>107</v>
      </c>
      <c r="B29" s="72" t="s">
        <v>82</v>
      </c>
      <c r="C29" s="73">
        <v>345.96440663940103</v>
      </c>
      <c r="D29" s="73">
        <v>340.1911002639099</v>
      </c>
      <c r="E29" s="73">
        <v>2255.7629002997346</v>
      </c>
      <c r="F29" s="74">
        <v>121.61970836375812</v>
      </c>
      <c r="G29" s="74">
        <v>119.65723546126843</v>
      </c>
    </row>
    <row r="30" spans="1:7" ht="18" customHeight="1">
      <c r="A30" s="71" t="s">
        <v>108</v>
      </c>
      <c r="B30" s="72" t="s">
        <v>82</v>
      </c>
      <c r="C30" s="73">
        <v>126.22047073368128</v>
      </c>
      <c r="D30" s="73">
        <v>131.16343873639312</v>
      </c>
      <c r="E30" s="73">
        <v>820.63431283841805</v>
      </c>
      <c r="F30" s="74">
        <v>114.783791665698</v>
      </c>
      <c r="G30" s="74">
        <v>108.90663947011416</v>
      </c>
    </row>
    <row r="31" spans="1:7" ht="18" customHeight="1">
      <c r="A31" s="71" t="s">
        <v>109</v>
      </c>
      <c r="B31" s="72" t="s">
        <v>110</v>
      </c>
      <c r="C31" s="73">
        <v>16.073555402056837</v>
      </c>
      <c r="D31" s="73">
        <v>16.47868765747603</v>
      </c>
      <c r="E31" s="73">
        <v>105.46713618391841</v>
      </c>
      <c r="F31" s="74">
        <v>122.42709998124836</v>
      </c>
      <c r="G31" s="74">
        <v>114.75948378645604</v>
      </c>
    </row>
    <row r="32" spans="1:7" ht="18" customHeight="1">
      <c r="A32" s="71" t="s">
        <v>111</v>
      </c>
      <c r="B32" s="72" t="s">
        <v>80</v>
      </c>
      <c r="C32" s="73">
        <v>1958.3920934967509</v>
      </c>
      <c r="D32" s="73">
        <v>2049.1414696838233</v>
      </c>
      <c r="E32" s="73">
        <v>12940.000261174826</v>
      </c>
      <c r="F32" s="74">
        <v>100.15354201778217</v>
      </c>
      <c r="G32" s="74">
        <v>103.66985454157086</v>
      </c>
    </row>
    <row r="33" spans="1:7" ht="18" customHeight="1">
      <c r="A33" s="26" t="s">
        <v>112</v>
      </c>
      <c r="B33" s="72" t="s">
        <v>82</v>
      </c>
      <c r="C33" s="73">
        <v>1489.2171816242133</v>
      </c>
      <c r="D33" s="73">
        <v>1511.8232486036754</v>
      </c>
      <c r="E33" s="73">
        <v>9753.3983144538961</v>
      </c>
      <c r="F33" s="74">
        <v>111.90401544068655</v>
      </c>
      <c r="G33" s="74">
        <v>111.53164227976377</v>
      </c>
    </row>
    <row r="34" spans="1:7" ht="18" customHeight="1">
      <c r="A34" s="71" t="s">
        <v>113</v>
      </c>
      <c r="B34" s="72" t="s">
        <v>82</v>
      </c>
      <c r="C34" s="73">
        <v>1211.4509860819498</v>
      </c>
      <c r="D34" s="73">
        <v>1237.7284064682476</v>
      </c>
      <c r="E34" s="73">
        <v>8289.1719628276023</v>
      </c>
      <c r="F34" s="74">
        <v>120.00469327789874</v>
      </c>
      <c r="G34" s="74">
        <v>110.97525492617997</v>
      </c>
    </row>
    <row r="35" spans="1:7" ht="18" customHeight="1">
      <c r="A35" s="71" t="s">
        <v>114</v>
      </c>
      <c r="B35" s="72" t="s">
        <v>103</v>
      </c>
      <c r="C35" s="73">
        <v>15.25224</v>
      </c>
      <c r="D35" s="73">
        <v>14.495087000000002</v>
      </c>
      <c r="E35" s="73">
        <v>106.60822400000001</v>
      </c>
      <c r="F35" s="74">
        <v>88.778789695425957</v>
      </c>
      <c r="G35" s="74">
        <v>99.580429770364788</v>
      </c>
    </row>
    <row r="36" spans="1:7" ht="27.75" customHeight="1">
      <c r="A36" s="80" t="s">
        <v>115</v>
      </c>
      <c r="B36" s="72" t="s">
        <v>116</v>
      </c>
      <c r="C36" s="73">
        <v>58.400452127453796</v>
      </c>
      <c r="D36" s="73">
        <v>53.838553244524206</v>
      </c>
      <c r="E36" s="73">
        <v>320.12752694904231</v>
      </c>
      <c r="F36" s="74">
        <v>106.80729894574492</v>
      </c>
      <c r="G36" s="74">
        <v>104.03723187355752</v>
      </c>
    </row>
    <row r="37" spans="1:7" ht="16.899999999999999" customHeight="1">
      <c r="A37" s="71" t="s">
        <v>117</v>
      </c>
      <c r="B37" s="72" t="s">
        <v>118</v>
      </c>
      <c r="C37" s="73">
        <v>1801.0830694696101</v>
      </c>
      <c r="D37" s="73">
        <v>1893.7605342931099</v>
      </c>
      <c r="E37" s="73">
        <v>11468.632086065791</v>
      </c>
      <c r="F37" s="74">
        <v>128.50997598842417</v>
      </c>
      <c r="G37" s="74">
        <v>121.11648683128504</v>
      </c>
    </row>
    <row r="38" spans="1:7" ht="16.899999999999999" customHeight="1">
      <c r="A38" s="71" t="s">
        <v>119</v>
      </c>
      <c r="B38" s="81" t="s">
        <v>120</v>
      </c>
      <c r="C38" s="82">
        <v>40.932464356266728</v>
      </c>
      <c r="D38" s="82">
        <v>38.819399502821234</v>
      </c>
      <c r="E38" s="78">
        <v>263.04704222976977</v>
      </c>
      <c r="F38" s="79">
        <v>144.14392151357629</v>
      </c>
      <c r="G38" s="79">
        <v>164.40953919170585</v>
      </c>
    </row>
    <row r="39" spans="1:7" ht="16.899999999999999" customHeight="1">
      <c r="A39" s="71" t="s">
        <v>121</v>
      </c>
      <c r="B39" s="72" t="s">
        <v>82</v>
      </c>
      <c r="C39" s="73">
        <v>297.941021860756</v>
      </c>
      <c r="D39" s="73">
        <v>312.15811554245801</v>
      </c>
      <c r="E39" s="73">
        <v>1878.6810731789749</v>
      </c>
      <c r="F39" s="74">
        <v>100.93297178405535</v>
      </c>
      <c r="G39" s="74">
        <v>105.28525237842321</v>
      </c>
    </row>
    <row r="40" spans="1:7" ht="16.899999999999999" customHeight="1">
      <c r="A40" s="71" t="s">
        <v>122</v>
      </c>
      <c r="B40" s="72" t="s">
        <v>123</v>
      </c>
      <c r="C40" s="73">
        <v>28.6490567922</v>
      </c>
      <c r="D40" s="73">
        <v>29.594991665589401</v>
      </c>
      <c r="E40" s="73">
        <v>188.10978129057227</v>
      </c>
      <c r="F40" s="74">
        <v>106.36928567184097</v>
      </c>
      <c r="G40" s="74">
        <v>104.15163450533316</v>
      </c>
    </row>
    <row r="41" spans="1:7" ht="16.899999999999999" customHeight="1">
      <c r="A41" s="71" t="s">
        <v>124</v>
      </c>
      <c r="B41" s="72" t="s">
        <v>84</v>
      </c>
      <c r="C41" s="73">
        <v>353.74921185718154</v>
      </c>
      <c r="D41" s="73">
        <v>352.14463199680239</v>
      </c>
      <c r="E41" s="73">
        <v>2342.6826377738957</v>
      </c>
      <c r="F41" s="74">
        <v>106.90486702999466</v>
      </c>
      <c r="G41" s="74">
        <v>103.56548572186259</v>
      </c>
    </row>
    <row r="42" spans="1:7" ht="15">
      <c r="A42" s="60"/>
      <c r="F42" s="83"/>
    </row>
    <row r="43" spans="1:7" ht="15">
      <c r="F43" s="83"/>
    </row>
    <row r="44" spans="1:7" ht="15">
      <c r="F44" s="83"/>
    </row>
    <row r="45" spans="1:7" ht="15">
      <c r="F45" s="83"/>
    </row>
    <row r="46" spans="1:7" ht="15">
      <c r="F46" s="83"/>
    </row>
    <row r="47" spans="1:7" ht="15">
      <c r="F47" s="83"/>
    </row>
    <row r="48" spans="1:7" ht="15">
      <c r="F48" s="83"/>
    </row>
    <row r="49" spans="1:6" ht="15">
      <c r="F49" s="83"/>
    </row>
    <row r="50" spans="1:6" ht="15">
      <c r="A50" s="56"/>
      <c r="B50" s="56"/>
      <c r="C50" s="56"/>
      <c r="D50" s="56"/>
      <c r="E50" s="56"/>
      <c r="F50" s="83"/>
    </row>
    <row r="51" spans="1:6" ht="15">
      <c r="A51" s="56"/>
      <c r="B51" s="56"/>
      <c r="C51" s="56"/>
      <c r="D51" s="56"/>
      <c r="E51" s="56"/>
      <c r="F51" s="83"/>
    </row>
    <row r="52" spans="1:6" ht="15">
      <c r="A52" s="56"/>
      <c r="B52" s="56"/>
      <c r="C52" s="56"/>
      <c r="D52" s="56"/>
      <c r="E52" s="56"/>
      <c r="F52" s="83"/>
    </row>
    <row r="53" spans="1:6" ht="15">
      <c r="A53" s="56"/>
      <c r="B53" s="56"/>
      <c r="C53" s="56"/>
      <c r="D53" s="56"/>
      <c r="E53" s="56"/>
      <c r="F53" s="56"/>
    </row>
    <row r="54" spans="1:6" ht="15">
      <c r="A54" s="56"/>
      <c r="B54" s="56"/>
      <c r="C54" s="56"/>
      <c r="D54" s="56"/>
      <c r="E54" s="56"/>
      <c r="F54" s="56"/>
    </row>
    <row r="55" spans="1:6" ht="15">
      <c r="A55" s="56"/>
      <c r="B55" s="56"/>
      <c r="C55" s="56"/>
      <c r="D55" s="56"/>
      <c r="E55" s="56"/>
      <c r="F55" s="56"/>
    </row>
    <row r="56" spans="1:6" ht="15">
      <c r="A56" s="56"/>
      <c r="B56" s="56"/>
      <c r="C56" s="56"/>
      <c r="D56" s="56"/>
      <c r="E56" s="56"/>
      <c r="F56" s="56"/>
    </row>
    <row r="57" spans="1:6" ht="15">
      <c r="A57" s="56"/>
      <c r="B57" s="56"/>
      <c r="C57" s="56"/>
      <c r="D57" s="56"/>
      <c r="E57" s="56"/>
      <c r="F57" s="56"/>
    </row>
    <row r="58" spans="1:6" ht="15">
      <c r="A58" s="56"/>
      <c r="B58" s="56"/>
      <c r="C58" s="56"/>
      <c r="D58" s="56"/>
      <c r="E58" s="56"/>
      <c r="F58" s="56"/>
    </row>
    <row r="59" spans="1:6" ht="15">
      <c r="A59" s="56"/>
      <c r="B59" s="56"/>
      <c r="C59" s="56"/>
      <c r="D59" s="56"/>
      <c r="E59" s="56"/>
      <c r="F59" s="56"/>
    </row>
    <row r="60" spans="1:6" ht="15">
      <c r="A60" s="56"/>
      <c r="B60" s="56"/>
      <c r="C60" s="56"/>
      <c r="D60" s="56"/>
      <c r="E60" s="56"/>
      <c r="F60" s="56"/>
    </row>
    <row r="61" spans="1:6" ht="15">
      <c r="A61" s="56"/>
      <c r="B61" s="56"/>
      <c r="C61" s="56"/>
      <c r="D61" s="56"/>
      <c r="E61" s="56"/>
      <c r="F61" s="56"/>
    </row>
    <row r="62" spans="1:6" ht="15">
      <c r="A62" s="56"/>
      <c r="B62" s="56"/>
      <c r="C62" s="56"/>
      <c r="D62" s="56"/>
      <c r="E62" s="56"/>
      <c r="F62" s="56"/>
    </row>
    <row r="63" spans="1:6" ht="15">
      <c r="A63" s="56"/>
      <c r="B63" s="56"/>
      <c r="C63" s="56"/>
      <c r="D63" s="56"/>
      <c r="E63" s="56"/>
      <c r="F63" s="56"/>
    </row>
    <row r="64" spans="1:6" ht="15">
      <c r="A64" s="56"/>
      <c r="B64" s="56"/>
      <c r="C64" s="56"/>
      <c r="D64" s="56"/>
      <c r="E64" s="56"/>
      <c r="F64" s="56"/>
    </row>
    <row r="65" spans="1:6" ht="15">
      <c r="A65" s="56"/>
      <c r="B65" s="56"/>
      <c r="C65" s="56"/>
      <c r="D65" s="56"/>
      <c r="E65" s="56"/>
      <c r="F65" s="56"/>
    </row>
    <row r="66" spans="1:6" ht="18" customHeight="1">
      <c r="A66" s="56"/>
      <c r="B66" s="56"/>
      <c r="C66" s="56"/>
      <c r="D66" s="56"/>
      <c r="E66" s="56"/>
      <c r="F66" s="56"/>
    </row>
    <row r="67" spans="1:6" ht="18" customHeight="1">
      <c r="A67" s="56"/>
      <c r="B67" s="56"/>
      <c r="C67" s="56"/>
      <c r="D67" s="56"/>
      <c r="E67" s="56"/>
      <c r="F67" s="56"/>
    </row>
    <row r="68" spans="1:6" ht="18" customHeight="1">
      <c r="A68" s="56"/>
      <c r="B68" s="56"/>
      <c r="C68" s="56"/>
      <c r="D68" s="56"/>
      <c r="E68" s="56"/>
      <c r="F68" s="56"/>
    </row>
    <row r="69" spans="1:6" ht="18" customHeight="1">
      <c r="A69" s="56"/>
      <c r="B69" s="56"/>
      <c r="C69" s="56"/>
      <c r="D69" s="56"/>
      <c r="E69" s="56"/>
      <c r="F69" s="56"/>
    </row>
    <row r="70" spans="1:6" ht="18" customHeight="1">
      <c r="A70" s="56"/>
      <c r="B70" s="56"/>
      <c r="C70" s="56"/>
      <c r="D70" s="56"/>
      <c r="E70" s="56"/>
      <c r="F70" s="56"/>
    </row>
    <row r="71" spans="1:6" ht="18" customHeight="1">
      <c r="A71" s="56"/>
      <c r="B71" s="56"/>
      <c r="C71" s="56"/>
      <c r="D71" s="56"/>
      <c r="E71" s="56"/>
      <c r="F71" s="56"/>
    </row>
    <row r="72" spans="1:6" ht="18" customHeight="1">
      <c r="A72" s="56"/>
      <c r="B72" s="56"/>
      <c r="C72" s="56"/>
      <c r="D72" s="56"/>
      <c r="E72" s="56"/>
      <c r="F72" s="56"/>
    </row>
  </sheetData>
  <pageMargins left="0.78740157480314998" right="0.47244094488188998" top="0.74803149606299202" bottom="0.511811023622047" header="0.43307086614173201" footer="0.23622047244094499"/>
  <pageSetup paperSize="9" firstPageNumber="27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C530-37C6-498F-A61B-40B7ED239201}">
  <sheetPr>
    <pageSetUpPr fitToPage="1"/>
  </sheetPr>
  <dimension ref="A1:DM54"/>
  <sheetViews>
    <sheetView workbookViewId="0">
      <selection activeCell="F11" sqref="F11"/>
    </sheetView>
  </sheetViews>
  <sheetFormatPr defaultColWidth="11.42578125" defaultRowHeight="16.5" customHeight="1"/>
  <cols>
    <col min="1" max="1" width="55.7109375" style="85" customWidth="1"/>
    <col min="2" max="2" width="16.140625" style="85" customWidth="1"/>
    <col min="3" max="3" width="17.140625" style="85" customWidth="1"/>
    <col min="4" max="16384" width="11.42578125" style="85"/>
  </cols>
  <sheetData>
    <row r="1" spans="1:117" ht="20.100000000000001" customHeight="1">
      <c r="A1" s="477" t="s">
        <v>125</v>
      </c>
      <c r="B1" s="477"/>
      <c r="C1" s="477"/>
    </row>
    <row r="2" spans="1:117" ht="18" customHeight="1">
      <c r="A2" s="84"/>
      <c r="B2" s="84"/>
      <c r="C2" s="84"/>
    </row>
    <row r="3" spans="1:117" ht="18" customHeight="1">
      <c r="A3" s="86"/>
      <c r="C3" s="87" t="s">
        <v>21</v>
      </c>
    </row>
    <row r="4" spans="1:117" s="90" customFormat="1" ht="15" customHeight="1">
      <c r="A4" s="88"/>
      <c r="B4" s="89" t="s">
        <v>126</v>
      </c>
      <c r="C4" s="89" t="s">
        <v>126</v>
      </c>
    </row>
    <row r="5" spans="1:117" s="90" customFormat="1" ht="15" customHeight="1">
      <c r="A5" s="91"/>
      <c r="B5" s="92" t="s">
        <v>127</v>
      </c>
      <c r="C5" s="92" t="s">
        <v>127</v>
      </c>
    </row>
    <row r="6" spans="1:117" s="90" customFormat="1" ht="15" customHeight="1">
      <c r="A6" s="91"/>
      <c r="B6" s="93" t="s">
        <v>128</v>
      </c>
      <c r="C6" s="93" t="s">
        <v>128</v>
      </c>
    </row>
    <row r="7" spans="1:117" s="90" customFormat="1" ht="15" customHeight="1">
      <c r="A7" s="91"/>
      <c r="B7" s="92" t="s">
        <v>129</v>
      </c>
      <c r="C7" s="92" t="s">
        <v>129</v>
      </c>
    </row>
    <row r="8" spans="1:117" s="90" customFormat="1" ht="15" customHeight="1">
      <c r="A8" s="91"/>
      <c r="B8" s="94" t="s">
        <v>130</v>
      </c>
      <c r="C8" s="94" t="s">
        <v>30</v>
      </c>
    </row>
    <row r="9" spans="1:117" s="90" customFormat="1" ht="10.5" customHeight="1">
      <c r="A9" s="91"/>
      <c r="B9" s="92"/>
      <c r="C9" s="92"/>
    </row>
    <row r="10" spans="1:117" ht="15.95" customHeight="1">
      <c r="A10" s="36" t="s">
        <v>32</v>
      </c>
      <c r="B10" s="95">
        <v>101.02</v>
      </c>
      <c r="C10" s="95">
        <v>103.9</v>
      </c>
    </row>
    <row r="11" spans="1:117" s="97" customFormat="1" ht="15" customHeight="1">
      <c r="A11" s="96" t="s">
        <v>33</v>
      </c>
      <c r="B11" s="95">
        <v>101.16</v>
      </c>
      <c r="C11" s="95">
        <v>101.56</v>
      </c>
    </row>
    <row r="12" spans="1:117" s="100" customFormat="1" ht="15" customHeight="1">
      <c r="A12" s="44" t="s">
        <v>34</v>
      </c>
      <c r="B12" s="98">
        <v>101.64</v>
      </c>
      <c r="C12" s="98">
        <v>104.02</v>
      </c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</row>
    <row r="13" spans="1:117" ht="15" customHeight="1">
      <c r="A13" s="44" t="s">
        <v>35</v>
      </c>
      <c r="B13" s="101">
        <v>99.95</v>
      </c>
      <c r="C13" s="101">
        <v>98.73</v>
      </c>
    </row>
    <row r="14" spans="1:117" ht="15" customHeight="1">
      <c r="A14" s="44" t="s">
        <v>36</v>
      </c>
      <c r="B14" s="101">
        <v>100.93</v>
      </c>
      <c r="C14" s="101">
        <v>88.38</v>
      </c>
    </row>
    <row r="15" spans="1:117" ht="15" customHeight="1">
      <c r="A15" s="44" t="s">
        <v>37</v>
      </c>
      <c r="B15" s="101">
        <v>99.67</v>
      </c>
      <c r="C15" s="101">
        <v>95.95</v>
      </c>
    </row>
    <row r="16" spans="1:117" ht="15" customHeight="1">
      <c r="A16" s="44" t="s">
        <v>38</v>
      </c>
      <c r="B16" s="101">
        <v>99.66</v>
      </c>
      <c r="C16" s="101">
        <v>103.05</v>
      </c>
    </row>
    <row r="17" spans="1:117" ht="15" customHeight="1">
      <c r="A17" s="102" t="s">
        <v>39</v>
      </c>
      <c r="B17" s="103">
        <v>101.06</v>
      </c>
      <c r="C17" s="103">
        <v>104.13</v>
      </c>
    </row>
    <row r="18" spans="1:117" s="104" customFormat="1" ht="15" customHeight="1">
      <c r="A18" s="44" t="s">
        <v>40</v>
      </c>
      <c r="B18" s="101">
        <v>100.83</v>
      </c>
      <c r="C18" s="101">
        <v>102.44</v>
      </c>
    </row>
    <row r="19" spans="1:117" ht="15" customHeight="1">
      <c r="A19" s="44" t="s">
        <v>41</v>
      </c>
      <c r="B19" s="101">
        <v>100.55</v>
      </c>
      <c r="C19" s="101">
        <v>96.09</v>
      </c>
    </row>
    <row r="20" spans="1:117" ht="15" customHeight="1">
      <c r="A20" s="44" t="s">
        <v>42</v>
      </c>
      <c r="B20" s="101">
        <v>99.85</v>
      </c>
      <c r="C20" s="101">
        <v>99.24</v>
      </c>
    </row>
    <row r="21" spans="1:117" ht="15" customHeight="1">
      <c r="A21" s="44" t="s">
        <v>43</v>
      </c>
      <c r="B21" s="101">
        <v>101.45</v>
      </c>
      <c r="C21" s="101">
        <v>102.5</v>
      </c>
    </row>
    <row r="22" spans="1:117" ht="15" customHeight="1">
      <c r="A22" s="44" t="s">
        <v>44</v>
      </c>
      <c r="B22" s="101">
        <v>101.29</v>
      </c>
      <c r="C22" s="101">
        <v>102.37</v>
      </c>
    </row>
    <row r="23" spans="1:117" ht="15" customHeight="1">
      <c r="A23" s="44" t="s">
        <v>45</v>
      </c>
      <c r="B23" s="101">
        <v>101.03</v>
      </c>
      <c r="C23" s="101">
        <v>102.06</v>
      </c>
    </row>
    <row r="24" spans="1:117" ht="27" customHeight="1">
      <c r="A24" s="44" t="s">
        <v>131</v>
      </c>
      <c r="B24" s="101">
        <v>100.37</v>
      </c>
      <c r="C24" s="101">
        <v>103.84</v>
      </c>
    </row>
    <row r="25" spans="1:117" ht="15.95" customHeight="1">
      <c r="A25" s="44" t="s">
        <v>47</v>
      </c>
      <c r="B25" s="101">
        <v>100.51</v>
      </c>
      <c r="C25" s="101">
        <v>98.98</v>
      </c>
    </row>
    <row r="26" spans="1:117" ht="15" customHeight="1">
      <c r="A26" s="44" t="s">
        <v>48</v>
      </c>
      <c r="B26" s="101">
        <v>101.04</v>
      </c>
      <c r="C26" s="101">
        <v>104.02</v>
      </c>
    </row>
    <row r="27" spans="1:117" ht="15" customHeight="1">
      <c r="A27" s="44" t="s">
        <v>49</v>
      </c>
      <c r="B27" s="101">
        <v>100.34</v>
      </c>
      <c r="C27" s="101">
        <v>102.18</v>
      </c>
    </row>
    <row r="28" spans="1:117" ht="15" customHeight="1">
      <c r="A28" s="44" t="s">
        <v>50</v>
      </c>
      <c r="B28" s="101">
        <v>100.4</v>
      </c>
      <c r="C28" s="101">
        <v>102.61</v>
      </c>
    </row>
    <row r="29" spans="1:117" s="105" customFormat="1" ht="15" customHeight="1">
      <c r="A29" s="44" t="s">
        <v>51</v>
      </c>
      <c r="B29" s="101">
        <v>100.36</v>
      </c>
      <c r="C29" s="101">
        <v>100.13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</row>
    <row r="30" spans="1:117" ht="15" customHeight="1">
      <c r="A30" s="44" t="s">
        <v>52</v>
      </c>
      <c r="B30" s="101">
        <v>101.3</v>
      </c>
      <c r="C30" s="101">
        <v>104.79</v>
      </c>
    </row>
    <row r="31" spans="1:117" ht="15" customHeight="1">
      <c r="A31" s="44" t="s">
        <v>53</v>
      </c>
      <c r="B31" s="101">
        <v>100.34</v>
      </c>
      <c r="C31" s="101">
        <v>100.29</v>
      </c>
    </row>
    <row r="32" spans="1:117" ht="15" customHeight="1">
      <c r="A32" s="44" t="s">
        <v>54</v>
      </c>
      <c r="B32" s="101">
        <v>100.64</v>
      </c>
      <c r="C32" s="101">
        <v>99.98</v>
      </c>
    </row>
    <row r="33" spans="1:3" ht="15" customHeight="1">
      <c r="A33" s="44" t="s">
        <v>132</v>
      </c>
      <c r="B33" s="101">
        <v>100.35</v>
      </c>
      <c r="C33" s="101">
        <v>102.76</v>
      </c>
    </row>
    <row r="34" spans="1:3" ht="15" customHeight="1">
      <c r="A34" s="44" t="s">
        <v>133</v>
      </c>
      <c r="B34" s="101">
        <v>101.57</v>
      </c>
      <c r="C34" s="101">
        <v>110.59</v>
      </c>
    </row>
    <row r="35" spans="1:3" ht="15" customHeight="1">
      <c r="A35" s="44" t="s">
        <v>57</v>
      </c>
      <c r="B35" s="101">
        <v>100.58</v>
      </c>
      <c r="C35" s="101">
        <v>107.08</v>
      </c>
    </row>
    <row r="36" spans="1:3" ht="15" customHeight="1">
      <c r="A36" s="44" t="s">
        <v>58</v>
      </c>
      <c r="B36" s="101">
        <v>100.91</v>
      </c>
      <c r="C36" s="101">
        <v>107.08</v>
      </c>
    </row>
    <row r="37" spans="1:3" s="104" customFormat="1" ht="15" customHeight="1">
      <c r="A37" s="44" t="s">
        <v>59</v>
      </c>
      <c r="B37" s="101">
        <v>100.85</v>
      </c>
      <c r="C37" s="101">
        <v>107.38</v>
      </c>
    </row>
    <row r="38" spans="1:3" s="104" customFormat="1" ht="15" customHeight="1">
      <c r="A38" s="44" t="s">
        <v>60</v>
      </c>
      <c r="B38" s="101">
        <v>102.28</v>
      </c>
      <c r="C38" s="101">
        <v>113.3</v>
      </c>
    </row>
    <row r="39" spans="1:3" ht="15" customHeight="1">
      <c r="A39" s="44" t="s">
        <v>61</v>
      </c>
      <c r="B39" s="101">
        <v>100.36</v>
      </c>
      <c r="C39" s="101">
        <v>105.4</v>
      </c>
    </row>
    <row r="40" spans="1:3" ht="15" customHeight="1">
      <c r="A40" s="44" t="s">
        <v>62</v>
      </c>
      <c r="B40" s="101">
        <v>100.96</v>
      </c>
      <c r="C40" s="101">
        <v>105.63</v>
      </c>
    </row>
    <row r="41" spans="1:3" ht="15" customHeight="1">
      <c r="A41" s="44" t="s">
        <v>63</v>
      </c>
      <c r="B41" s="101">
        <v>99.42</v>
      </c>
      <c r="C41" s="101">
        <v>106</v>
      </c>
    </row>
    <row r="42" spans="1:3" ht="15" customHeight="1">
      <c r="A42" s="106" t="s">
        <v>64</v>
      </c>
      <c r="B42" s="103">
        <v>99.92</v>
      </c>
      <c r="C42" s="103">
        <v>99.49</v>
      </c>
    </row>
    <row r="43" spans="1:3" ht="27" customHeight="1">
      <c r="A43" s="106" t="s">
        <v>65</v>
      </c>
      <c r="B43" s="107">
        <v>100.18</v>
      </c>
      <c r="C43" s="107">
        <v>101.5</v>
      </c>
    </row>
    <row r="44" spans="1:3" ht="15" customHeight="1">
      <c r="A44" s="44" t="s">
        <v>66</v>
      </c>
      <c r="B44" s="101">
        <v>100.01</v>
      </c>
      <c r="C44" s="101">
        <v>100.19</v>
      </c>
    </row>
    <row r="45" spans="1:3" ht="15" customHeight="1">
      <c r="A45" s="44" t="s">
        <v>67</v>
      </c>
      <c r="B45" s="101">
        <v>99.81</v>
      </c>
      <c r="C45" s="101">
        <v>103.8</v>
      </c>
    </row>
    <row r="46" spans="1:3" ht="15" customHeight="1">
      <c r="A46" s="44" t="s">
        <v>134</v>
      </c>
      <c r="B46" s="101">
        <v>100.38</v>
      </c>
      <c r="C46" s="101">
        <v>102.09</v>
      </c>
    </row>
    <row r="47" spans="1:3" ht="15" customHeight="1">
      <c r="A47" s="44" t="s">
        <v>135</v>
      </c>
      <c r="B47" s="101">
        <v>100</v>
      </c>
      <c r="C47" s="101">
        <v>103.13</v>
      </c>
    </row>
    <row r="48" spans="1:3" ht="15.95" customHeight="1">
      <c r="A48" s="108"/>
    </row>
    <row r="49" spans="1:1" ht="15.95" customHeight="1">
      <c r="A49" s="108"/>
    </row>
    <row r="50" spans="1:1" ht="15.95" customHeight="1">
      <c r="A50" s="108"/>
    </row>
    <row r="51" spans="1:1" ht="16.5" customHeight="1">
      <c r="A51" s="108"/>
    </row>
    <row r="52" spans="1:1" ht="16.5" customHeight="1">
      <c r="A52" s="108"/>
    </row>
    <row r="53" spans="1:1" ht="16.5" customHeight="1">
      <c r="A53" s="108"/>
    </row>
    <row r="54" spans="1:1" ht="16.5" customHeight="1">
      <c r="A54" s="108"/>
    </row>
  </sheetData>
  <mergeCells count="1">
    <mergeCell ref="A1:C1"/>
  </mergeCells>
  <pageMargins left="0.78740157480314998" right="0.47244094488188998" top="0.74803149606299202" bottom="0.511811023622047" header="0.43307086614173201" footer="0.23622047244094499"/>
  <pageSetup paperSize="9" firstPageNumber="27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6030-36DF-4988-B3E2-EBCFDCB395A0}">
  <sheetPr>
    <pageSetUpPr fitToPage="1"/>
  </sheetPr>
  <dimension ref="A1:C42"/>
  <sheetViews>
    <sheetView workbookViewId="0">
      <selection activeCell="F11" sqref="F11"/>
    </sheetView>
  </sheetViews>
  <sheetFormatPr defaultColWidth="9.140625" defaultRowHeight="15"/>
  <cols>
    <col min="1" max="1" width="31.42578125" style="116" customWidth="1"/>
    <col min="2" max="3" width="26" style="116" customWidth="1"/>
    <col min="4" max="16384" width="9.140625" style="116"/>
  </cols>
  <sheetData>
    <row r="1" spans="1:3" s="85" customFormat="1" ht="20.100000000000001" customHeight="1">
      <c r="A1" s="109" t="s">
        <v>136</v>
      </c>
      <c r="B1" s="110"/>
      <c r="C1" s="110"/>
    </row>
    <row r="2" spans="1:3" s="85" customFormat="1" ht="20.100000000000001" customHeight="1">
      <c r="A2" s="84" t="s">
        <v>137</v>
      </c>
      <c r="B2" s="84"/>
      <c r="C2" s="84"/>
    </row>
    <row r="3" spans="1:3" s="85" customFormat="1" ht="27" customHeight="1">
      <c r="A3" s="86"/>
      <c r="C3" s="87" t="s">
        <v>21</v>
      </c>
    </row>
    <row r="4" spans="1:3" s="90" customFormat="1" ht="18" customHeight="1">
      <c r="A4" s="88"/>
      <c r="B4" s="89" t="s">
        <v>138</v>
      </c>
      <c r="C4" s="89" t="s">
        <v>138</v>
      </c>
    </row>
    <row r="5" spans="1:3" s="90" customFormat="1" ht="18" customHeight="1">
      <c r="A5" s="91"/>
      <c r="B5" s="111" t="s">
        <v>139</v>
      </c>
      <c r="C5" s="111" t="s">
        <v>139</v>
      </c>
    </row>
    <row r="6" spans="1:3" s="90" customFormat="1" ht="18" customHeight="1">
      <c r="A6" s="91"/>
      <c r="B6" s="94" t="s">
        <v>140</v>
      </c>
      <c r="C6" s="94" t="s">
        <v>141</v>
      </c>
    </row>
    <row r="7" spans="1:3" s="90" customFormat="1" ht="15" customHeight="1">
      <c r="A7" s="91"/>
      <c r="B7" s="92"/>
      <c r="C7" s="92"/>
    </row>
    <row r="8" spans="1:3" s="85" customFormat="1" ht="19.5" customHeight="1">
      <c r="A8" s="112" t="s">
        <v>142</v>
      </c>
      <c r="B8" s="113">
        <v>101.02</v>
      </c>
      <c r="C8" s="113">
        <v>103.9</v>
      </c>
    </row>
    <row r="9" spans="1:3" ht="19.5" customHeight="1">
      <c r="A9" s="114" t="s">
        <v>143</v>
      </c>
      <c r="B9" s="115">
        <v>100.23</v>
      </c>
      <c r="C9" s="115">
        <v>100.04</v>
      </c>
    </row>
    <row r="10" spans="1:3" ht="19.5" customHeight="1">
      <c r="A10" s="114" t="s">
        <v>144</v>
      </c>
      <c r="B10" s="115">
        <v>101.23</v>
      </c>
      <c r="C10" s="115">
        <v>107.3</v>
      </c>
    </row>
    <row r="11" spans="1:3" ht="19.5" customHeight="1">
      <c r="A11" s="114" t="s">
        <v>145</v>
      </c>
      <c r="B11" s="115">
        <v>101.24</v>
      </c>
      <c r="C11" s="115">
        <v>104.56</v>
      </c>
    </row>
    <row r="12" spans="1:3" ht="19.5" customHeight="1">
      <c r="A12" s="114" t="s">
        <v>146</v>
      </c>
      <c r="B12" s="115">
        <v>102.51</v>
      </c>
      <c r="C12" s="115">
        <v>104.35</v>
      </c>
    </row>
    <row r="13" spans="1:3" ht="19.5" customHeight="1">
      <c r="A13" s="114" t="s">
        <v>147</v>
      </c>
      <c r="B13" s="115">
        <v>100.81</v>
      </c>
      <c r="C13" s="115">
        <v>105.72</v>
      </c>
    </row>
    <row r="14" spans="1:3" ht="19.5" customHeight="1">
      <c r="A14" s="114" t="s">
        <v>148</v>
      </c>
      <c r="B14" s="115">
        <v>100.74</v>
      </c>
      <c r="C14" s="115">
        <v>102.96</v>
      </c>
    </row>
    <row r="15" spans="1:3" ht="19.5" customHeight="1">
      <c r="A15" s="114" t="s">
        <v>149</v>
      </c>
      <c r="B15" s="115">
        <v>100.21</v>
      </c>
      <c r="C15" s="115">
        <v>105.55</v>
      </c>
    </row>
    <row r="16" spans="1:3" ht="19.5" customHeight="1">
      <c r="A16" s="114" t="s">
        <v>150</v>
      </c>
      <c r="B16" s="115">
        <v>100.08</v>
      </c>
      <c r="C16" s="115">
        <v>98.54</v>
      </c>
    </row>
    <row r="17" spans="1:3" ht="19.5" customHeight="1">
      <c r="A17" s="114" t="s">
        <v>151</v>
      </c>
      <c r="B17" s="115">
        <v>100.96</v>
      </c>
      <c r="C17" s="115">
        <v>100.61</v>
      </c>
    </row>
    <row r="18" spans="1:3" ht="19.5" customHeight="1">
      <c r="A18" s="114" t="s">
        <v>152</v>
      </c>
      <c r="B18" s="115">
        <v>100.39</v>
      </c>
      <c r="C18" s="115">
        <v>94.68</v>
      </c>
    </row>
    <row r="19" spans="1:3" ht="19.5" customHeight="1">
      <c r="A19" s="114" t="s">
        <v>153</v>
      </c>
      <c r="B19" s="115">
        <v>100.57</v>
      </c>
      <c r="C19" s="115">
        <v>98.62</v>
      </c>
    </row>
    <row r="20" spans="1:3" ht="19.5" customHeight="1">
      <c r="A20" s="114" t="s">
        <v>154</v>
      </c>
      <c r="B20" s="115">
        <v>101.14</v>
      </c>
      <c r="C20" s="115">
        <v>103.9</v>
      </c>
    </row>
    <row r="21" spans="1:3" ht="19.5" customHeight="1">
      <c r="A21" s="114" t="s">
        <v>155</v>
      </c>
      <c r="B21" s="115">
        <v>99.84</v>
      </c>
      <c r="C21" s="115">
        <v>105.3</v>
      </c>
    </row>
    <row r="22" spans="1:3" ht="19.5" customHeight="1">
      <c r="A22" s="114" t="s">
        <v>156</v>
      </c>
      <c r="B22" s="115">
        <v>100.34</v>
      </c>
      <c r="C22" s="115">
        <v>99.5</v>
      </c>
    </row>
    <row r="23" spans="1:3" ht="19.5" customHeight="1">
      <c r="A23" s="114" t="s">
        <v>157</v>
      </c>
      <c r="B23" s="115">
        <v>100.03</v>
      </c>
      <c r="C23" s="115">
        <v>94.15</v>
      </c>
    </row>
    <row r="24" spans="1:3" ht="19.5" customHeight="1">
      <c r="A24" s="114" t="s">
        <v>158</v>
      </c>
      <c r="B24" s="115">
        <v>101.11</v>
      </c>
      <c r="C24" s="115">
        <v>108.19</v>
      </c>
    </row>
    <row r="25" spans="1:3" ht="19.5" customHeight="1">
      <c r="A25" s="114" t="s">
        <v>159</v>
      </c>
      <c r="B25" s="115">
        <v>103.31</v>
      </c>
      <c r="C25" s="115">
        <v>119.23</v>
      </c>
    </row>
    <row r="26" spans="1:3" ht="19.5" customHeight="1">
      <c r="A26" s="114" t="s">
        <v>160</v>
      </c>
      <c r="B26" s="115">
        <v>100.17</v>
      </c>
      <c r="C26" s="115">
        <v>105.87</v>
      </c>
    </row>
    <row r="27" spans="1:3" ht="19.5" customHeight="1">
      <c r="A27" s="114" t="s">
        <v>161</v>
      </c>
      <c r="B27" s="115">
        <v>100.31</v>
      </c>
      <c r="C27" s="115">
        <v>102.4</v>
      </c>
    </row>
    <row r="28" spans="1:3" ht="19.5" customHeight="1">
      <c r="A28" s="114" t="s">
        <v>162</v>
      </c>
      <c r="B28" s="115">
        <v>101.15</v>
      </c>
      <c r="C28" s="115">
        <v>106.99</v>
      </c>
    </row>
    <row r="29" spans="1:3" ht="18.399999999999999" customHeight="1">
      <c r="A29" s="114" t="s">
        <v>163</v>
      </c>
      <c r="B29" s="115">
        <v>100.88</v>
      </c>
      <c r="C29" s="115">
        <v>104.22</v>
      </c>
    </row>
    <row r="30" spans="1:3" ht="18.399999999999999" customHeight="1">
      <c r="A30" s="114" t="s">
        <v>164</v>
      </c>
      <c r="B30" s="115">
        <v>100.64</v>
      </c>
      <c r="C30" s="115">
        <v>97.24</v>
      </c>
    </row>
    <row r="31" spans="1:3" ht="18.399999999999999" customHeight="1">
      <c r="A31" s="114" t="s">
        <v>165</v>
      </c>
      <c r="B31" s="115">
        <v>98.43</v>
      </c>
      <c r="C31" s="115">
        <v>103.14</v>
      </c>
    </row>
    <row r="32" spans="1:3" ht="18.399999999999999" customHeight="1">
      <c r="A32" s="114" t="s">
        <v>166</v>
      </c>
      <c r="B32" s="115">
        <v>101.31</v>
      </c>
      <c r="C32" s="115">
        <v>111.47</v>
      </c>
    </row>
    <row r="33" spans="1:3" ht="18.399999999999999" customHeight="1">
      <c r="A33" s="114" t="s">
        <v>167</v>
      </c>
      <c r="B33" s="115">
        <v>100.31</v>
      </c>
      <c r="C33" s="115">
        <v>93.92</v>
      </c>
    </row>
    <row r="34" spans="1:3" ht="18.399999999999999" customHeight="1">
      <c r="A34" s="114" t="s">
        <v>168</v>
      </c>
      <c r="B34" s="115">
        <v>101.96</v>
      </c>
      <c r="C34" s="115">
        <v>104.29</v>
      </c>
    </row>
    <row r="35" spans="1:3" ht="18.399999999999999" customHeight="1">
      <c r="A35" s="114" t="s">
        <v>169</v>
      </c>
      <c r="B35" s="115">
        <v>100.81</v>
      </c>
      <c r="C35" s="115">
        <v>99.91</v>
      </c>
    </row>
    <row r="36" spans="1:3" ht="18.399999999999999" customHeight="1">
      <c r="A36" s="114" t="s">
        <v>170</v>
      </c>
      <c r="B36" s="115">
        <v>100.42</v>
      </c>
      <c r="C36" s="115">
        <v>104.34</v>
      </c>
    </row>
    <row r="37" spans="1:3" ht="18.399999999999999" customHeight="1">
      <c r="A37" s="114" t="s">
        <v>171</v>
      </c>
      <c r="B37" s="115">
        <v>100.89</v>
      </c>
      <c r="C37" s="115">
        <v>102.98</v>
      </c>
    </row>
    <row r="38" spans="1:3" ht="18.399999999999999" customHeight="1">
      <c r="A38" s="114" t="s">
        <v>172</v>
      </c>
      <c r="B38" s="115">
        <v>100.67</v>
      </c>
      <c r="C38" s="115">
        <v>105.21</v>
      </c>
    </row>
    <row r="39" spans="1:3" ht="18.399999999999999" customHeight="1">
      <c r="A39" s="114" t="s">
        <v>173</v>
      </c>
      <c r="B39" s="115">
        <v>101.03</v>
      </c>
      <c r="C39" s="115">
        <v>104.78</v>
      </c>
    </row>
    <row r="40" spans="1:3" ht="18.399999999999999" customHeight="1">
      <c r="A40" s="114" t="s">
        <v>174</v>
      </c>
      <c r="B40" s="115">
        <v>102.19</v>
      </c>
      <c r="C40" s="115">
        <v>106.76</v>
      </c>
    </row>
    <row r="41" spans="1:3" ht="18.399999999999999" customHeight="1">
      <c r="A41" s="114" t="s">
        <v>175</v>
      </c>
      <c r="B41" s="115">
        <v>101.26</v>
      </c>
      <c r="C41" s="115">
        <v>103.44</v>
      </c>
    </row>
    <row r="42" spans="1:3" ht="18.399999999999999" customHeight="1">
      <c r="A42" s="114" t="s">
        <v>176</v>
      </c>
      <c r="B42" s="115">
        <v>101.07</v>
      </c>
      <c r="C42" s="115">
        <v>104.27</v>
      </c>
    </row>
  </sheetData>
  <pageMargins left="0.94" right="0.47244094488188998" top="0.74803149606299202" bottom="0.47244094488188998" header="0.43307086614173201" footer="0.31496062992126"/>
  <pageSetup paperSize="9" scale="97" firstPageNumber="27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C76A-7529-45F3-877C-4E840E2531E0}">
  <sheetPr>
    <pageSetUpPr fitToPage="1"/>
  </sheetPr>
  <dimension ref="A1:Q51"/>
  <sheetViews>
    <sheetView workbookViewId="0">
      <selection activeCell="F11" sqref="F11"/>
    </sheetView>
  </sheetViews>
  <sheetFormatPr defaultColWidth="7.5703125" defaultRowHeight="14.25"/>
  <cols>
    <col min="1" max="1" width="37.140625" style="388" customWidth="1"/>
    <col min="2" max="3" width="9.42578125" style="388" customWidth="1"/>
    <col min="4" max="4" width="9.28515625" style="388" customWidth="1"/>
    <col min="5" max="5" width="8.7109375" style="388" customWidth="1"/>
    <col min="6" max="6" width="9.5703125" style="388" customWidth="1"/>
    <col min="7" max="7" width="11.28515625" style="388" customWidth="1"/>
    <col min="8" max="8" width="7.5703125" style="388" customWidth="1"/>
    <col min="9" max="9" width="9.42578125" style="388" hidden="1" customWidth="1"/>
    <col min="10" max="10" width="10.5703125" style="388" hidden="1" customWidth="1"/>
    <col min="11" max="11" width="3.140625" style="388" hidden="1" customWidth="1"/>
    <col min="12" max="14" width="7.5703125" style="388" hidden="1" customWidth="1"/>
    <col min="15" max="17" width="7.5703125" style="388" customWidth="1"/>
    <col min="18" max="16384" width="7.5703125" style="388"/>
  </cols>
  <sheetData>
    <row r="1" spans="1:17" s="356" customFormat="1" ht="20.100000000000001" customHeight="1">
      <c r="A1" s="355" t="s">
        <v>389</v>
      </c>
    </row>
    <row r="2" spans="1:17" s="358" customFormat="1" ht="20.100000000000001" customHeight="1">
      <c r="A2" s="357"/>
    </row>
    <row r="3" spans="1:17" s="360" customFormat="1" ht="20.100000000000001" customHeight="1">
      <c r="A3" s="359"/>
      <c r="E3" s="361"/>
      <c r="F3" s="362"/>
      <c r="L3" s="363" t="s">
        <v>204</v>
      </c>
      <c r="M3" s="364" t="s">
        <v>390</v>
      </c>
      <c r="N3" s="364" t="s">
        <v>391</v>
      </c>
    </row>
    <row r="4" spans="1:17" s="368" customFormat="1" ht="16.899999999999999" customHeight="1">
      <c r="A4" s="365"/>
      <c r="B4" s="366" t="s">
        <v>22</v>
      </c>
      <c r="C4" s="366" t="s">
        <v>23</v>
      </c>
      <c r="D4" s="366" t="s">
        <v>24</v>
      </c>
      <c r="E4" s="478" t="s">
        <v>392</v>
      </c>
      <c r="F4" s="478"/>
      <c r="G4" s="367" t="s">
        <v>24</v>
      </c>
      <c r="I4" s="366" t="s">
        <v>23</v>
      </c>
      <c r="J4" s="366" t="s">
        <v>24</v>
      </c>
      <c r="L4" s="369">
        <f>(D10+D14)/1000</f>
        <v>174.047</v>
      </c>
      <c r="M4" s="370">
        <f>L4/L5*100-100</f>
        <v>22.87636610092909</v>
      </c>
      <c r="N4" s="370">
        <f>L4/7</f>
        <v>24.863857142857142</v>
      </c>
    </row>
    <row r="5" spans="1:17" s="368" customFormat="1" ht="16.899999999999999" customHeight="1">
      <c r="B5" s="371" t="s">
        <v>77</v>
      </c>
      <c r="C5" s="371" t="s">
        <v>77</v>
      </c>
      <c r="D5" s="371" t="s">
        <v>77</v>
      </c>
      <c r="E5" s="479" t="s">
        <v>393</v>
      </c>
      <c r="F5" s="479"/>
      <c r="G5" s="372" t="s">
        <v>25</v>
      </c>
      <c r="I5" s="371" t="s">
        <v>77</v>
      </c>
      <c r="J5" s="371" t="s">
        <v>77</v>
      </c>
      <c r="L5" s="369">
        <f>(J10+J14)/1000</f>
        <v>141.64400000000001</v>
      </c>
      <c r="M5" s="369"/>
      <c r="N5" s="369"/>
    </row>
    <row r="6" spans="1:17" s="368" customFormat="1" ht="16.899999999999999" customHeight="1">
      <c r="B6" s="371">
        <v>2025</v>
      </c>
      <c r="C6" s="371">
        <v>2025</v>
      </c>
      <c r="D6" s="371">
        <v>2025</v>
      </c>
      <c r="E6" s="373" t="s">
        <v>22</v>
      </c>
      <c r="F6" s="373" t="s">
        <v>23</v>
      </c>
      <c r="G6" s="372" t="s">
        <v>26</v>
      </c>
      <c r="I6" s="371">
        <v>2024</v>
      </c>
      <c r="J6" s="371">
        <v>2024</v>
      </c>
      <c r="N6" s="369"/>
    </row>
    <row r="7" spans="1:17" s="368" customFormat="1" ht="16.899999999999999" customHeight="1">
      <c r="B7" s="371"/>
      <c r="C7" s="371"/>
      <c r="D7" s="371"/>
      <c r="E7" s="373" t="s">
        <v>77</v>
      </c>
      <c r="F7" s="373" t="s">
        <v>77</v>
      </c>
      <c r="G7" s="372" t="s">
        <v>218</v>
      </c>
      <c r="I7" s="371"/>
      <c r="J7" s="371"/>
      <c r="L7" s="369">
        <f>SUM(D15:D17)/1000</f>
        <v>144.351</v>
      </c>
      <c r="M7" s="369">
        <f>L7/L8*100-100</f>
        <v>15.142740912680381</v>
      </c>
      <c r="N7" s="374">
        <f>L7/7</f>
        <v>20.621571428571428</v>
      </c>
    </row>
    <row r="8" spans="1:17" s="368" customFormat="1" ht="16.899999999999999" customHeight="1">
      <c r="B8" s="375"/>
      <c r="C8" s="375"/>
      <c r="D8" s="375"/>
      <c r="E8" s="376">
        <v>2025</v>
      </c>
      <c r="F8" s="376">
        <v>2024</v>
      </c>
      <c r="G8" s="377" t="s">
        <v>394</v>
      </c>
      <c r="I8" s="375"/>
      <c r="J8" s="375"/>
      <c r="L8" s="369">
        <f>SUM(J15:J17)/1000</f>
        <v>125.367</v>
      </c>
    </row>
    <row r="9" spans="1:17" s="368" customFormat="1" ht="15.95" customHeight="1">
      <c r="B9" s="378"/>
      <c r="C9" s="378"/>
      <c r="D9" s="378"/>
      <c r="I9" s="378"/>
      <c r="J9" s="378"/>
    </row>
    <row r="10" spans="1:17" s="368" customFormat="1" ht="30" customHeight="1">
      <c r="A10" s="379" t="s">
        <v>395</v>
      </c>
      <c r="B10" s="380">
        <v>24422</v>
      </c>
      <c r="C10" s="380">
        <v>16524</v>
      </c>
      <c r="D10" s="380">
        <v>107710</v>
      </c>
      <c r="E10" s="381">
        <f t="shared" ref="E10:E17" si="0">C10/B10*100</f>
        <v>67.66030628122185</v>
      </c>
      <c r="F10" s="381">
        <f t="shared" ref="F10:G17" si="1">C10/I10*100</f>
        <v>104.68165980361101</v>
      </c>
      <c r="G10" s="381">
        <f t="shared" si="1"/>
        <v>110.61815119491429</v>
      </c>
      <c r="I10" s="382">
        <v>15785</v>
      </c>
      <c r="J10" s="382">
        <v>97371</v>
      </c>
      <c r="L10" s="369">
        <f>E10-100</f>
        <v>-32.33969371877815</v>
      </c>
      <c r="M10" s="369">
        <f t="shared" ref="L10:N17" si="2">F10-100</f>
        <v>4.6816598036110122</v>
      </c>
      <c r="N10" s="369">
        <f t="shared" si="2"/>
        <v>10.61815119491429</v>
      </c>
      <c r="P10" s="369"/>
      <c r="Q10" s="369"/>
    </row>
    <row r="11" spans="1:17" s="368" customFormat="1" ht="30" customHeight="1">
      <c r="A11" s="379" t="s">
        <v>396</v>
      </c>
      <c r="B11" s="380">
        <v>176760.83499999999</v>
      </c>
      <c r="C11" s="380">
        <v>117444</v>
      </c>
      <c r="D11" s="380">
        <v>928354</v>
      </c>
      <c r="E11" s="381">
        <f t="shared" si="0"/>
        <v>66.442320211940626</v>
      </c>
      <c r="F11" s="381">
        <f t="shared" si="1"/>
        <v>88.386164544387242</v>
      </c>
      <c r="G11" s="381">
        <f t="shared" si="1"/>
        <v>105.50232573468328</v>
      </c>
      <c r="I11" s="382">
        <v>132876</v>
      </c>
      <c r="J11" s="382">
        <v>879937</v>
      </c>
      <c r="L11" s="369">
        <f t="shared" si="2"/>
        <v>-33.557679788059374</v>
      </c>
      <c r="M11" s="369">
        <f t="shared" si="2"/>
        <v>-11.613835455612758</v>
      </c>
      <c r="N11" s="369">
        <f t="shared" si="2"/>
        <v>5.5023257346832821</v>
      </c>
      <c r="P11" s="369"/>
      <c r="Q11" s="369"/>
    </row>
    <row r="12" spans="1:17" s="368" customFormat="1" ht="30" customHeight="1">
      <c r="A12" s="379" t="s">
        <v>397</v>
      </c>
      <c r="B12" s="380">
        <v>137159</v>
      </c>
      <c r="C12" s="380">
        <v>78987</v>
      </c>
      <c r="D12" s="380">
        <v>670049</v>
      </c>
      <c r="E12" s="381">
        <f>C12/B12*100</f>
        <v>57.587908923220496</v>
      </c>
      <c r="F12" s="381">
        <f>C12/I12*100</f>
        <v>96.659201879657843</v>
      </c>
      <c r="G12" s="381">
        <f t="shared" si="1"/>
        <v>111.55472607825574</v>
      </c>
      <c r="I12" s="383">
        <v>81717</v>
      </c>
      <c r="J12" s="383">
        <v>600646</v>
      </c>
      <c r="L12" s="369">
        <f t="shared" si="2"/>
        <v>-42.412091076779504</v>
      </c>
      <c r="M12" s="369">
        <f t="shared" si="2"/>
        <v>-3.3407981203421571</v>
      </c>
      <c r="N12" s="369">
        <f t="shared" si="2"/>
        <v>11.55472607825574</v>
      </c>
      <c r="P12" s="369"/>
      <c r="Q12" s="369"/>
    </row>
    <row r="13" spans="1:17" s="368" customFormat="1" ht="30" customHeight="1">
      <c r="A13" s="384" t="s">
        <v>398</v>
      </c>
      <c r="B13" s="385">
        <v>7.2377706576037992</v>
      </c>
      <c r="C13" s="385">
        <f>C11/C10</f>
        <v>7.1074800290486566</v>
      </c>
      <c r="D13" s="385">
        <f>D11/D10</f>
        <v>8.6190140191254301</v>
      </c>
      <c r="E13" s="381">
        <f t="shared" si="0"/>
        <v>98.199851380780316</v>
      </c>
      <c r="F13" s="381">
        <f t="shared" si="1"/>
        <v>84.433285362693837</v>
      </c>
      <c r="G13" s="381">
        <f t="shared" si="1"/>
        <v>95.375238688254086</v>
      </c>
      <c r="I13" s="385">
        <f>I11/I10</f>
        <v>8.4178650617675004</v>
      </c>
      <c r="J13" s="385">
        <f>J11/J10</f>
        <v>9.0369514537182525</v>
      </c>
      <c r="L13" s="369">
        <f t="shared" si="2"/>
        <v>-1.8001486192196836</v>
      </c>
      <c r="M13" s="369">
        <f t="shared" si="2"/>
        <v>-15.566714637306163</v>
      </c>
      <c r="N13" s="369">
        <f t="shared" si="2"/>
        <v>-4.6247613117459139</v>
      </c>
      <c r="P13" s="369"/>
      <c r="Q13" s="369"/>
    </row>
    <row r="14" spans="1:17" s="368" customFormat="1" ht="30" customHeight="1">
      <c r="A14" s="379" t="s">
        <v>399</v>
      </c>
      <c r="B14" s="380">
        <v>14390</v>
      </c>
      <c r="C14" s="380">
        <v>14619</v>
      </c>
      <c r="D14" s="380">
        <v>66337</v>
      </c>
      <c r="E14" s="381">
        <f t="shared" si="0"/>
        <v>101.591382904795</v>
      </c>
      <c r="F14" s="381">
        <f t="shared" si="1"/>
        <v>178.25874893305695</v>
      </c>
      <c r="G14" s="381">
        <f t="shared" si="1"/>
        <v>149.83624330856279</v>
      </c>
      <c r="I14" s="380">
        <v>8201</v>
      </c>
      <c r="J14" s="380">
        <v>44273</v>
      </c>
      <c r="L14" s="369">
        <f t="shared" si="2"/>
        <v>1.5913829047949974</v>
      </c>
      <c r="M14" s="369">
        <f>F14-100</f>
        <v>78.25874893305695</v>
      </c>
      <c r="N14" s="369">
        <f t="shared" si="2"/>
        <v>49.836243308562786</v>
      </c>
      <c r="P14" s="369"/>
      <c r="Q14" s="369"/>
    </row>
    <row r="15" spans="1:17" s="386" customFormat="1" ht="30" customHeight="1">
      <c r="A15" s="384" t="s">
        <v>400</v>
      </c>
      <c r="B15" s="380">
        <v>6433</v>
      </c>
      <c r="C15" s="380">
        <v>7344</v>
      </c>
      <c r="D15" s="380">
        <v>88610</v>
      </c>
      <c r="E15" s="381">
        <f t="shared" si="0"/>
        <v>114.16135551064821</v>
      </c>
      <c r="F15" s="381">
        <f t="shared" si="1"/>
        <v>107.41553312856516</v>
      </c>
      <c r="G15" s="381">
        <f t="shared" si="1"/>
        <v>113.59965129099254</v>
      </c>
      <c r="I15" s="380">
        <v>6837</v>
      </c>
      <c r="J15" s="380">
        <v>78002</v>
      </c>
      <c r="L15" s="369">
        <f>E15-100</f>
        <v>14.161355510648207</v>
      </c>
      <c r="M15" s="369">
        <f t="shared" si="2"/>
        <v>7.4155331285651584</v>
      </c>
      <c r="N15" s="369">
        <f t="shared" si="2"/>
        <v>13.59965129099254</v>
      </c>
      <c r="P15" s="369"/>
      <c r="Q15" s="369"/>
    </row>
    <row r="16" spans="1:17" s="386" customFormat="1" ht="30" customHeight="1">
      <c r="A16" s="384" t="s">
        <v>401</v>
      </c>
      <c r="B16" s="380">
        <v>10063</v>
      </c>
      <c r="C16" s="380">
        <v>4385</v>
      </c>
      <c r="D16" s="380">
        <v>41477</v>
      </c>
      <c r="E16" s="381">
        <f t="shared" si="0"/>
        <v>43.575474510583319</v>
      </c>
      <c r="F16" s="381">
        <f t="shared" si="1"/>
        <v>62.331201137171291</v>
      </c>
      <c r="G16" s="381">
        <f t="shared" si="1"/>
        <v>116.7346823900256</v>
      </c>
      <c r="I16" s="380">
        <v>7035</v>
      </c>
      <c r="J16" s="380">
        <v>35531</v>
      </c>
      <c r="L16" s="369">
        <f t="shared" si="2"/>
        <v>-56.424525489416681</v>
      </c>
      <c r="M16" s="369">
        <f t="shared" si="2"/>
        <v>-37.668798862828709</v>
      </c>
      <c r="N16" s="369">
        <f t="shared" si="2"/>
        <v>16.734682390025597</v>
      </c>
      <c r="P16" s="369"/>
      <c r="Q16" s="369"/>
    </row>
    <row r="17" spans="1:17" s="386" customFormat="1" ht="30" customHeight="1">
      <c r="A17" s="379" t="s">
        <v>402</v>
      </c>
      <c r="B17" s="380">
        <v>2761</v>
      </c>
      <c r="C17" s="380">
        <v>1949</v>
      </c>
      <c r="D17" s="380">
        <v>14264</v>
      </c>
      <c r="E17" s="381">
        <f t="shared" si="0"/>
        <v>70.590365809489313</v>
      </c>
      <c r="F17" s="381">
        <f t="shared" si="1"/>
        <v>105.40832882639263</v>
      </c>
      <c r="G17" s="381">
        <f t="shared" si="1"/>
        <v>120.53405441946931</v>
      </c>
      <c r="I17" s="387">
        <v>1849</v>
      </c>
      <c r="J17" s="387">
        <v>11834</v>
      </c>
      <c r="L17" s="369">
        <f t="shared" si="2"/>
        <v>-29.409634190510687</v>
      </c>
      <c r="M17" s="369">
        <f t="shared" si="2"/>
        <v>5.4083288263926335</v>
      </c>
      <c r="N17" s="369">
        <f t="shared" si="2"/>
        <v>20.534054419469314</v>
      </c>
      <c r="P17" s="369"/>
      <c r="Q17" s="369"/>
    </row>
    <row r="18" spans="1:17" s="386" customFormat="1" ht="20.100000000000001" customHeight="1">
      <c r="A18" s="388"/>
      <c r="B18" s="389"/>
      <c r="C18" s="389"/>
      <c r="D18" s="389"/>
      <c r="E18" s="388"/>
      <c r="F18" s="388"/>
      <c r="G18" s="388"/>
      <c r="I18" s="389"/>
      <c r="J18" s="389"/>
    </row>
    <row r="19" spans="1:17">
      <c r="C19" s="389"/>
      <c r="D19" s="389"/>
    </row>
    <row r="20" spans="1:17">
      <c r="C20" s="389"/>
      <c r="D20" s="390"/>
    </row>
    <row r="21" spans="1:17">
      <c r="D21" s="389"/>
    </row>
    <row r="22" spans="1:17" ht="20.100000000000001" customHeight="1"/>
    <row r="23" spans="1:17" ht="20.100000000000001" customHeight="1"/>
    <row r="24" spans="1:17" ht="20.100000000000001" customHeight="1"/>
    <row r="25" spans="1:17" ht="20.100000000000001" customHeight="1"/>
    <row r="26" spans="1:17" ht="20.100000000000001" customHeight="1"/>
    <row r="27" spans="1:17" ht="20.100000000000001" customHeight="1"/>
    <row r="28" spans="1:17" ht="21.6" customHeight="1"/>
    <row r="29" spans="1:17" ht="21.6" customHeight="1"/>
    <row r="30" spans="1:17" ht="21.6" customHeight="1"/>
    <row r="40" spans="1:10" ht="15">
      <c r="A40" s="391"/>
      <c r="B40" s="391"/>
      <c r="C40" s="391"/>
      <c r="D40" s="391"/>
      <c r="E40" s="391"/>
      <c r="F40" s="391"/>
      <c r="G40" s="391"/>
      <c r="I40" s="391"/>
      <c r="J40" s="391"/>
    </row>
    <row r="41" spans="1:10" ht="15">
      <c r="A41" s="391"/>
      <c r="B41" s="391"/>
      <c r="C41" s="391"/>
      <c r="D41" s="391"/>
      <c r="E41" s="391"/>
      <c r="F41" s="391"/>
      <c r="G41" s="391"/>
      <c r="I41" s="391"/>
      <c r="J41" s="391"/>
    </row>
    <row r="42" spans="1:10" ht="15">
      <c r="A42" s="391"/>
      <c r="B42" s="391"/>
      <c r="C42" s="391"/>
      <c r="D42" s="391"/>
      <c r="E42" s="391"/>
      <c r="F42" s="391"/>
      <c r="G42" s="391"/>
      <c r="I42" s="391"/>
      <c r="J42" s="391"/>
    </row>
    <row r="43" spans="1:10" ht="15">
      <c r="A43" s="391"/>
      <c r="B43" s="391"/>
      <c r="C43" s="391"/>
      <c r="D43" s="391"/>
      <c r="E43" s="391"/>
      <c r="F43" s="391"/>
      <c r="G43" s="391"/>
      <c r="I43" s="391"/>
      <c r="J43" s="391"/>
    </row>
    <row r="44" spans="1:10" ht="15">
      <c r="A44" s="391"/>
      <c r="B44" s="391"/>
      <c r="C44" s="391"/>
      <c r="D44" s="391"/>
      <c r="E44" s="391"/>
      <c r="F44" s="391"/>
      <c r="G44" s="391"/>
      <c r="I44" s="391"/>
      <c r="J44" s="391"/>
    </row>
    <row r="45" spans="1:10" ht="15">
      <c r="A45" s="391"/>
      <c r="B45" s="391"/>
      <c r="C45" s="391"/>
      <c r="D45" s="391"/>
      <c r="E45" s="391"/>
      <c r="F45" s="391"/>
      <c r="G45" s="391"/>
      <c r="I45" s="391"/>
      <c r="J45" s="391"/>
    </row>
    <row r="46" spans="1:10" ht="15">
      <c r="A46" s="391"/>
      <c r="B46" s="391"/>
      <c r="C46" s="391"/>
      <c r="D46" s="391"/>
      <c r="E46" s="391"/>
      <c r="F46" s="391"/>
      <c r="G46" s="391"/>
      <c r="I46" s="391"/>
      <c r="J46" s="391"/>
    </row>
    <row r="47" spans="1:10" ht="15">
      <c r="A47" s="391"/>
      <c r="B47" s="391"/>
      <c r="C47" s="391"/>
      <c r="D47" s="391"/>
      <c r="E47" s="391"/>
      <c r="F47" s="391"/>
      <c r="G47" s="391"/>
      <c r="I47" s="391"/>
      <c r="J47" s="391"/>
    </row>
    <row r="48" spans="1:10" ht="15">
      <c r="A48" s="391"/>
      <c r="B48" s="391"/>
      <c r="C48" s="391"/>
      <c r="D48" s="391"/>
      <c r="E48" s="391"/>
      <c r="F48" s="391"/>
      <c r="G48" s="391"/>
      <c r="I48" s="391"/>
      <c r="J48" s="391"/>
    </row>
    <row r="49" spans="1:10" ht="15">
      <c r="A49" s="391"/>
      <c r="B49" s="391"/>
      <c r="C49" s="391"/>
      <c r="D49" s="391"/>
      <c r="E49" s="391"/>
      <c r="F49" s="391"/>
      <c r="G49" s="391"/>
      <c r="I49" s="391"/>
      <c r="J49" s="391"/>
    </row>
    <row r="50" spans="1:10" ht="15">
      <c r="A50" s="391"/>
      <c r="B50" s="391"/>
      <c r="C50" s="391"/>
      <c r="D50" s="391"/>
      <c r="E50" s="391"/>
      <c r="F50" s="391"/>
      <c r="G50" s="391"/>
      <c r="I50" s="391"/>
      <c r="J50" s="391"/>
    </row>
    <row r="51" spans="1:10" ht="15">
      <c r="A51" s="391"/>
      <c r="B51" s="391"/>
      <c r="C51" s="391"/>
      <c r="D51" s="391"/>
      <c r="E51" s="391"/>
      <c r="F51" s="391"/>
      <c r="G51" s="391"/>
      <c r="I51" s="391"/>
      <c r="J51" s="391"/>
    </row>
  </sheetData>
  <mergeCells count="2">
    <mergeCell ref="E4:F4"/>
    <mergeCell ref="E5:F5"/>
  </mergeCells>
  <pageMargins left="0.78740157480314998" right="0.47244094488188998" top="0.74803149606299202" bottom="0.511811023622047" header="0.43307086614173201" footer="0.23622047244094499"/>
  <pageSetup paperSize="9" scale="94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EF1C-8F47-4FB3-9364-33DCCB6554F7}">
  <sheetPr>
    <pageSetUpPr fitToPage="1"/>
  </sheetPr>
  <dimension ref="A1:AD67"/>
  <sheetViews>
    <sheetView topLeftCell="A2" workbookViewId="0">
      <selection activeCell="F11" sqref="F11"/>
    </sheetView>
  </sheetViews>
  <sheetFormatPr defaultColWidth="8.7109375" defaultRowHeight="12.75"/>
  <cols>
    <col min="1" max="1" width="1.28515625" style="358" customWidth="1"/>
    <col min="2" max="2" width="38.85546875" style="358" customWidth="1"/>
    <col min="3" max="5" width="8.140625" style="358" customWidth="1"/>
    <col min="6" max="6" width="0.42578125" style="358" customWidth="1"/>
    <col min="7" max="9" width="8.28515625" style="358" customWidth="1"/>
    <col min="10" max="10" width="8.7109375" style="358" hidden="1" customWidth="1"/>
    <col min="11" max="11" width="8.140625" style="358" hidden="1" customWidth="1"/>
    <col min="12" max="12" width="9.28515625" style="358" hidden="1" customWidth="1"/>
    <col min="13" max="13" width="8.140625" style="358" hidden="1" customWidth="1"/>
    <col min="14" max="14" width="8.7109375" style="358" customWidth="1"/>
    <col min="15" max="16384" width="8.7109375" style="358"/>
  </cols>
  <sheetData>
    <row r="1" spans="1:30" s="356" customFormat="1" ht="20.100000000000001" customHeight="1">
      <c r="A1" s="355" t="s">
        <v>403</v>
      </c>
      <c r="B1" s="355"/>
      <c r="C1" s="392"/>
      <c r="D1" s="392"/>
      <c r="E1" s="392"/>
      <c r="F1" s="392"/>
      <c r="G1" s="392"/>
      <c r="K1" s="392"/>
      <c r="L1" s="392"/>
      <c r="M1" s="392"/>
    </row>
    <row r="2" spans="1:30" ht="20.100000000000001" customHeight="1">
      <c r="A2" s="357"/>
      <c r="B2" s="357"/>
      <c r="C2" s="368"/>
      <c r="D2" s="368"/>
      <c r="E2" s="368"/>
      <c r="F2" s="368"/>
      <c r="G2" s="368"/>
      <c r="K2" s="368"/>
      <c r="L2" s="368"/>
      <c r="M2" s="368"/>
    </row>
    <row r="3" spans="1:30" s="360" customFormat="1" ht="20.100000000000001" customHeight="1">
      <c r="A3" s="359"/>
      <c r="B3" s="359"/>
      <c r="C3" s="359"/>
      <c r="D3" s="359"/>
      <c r="E3" s="359"/>
      <c r="F3" s="359"/>
      <c r="G3" s="393"/>
      <c r="K3" s="359"/>
      <c r="L3" s="359"/>
      <c r="M3" s="359"/>
    </row>
    <row r="4" spans="1:30" s="360" customFormat="1" ht="15" customHeight="1">
      <c r="A4" s="394"/>
      <c r="B4" s="394"/>
      <c r="C4" s="480" t="s">
        <v>404</v>
      </c>
      <c r="D4" s="481"/>
      <c r="E4" s="481"/>
      <c r="F4" s="63"/>
      <c r="G4" s="483" t="s">
        <v>405</v>
      </c>
      <c r="H4" s="484"/>
      <c r="I4" s="484"/>
      <c r="K4" s="485" t="s">
        <v>406</v>
      </c>
      <c r="L4" s="485"/>
      <c r="M4" s="485"/>
    </row>
    <row r="5" spans="1:30" s="360" customFormat="1" ht="15" customHeight="1">
      <c r="A5" s="397"/>
      <c r="B5" s="397"/>
      <c r="C5" s="482"/>
      <c r="D5" s="482"/>
      <c r="E5" s="482"/>
      <c r="F5" s="65"/>
      <c r="G5" s="487" t="s">
        <v>407</v>
      </c>
      <c r="H5" s="487"/>
      <c r="I5" s="487"/>
      <c r="K5" s="486"/>
      <c r="L5" s="486"/>
      <c r="M5" s="486"/>
    </row>
    <row r="6" spans="1:30" s="360" customFormat="1" ht="15" customHeight="1">
      <c r="A6" s="397"/>
      <c r="B6" s="397"/>
      <c r="C6" s="396" t="s">
        <v>408</v>
      </c>
      <c r="D6" s="396" t="s">
        <v>409</v>
      </c>
      <c r="E6" s="396" t="s">
        <v>410</v>
      </c>
      <c r="F6" s="65"/>
      <c r="G6" s="396" t="s">
        <v>408</v>
      </c>
      <c r="H6" s="396" t="s">
        <v>409</v>
      </c>
      <c r="I6" s="396" t="s">
        <v>410</v>
      </c>
      <c r="K6" s="396" t="s">
        <v>408</v>
      </c>
      <c r="L6" s="396" t="s">
        <v>409</v>
      </c>
      <c r="M6" s="396" t="s">
        <v>410</v>
      </c>
    </row>
    <row r="7" spans="1:30" s="360" customFormat="1" ht="15" customHeight="1">
      <c r="A7" s="397"/>
      <c r="B7" s="397"/>
      <c r="C7" s="399" t="s">
        <v>411</v>
      </c>
      <c r="D7" s="399" t="s">
        <v>412</v>
      </c>
      <c r="E7" s="399" t="s">
        <v>413</v>
      </c>
      <c r="F7" s="65"/>
      <c r="G7" s="399" t="s">
        <v>414</v>
      </c>
      <c r="H7" s="399" t="s">
        <v>412</v>
      </c>
      <c r="I7" s="399" t="s">
        <v>413</v>
      </c>
      <c r="K7" s="399" t="s">
        <v>411</v>
      </c>
      <c r="L7" s="399" t="s">
        <v>412</v>
      </c>
      <c r="M7" s="399" t="s">
        <v>413</v>
      </c>
    </row>
    <row r="8" spans="1:30" s="360" customFormat="1" ht="15" customHeight="1">
      <c r="A8" s="397"/>
      <c r="B8" s="397"/>
      <c r="C8" s="398" t="s">
        <v>415</v>
      </c>
      <c r="D8" s="398" t="s">
        <v>208</v>
      </c>
      <c r="E8" s="398" t="s">
        <v>416</v>
      </c>
      <c r="F8" s="69"/>
      <c r="G8" s="398" t="s">
        <v>417</v>
      </c>
      <c r="H8" s="398"/>
      <c r="I8" s="398"/>
      <c r="K8" s="398" t="s">
        <v>415</v>
      </c>
      <c r="L8" s="398" t="s">
        <v>208</v>
      </c>
      <c r="M8" s="398" t="s">
        <v>416</v>
      </c>
    </row>
    <row r="9" spans="1:30" s="360" customFormat="1" ht="20.100000000000001" customHeight="1">
      <c r="A9" s="359"/>
      <c r="B9" s="359"/>
      <c r="C9" s="65"/>
      <c r="D9" s="65"/>
      <c r="E9" s="65"/>
      <c r="F9" s="65"/>
      <c r="G9" s="65"/>
      <c r="K9" s="65"/>
      <c r="L9" s="65"/>
      <c r="M9" s="65"/>
    </row>
    <row r="10" spans="1:30" s="403" customFormat="1" ht="20.100000000000001" customHeight="1">
      <c r="A10" s="400" t="s">
        <v>184</v>
      </c>
      <c r="B10" s="400"/>
      <c r="C10" s="401">
        <f>C12+C13+C18</f>
        <v>107710</v>
      </c>
      <c r="D10" s="401">
        <f t="shared" ref="D10:E10" si="0">D12+D13+D18</f>
        <v>928353.54700000002</v>
      </c>
      <c r="E10" s="401">
        <f t="shared" si="0"/>
        <v>670049</v>
      </c>
      <c r="F10" s="401"/>
      <c r="G10" s="402">
        <f>C10/K10*100</f>
        <v>110.61815119491429</v>
      </c>
      <c r="H10" s="402">
        <f>D10/L10*100</f>
        <v>105.50234511321372</v>
      </c>
      <c r="I10" s="402">
        <f>E10/M10*100</f>
        <v>111.55472607825574</v>
      </c>
      <c r="K10" s="401">
        <f>K12+K13+K18</f>
        <v>97371</v>
      </c>
      <c r="L10" s="401">
        <f t="shared" ref="L10:M10" si="1">L12+L13+L18</f>
        <v>879936.40900000022</v>
      </c>
      <c r="M10" s="401">
        <f t="shared" si="1"/>
        <v>600646</v>
      </c>
      <c r="N10" s="401"/>
      <c r="O10" s="401"/>
      <c r="P10" s="401"/>
      <c r="Q10" s="401"/>
      <c r="R10" s="402"/>
      <c r="S10" s="402"/>
      <c r="T10" s="402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</row>
    <row r="11" spans="1:30" s="403" customFormat="1" ht="18" customHeight="1">
      <c r="A11" s="400" t="s">
        <v>418</v>
      </c>
      <c r="B11" s="400"/>
      <c r="C11" s="401"/>
      <c r="D11" s="401"/>
      <c r="E11" s="401"/>
      <c r="F11" s="401"/>
      <c r="G11" s="402"/>
      <c r="H11" s="402"/>
      <c r="I11" s="402"/>
      <c r="K11" s="401"/>
      <c r="L11" s="401"/>
      <c r="M11" s="401"/>
      <c r="N11" s="401"/>
      <c r="O11" s="401"/>
      <c r="P11" s="401"/>
      <c r="Q11" s="401"/>
      <c r="R11" s="402"/>
      <c r="S11" s="402"/>
      <c r="T11" s="402"/>
      <c r="U11" s="427"/>
      <c r="V11" s="427"/>
      <c r="W11" s="427"/>
      <c r="X11" s="427"/>
      <c r="Y11" s="427"/>
      <c r="Z11" s="427"/>
      <c r="AA11" s="427"/>
      <c r="AB11" s="427"/>
    </row>
    <row r="12" spans="1:30" s="409" customFormat="1" ht="18" customHeight="1">
      <c r="A12" s="404"/>
      <c r="B12" s="405" t="s">
        <v>419</v>
      </c>
      <c r="C12" s="406">
        <v>949</v>
      </c>
      <c r="D12" s="406">
        <v>13516.584999999999</v>
      </c>
      <c r="E12" s="406">
        <v>5423</v>
      </c>
      <c r="F12" s="406"/>
      <c r="G12" s="407">
        <f t="shared" ref="G12:I30" si="2">C12/K12*100</f>
        <v>100.74309978768579</v>
      </c>
      <c r="H12" s="407">
        <f t="shared" si="2"/>
        <v>107.63870445750361</v>
      </c>
      <c r="I12" s="407">
        <f t="shared" si="2"/>
        <v>86.601724688597898</v>
      </c>
      <c r="J12" s="408">
        <f>G12-100</f>
        <v>0.74309978768579299</v>
      </c>
      <c r="K12" s="406">
        <v>942</v>
      </c>
      <c r="L12" s="406">
        <v>12557.365</v>
      </c>
      <c r="M12" s="406">
        <v>6262</v>
      </c>
      <c r="N12" s="406"/>
      <c r="O12" s="406"/>
      <c r="P12" s="406"/>
      <c r="Q12" s="406"/>
      <c r="R12" s="407"/>
      <c r="S12" s="407"/>
      <c r="T12" s="407"/>
      <c r="U12" s="427"/>
      <c r="V12" s="427"/>
      <c r="W12" s="427"/>
      <c r="X12" s="427"/>
      <c r="Y12" s="427"/>
      <c r="Z12" s="427"/>
      <c r="AA12" s="427"/>
      <c r="AB12" s="427"/>
    </row>
    <row r="13" spans="1:30" s="409" customFormat="1" ht="18" customHeight="1">
      <c r="A13" s="404"/>
      <c r="B13" s="405" t="s">
        <v>420</v>
      </c>
      <c r="C13" s="406">
        <f>SUM(C14:C17)</f>
        <v>23586</v>
      </c>
      <c r="D13" s="406">
        <f t="shared" ref="D13:E13" si="3">SUM(D14:D17)</f>
        <v>324152.054</v>
      </c>
      <c r="E13" s="406">
        <f t="shared" si="3"/>
        <v>309593</v>
      </c>
      <c r="F13" s="406">
        <v>0</v>
      </c>
      <c r="G13" s="407">
        <f t="shared" si="2"/>
        <v>103.12172088142708</v>
      </c>
      <c r="H13" s="407">
        <f t="shared" si="2"/>
        <v>121.1703751251427</v>
      </c>
      <c r="I13" s="407">
        <f t="shared" si="2"/>
        <v>107.5580708593028</v>
      </c>
      <c r="J13" s="408">
        <f t="shared" ref="J13:J30" si="4">G13-100</f>
        <v>3.1217208814270805</v>
      </c>
      <c r="K13" s="406">
        <f>SUM(K14:K17)</f>
        <v>22872</v>
      </c>
      <c r="L13" s="406">
        <f t="shared" ref="L13:M13" si="5">SUM(L14:L17)</f>
        <v>267517.57900000003</v>
      </c>
      <c r="M13" s="406">
        <f t="shared" si="5"/>
        <v>287838</v>
      </c>
      <c r="N13" s="406"/>
      <c r="O13" s="406"/>
      <c r="P13" s="406"/>
      <c r="Q13" s="406"/>
      <c r="R13" s="407"/>
      <c r="S13" s="407"/>
      <c r="T13" s="407"/>
      <c r="U13" s="427"/>
      <c r="V13" s="427"/>
      <c r="W13" s="427"/>
      <c r="X13" s="427"/>
      <c r="Y13" s="427"/>
      <c r="Z13" s="427"/>
      <c r="AA13" s="427"/>
      <c r="AB13" s="427"/>
    </row>
    <row r="14" spans="1:30" s="360" customFormat="1" ht="18" customHeight="1">
      <c r="A14" s="410"/>
      <c r="B14" s="411" t="s">
        <v>33</v>
      </c>
      <c r="C14" s="412">
        <v>354</v>
      </c>
      <c r="D14" s="412">
        <v>11013.405000000001</v>
      </c>
      <c r="E14" s="412">
        <v>2123</v>
      </c>
      <c r="F14" s="412"/>
      <c r="G14" s="413">
        <f t="shared" si="2"/>
        <v>91.94805194805194</v>
      </c>
      <c r="H14" s="413">
        <f t="shared" si="2"/>
        <v>98.452080549487761</v>
      </c>
      <c r="I14" s="413">
        <f t="shared" si="2"/>
        <v>34.820403477119896</v>
      </c>
      <c r="J14" s="408">
        <f t="shared" si="4"/>
        <v>-8.0519480519480595</v>
      </c>
      <c r="K14" s="412">
        <v>385</v>
      </c>
      <c r="L14" s="412">
        <v>11186.564</v>
      </c>
      <c r="M14" s="412">
        <v>6097</v>
      </c>
      <c r="N14" s="412"/>
      <c r="O14" s="412"/>
      <c r="P14" s="412"/>
      <c r="Q14" s="412"/>
      <c r="R14" s="413"/>
      <c r="S14" s="413"/>
      <c r="T14" s="413"/>
      <c r="U14" s="427"/>
      <c r="V14" s="427"/>
      <c r="W14" s="427"/>
      <c r="X14" s="427"/>
      <c r="Y14" s="427"/>
      <c r="Z14" s="427"/>
      <c r="AA14" s="427"/>
      <c r="AB14" s="427"/>
    </row>
    <row r="15" spans="1:30" s="360" customFormat="1" ht="18" customHeight="1">
      <c r="A15" s="410"/>
      <c r="B15" s="411" t="s">
        <v>39</v>
      </c>
      <c r="C15" s="412">
        <v>14264</v>
      </c>
      <c r="D15" s="412">
        <v>122688.40300000001</v>
      </c>
      <c r="E15" s="412">
        <v>265457</v>
      </c>
      <c r="F15" s="412"/>
      <c r="G15" s="413">
        <f t="shared" si="2"/>
        <v>119.6042260607077</v>
      </c>
      <c r="H15" s="413">
        <f t="shared" si="2"/>
        <v>98.970642710119122</v>
      </c>
      <c r="I15" s="413">
        <f t="shared" si="2"/>
        <v>113.88800700170751</v>
      </c>
      <c r="J15" s="408">
        <f t="shared" si="4"/>
        <v>19.604226060707703</v>
      </c>
      <c r="K15" s="412">
        <v>11926</v>
      </c>
      <c r="L15" s="412">
        <v>123964.44</v>
      </c>
      <c r="M15" s="412">
        <v>233086</v>
      </c>
      <c r="N15" s="412"/>
      <c r="O15" s="412"/>
      <c r="P15" s="412"/>
      <c r="Q15" s="412"/>
      <c r="R15" s="413"/>
      <c r="S15" s="413"/>
      <c r="T15" s="413"/>
      <c r="U15" s="427"/>
      <c r="V15" s="427"/>
      <c r="W15" s="427"/>
      <c r="X15" s="427"/>
      <c r="Y15" s="427"/>
      <c r="Z15" s="427"/>
      <c r="AA15" s="427"/>
      <c r="AB15" s="427"/>
    </row>
    <row r="16" spans="1:30" s="360" customFormat="1" ht="18" customHeight="1">
      <c r="A16" s="410"/>
      <c r="B16" s="411" t="s">
        <v>421</v>
      </c>
      <c r="C16" s="412">
        <v>775</v>
      </c>
      <c r="D16" s="412">
        <v>31230.373</v>
      </c>
      <c r="E16" s="412">
        <v>4496</v>
      </c>
      <c r="F16" s="412"/>
      <c r="G16" s="413">
        <f t="shared" si="2"/>
        <v>109.4632768361582</v>
      </c>
      <c r="H16" s="413">
        <f t="shared" si="2"/>
        <v>219.89918837537914</v>
      </c>
      <c r="I16" s="413">
        <f t="shared" si="2"/>
        <v>90.010010010010006</v>
      </c>
      <c r="J16" s="408">
        <f t="shared" si="4"/>
        <v>9.4632768361582009</v>
      </c>
      <c r="K16" s="412">
        <v>708</v>
      </c>
      <c r="L16" s="412">
        <v>14202.132</v>
      </c>
      <c r="M16" s="412">
        <v>4995</v>
      </c>
      <c r="N16" s="412"/>
      <c r="O16" s="412"/>
      <c r="P16" s="412"/>
      <c r="Q16" s="412"/>
      <c r="R16" s="413"/>
      <c r="S16" s="413"/>
      <c r="T16" s="413"/>
      <c r="U16" s="427"/>
      <c r="V16" s="427"/>
      <c r="W16" s="427"/>
      <c r="X16" s="427"/>
      <c r="Y16" s="427"/>
      <c r="Z16" s="427"/>
      <c r="AA16" s="427"/>
      <c r="AB16" s="427"/>
    </row>
    <row r="17" spans="1:28" s="360" customFormat="1" ht="18" customHeight="1">
      <c r="A17" s="410"/>
      <c r="B17" s="411" t="s">
        <v>422</v>
      </c>
      <c r="C17" s="412">
        <v>8193</v>
      </c>
      <c r="D17" s="412">
        <v>159219.87299999999</v>
      </c>
      <c r="E17" s="412">
        <v>37517</v>
      </c>
      <c r="F17" s="412"/>
      <c r="G17" s="413">
        <f t="shared" si="2"/>
        <v>83.152339389018564</v>
      </c>
      <c r="H17" s="413">
        <f t="shared" si="2"/>
        <v>134.74431813637878</v>
      </c>
      <c r="I17" s="413">
        <f t="shared" si="2"/>
        <v>85.929912963811276</v>
      </c>
      <c r="J17" s="408">
        <f t="shared" si="4"/>
        <v>-16.847660610981436</v>
      </c>
      <c r="K17" s="412">
        <v>9853</v>
      </c>
      <c r="L17" s="412">
        <v>118164.443</v>
      </c>
      <c r="M17" s="412">
        <v>43660</v>
      </c>
      <c r="N17" s="412"/>
      <c r="O17" s="412"/>
      <c r="P17" s="412"/>
      <c r="Q17" s="412"/>
      <c r="R17" s="413"/>
      <c r="S17" s="413"/>
      <c r="T17" s="413"/>
      <c r="U17" s="427"/>
      <c r="V17" s="427"/>
      <c r="W17" s="427"/>
      <c r="X17" s="427"/>
      <c r="Y17" s="427"/>
      <c r="Z17" s="427"/>
      <c r="AA17" s="427"/>
      <c r="AB17" s="427"/>
    </row>
    <row r="18" spans="1:28" s="361" customFormat="1" ht="18" customHeight="1">
      <c r="A18" s="414"/>
      <c r="B18" s="405" t="s">
        <v>423</v>
      </c>
      <c r="C18" s="406">
        <f>SUM(C19:C30)</f>
        <v>83175</v>
      </c>
      <c r="D18" s="406">
        <f t="shared" ref="D18:E18" si="6">SUM(D19:D30)</f>
        <v>590684.90800000005</v>
      </c>
      <c r="E18" s="406">
        <f t="shared" si="6"/>
        <v>355033</v>
      </c>
      <c r="F18" s="406"/>
      <c r="G18" s="407">
        <f t="shared" si="2"/>
        <v>113.07557404461845</v>
      </c>
      <c r="H18" s="407">
        <f t="shared" si="2"/>
        <v>98.47022062002263</v>
      </c>
      <c r="I18" s="407">
        <f t="shared" si="2"/>
        <v>115.81720198599884</v>
      </c>
      <c r="J18" s="408">
        <f t="shared" si="4"/>
        <v>13.075574044618449</v>
      </c>
      <c r="K18" s="406">
        <f>SUM(K19:K30)</f>
        <v>73557</v>
      </c>
      <c r="L18" s="406">
        <f t="shared" ref="L18:M18" si="7">SUM(L19:L30)</f>
        <v>599861.4650000002</v>
      </c>
      <c r="M18" s="406">
        <f t="shared" si="7"/>
        <v>306546</v>
      </c>
      <c r="N18" s="406"/>
      <c r="O18" s="406"/>
      <c r="P18" s="406"/>
      <c r="Q18" s="406"/>
      <c r="R18" s="407"/>
      <c r="S18" s="407"/>
      <c r="T18" s="407"/>
      <c r="U18" s="427"/>
      <c r="V18" s="427"/>
      <c r="W18" s="427"/>
      <c r="X18" s="427"/>
      <c r="Y18" s="427"/>
      <c r="Z18" s="427"/>
      <c r="AA18" s="427"/>
      <c r="AB18" s="427"/>
    </row>
    <row r="19" spans="1:28" s="360" customFormat="1" ht="18" customHeight="1">
      <c r="A19" s="410"/>
      <c r="B19" s="411" t="s">
        <v>424</v>
      </c>
      <c r="C19" s="428">
        <v>46304</v>
      </c>
      <c r="D19" s="428">
        <v>171726</v>
      </c>
      <c r="E19" s="428">
        <v>174659</v>
      </c>
      <c r="F19" s="428"/>
      <c r="G19" s="429">
        <f t="shared" si="2"/>
        <v>116.76417187815211</v>
      </c>
      <c r="H19" s="429">
        <f t="shared" si="2"/>
        <v>67.89611190321132</v>
      </c>
      <c r="I19" s="429">
        <f t="shared" si="2"/>
        <v>116.26570987325593</v>
      </c>
      <c r="J19" s="430">
        <f t="shared" si="4"/>
        <v>16.764171878152112</v>
      </c>
      <c r="K19" s="428">
        <v>39656</v>
      </c>
      <c r="L19" s="428">
        <v>252924.64500000002</v>
      </c>
      <c r="M19" s="428">
        <v>150224</v>
      </c>
      <c r="N19" s="428"/>
      <c r="O19" s="412"/>
      <c r="P19" s="412"/>
      <c r="Q19" s="412"/>
      <c r="R19" s="413"/>
      <c r="S19" s="413"/>
      <c r="T19" s="413"/>
      <c r="U19" s="427"/>
      <c r="V19" s="427"/>
      <c r="W19" s="427"/>
      <c r="X19" s="427"/>
      <c r="Y19" s="427"/>
      <c r="Z19" s="427"/>
      <c r="AA19" s="427"/>
      <c r="AB19" s="427"/>
    </row>
    <row r="20" spans="1:28" s="360" customFormat="1" ht="18" customHeight="1">
      <c r="A20" s="410"/>
      <c r="B20" s="411" t="s">
        <v>425</v>
      </c>
      <c r="C20" s="428">
        <v>5904</v>
      </c>
      <c r="D20" s="428">
        <v>37288.648999999998</v>
      </c>
      <c r="E20" s="428">
        <v>29973</v>
      </c>
      <c r="F20" s="428"/>
      <c r="G20" s="429">
        <f t="shared" si="2"/>
        <v>113.66961879091259</v>
      </c>
      <c r="H20" s="429">
        <f t="shared" si="2"/>
        <v>126.97523276911926</v>
      </c>
      <c r="I20" s="429">
        <f t="shared" si="2"/>
        <v>128.00222070379229</v>
      </c>
      <c r="J20" s="430">
        <f t="shared" si="4"/>
        <v>13.669618790912594</v>
      </c>
      <c r="K20" s="428">
        <v>5194</v>
      </c>
      <c r="L20" s="428">
        <v>29366.867999999999</v>
      </c>
      <c r="M20" s="428">
        <v>23416</v>
      </c>
      <c r="N20" s="428"/>
      <c r="O20" s="412"/>
      <c r="P20" s="412"/>
      <c r="Q20" s="412"/>
      <c r="R20" s="413"/>
      <c r="S20" s="413"/>
      <c r="T20" s="413"/>
      <c r="U20" s="427"/>
      <c r="V20" s="427"/>
      <c r="W20" s="427"/>
      <c r="X20" s="427"/>
      <c r="Y20" s="427"/>
      <c r="Z20" s="427"/>
      <c r="AA20" s="427"/>
      <c r="AB20" s="427"/>
    </row>
    <row r="21" spans="1:28" s="360" customFormat="1" ht="18" customHeight="1">
      <c r="A21" s="410"/>
      <c r="B21" s="411" t="s">
        <v>426</v>
      </c>
      <c r="C21" s="428">
        <v>3822</v>
      </c>
      <c r="D21" s="428">
        <v>19775.010999999999</v>
      </c>
      <c r="E21" s="428">
        <v>17611</v>
      </c>
      <c r="F21" s="428"/>
      <c r="G21" s="429">
        <f t="shared" si="2"/>
        <v>105.96063210424175</v>
      </c>
      <c r="H21" s="429">
        <f t="shared" si="2"/>
        <v>124.43119402408431</v>
      </c>
      <c r="I21" s="429">
        <f t="shared" si="2"/>
        <v>113.26858759969127</v>
      </c>
      <c r="J21" s="430">
        <f t="shared" si="4"/>
        <v>5.9606321042417534</v>
      </c>
      <c r="K21" s="428">
        <v>3607</v>
      </c>
      <c r="L21" s="428">
        <v>15892.326000000001</v>
      </c>
      <c r="M21" s="428">
        <v>15548</v>
      </c>
      <c r="N21" s="428"/>
      <c r="O21" s="412"/>
      <c r="P21" s="412"/>
      <c r="Q21" s="412"/>
      <c r="R21" s="413"/>
      <c r="S21" s="413"/>
      <c r="T21" s="413"/>
      <c r="U21" s="427"/>
      <c r="V21" s="427"/>
      <c r="W21" s="427"/>
      <c r="X21" s="427"/>
      <c r="Y21" s="427"/>
      <c r="Z21" s="427"/>
      <c r="AA21" s="427"/>
      <c r="AB21" s="427"/>
    </row>
    <row r="22" spans="1:28" s="360" customFormat="1" ht="18" customHeight="1">
      <c r="A22" s="410"/>
      <c r="B22" s="411" t="s">
        <v>427</v>
      </c>
      <c r="C22" s="428">
        <v>2889</v>
      </c>
      <c r="D22" s="428">
        <v>30877</v>
      </c>
      <c r="E22" s="428">
        <v>13754</v>
      </c>
      <c r="F22" s="428"/>
      <c r="G22" s="429">
        <f t="shared" si="2"/>
        <v>95.315077532167606</v>
      </c>
      <c r="H22" s="429">
        <f t="shared" si="2"/>
        <v>293.34030020900627</v>
      </c>
      <c r="I22" s="429">
        <f t="shared" si="2"/>
        <v>99.978192919968009</v>
      </c>
      <c r="J22" s="430">
        <f t="shared" si="4"/>
        <v>-4.6849224678323935</v>
      </c>
      <c r="K22" s="428">
        <v>3031</v>
      </c>
      <c r="L22" s="428">
        <v>10526</v>
      </c>
      <c r="M22" s="428">
        <v>13757</v>
      </c>
      <c r="N22" s="428"/>
      <c r="O22" s="412"/>
      <c r="P22" s="412"/>
      <c r="Q22" s="412"/>
      <c r="R22" s="413"/>
      <c r="S22" s="413"/>
      <c r="T22" s="413"/>
      <c r="U22" s="427"/>
      <c r="V22" s="427"/>
      <c r="W22" s="427"/>
      <c r="X22" s="427"/>
      <c r="Y22" s="427"/>
      <c r="Z22" s="427"/>
      <c r="AA22" s="427"/>
      <c r="AB22" s="427"/>
    </row>
    <row r="23" spans="1:28" s="360" customFormat="1" ht="18" customHeight="1">
      <c r="A23" s="410"/>
      <c r="B23" s="411" t="s">
        <v>428</v>
      </c>
      <c r="C23" s="428">
        <v>725</v>
      </c>
      <c r="D23" s="428">
        <v>25335</v>
      </c>
      <c r="E23" s="428">
        <v>2888</v>
      </c>
      <c r="F23" s="428"/>
      <c r="G23" s="429">
        <f t="shared" si="2"/>
        <v>95.39473684210526</v>
      </c>
      <c r="H23" s="429">
        <f t="shared" si="2"/>
        <v>181.59530345159379</v>
      </c>
      <c r="I23" s="429">
        <f t="shared" si="2"/>
        <v>93.493039818711551</v>
      </c>
      <c r="J23" s="430">
        <f t="shared" si="4"/>
        <v>-4.6052631578947398</v>
      </c>
      <c r="K23" s="428">
        <v>760</v>
      </c>
      <c r="L23" s="428">
        <v>13951.352000000001</v>
      </c>
      <c r="M23" s="428">
        <v>3089</v>
      </c>
      <c r="N23" s="428"/>
      <c r="O23" s="412"/>
      <c r="P23" s="412"/>
      <c r="Q23" s="412"/>
      <c r="R23" s="413"/>
      <c r="S23" s="413"/>
      <c r="T23" s="413"/>
      <c r="U23" s="427"/>
      <c r="V23" s="427"/>
      <c r="W23" s="427"/>
      <c r="X23" s="427"/>
      <c r="Y23" s="427"/>
      <c r="Z23" s="427"/>
      <c r="AA23" s="427"/>
      <c r="AB23" s="427"/>
    </row>
    <row r="24" spans="1:28" s="360" customFormat="1" ht="18" customHeight="1">
      <c r="A24" s="410"/>
      <c r="B24" s="411" t="s">
        <v>429</v>
      </c>
      <c r="C24" s="428">
        <v>2962</v>
      </c>
      <c r="D24" s="428">
        <v>225908.57199999999</v>
      </c>
      <c r="E24" s="428">
        <v>17087</v>
      </c>
      <c r="F24" s="428"/>
      <c r="G24" s="429">
        <f t="shared" si="2"/>
        <v>107.16353111432706</v>
      </c>
      <c r="H24" s="429">
        <f t="shared" si="2"/>
        <v>119.87985999731094</v>
      </c>
      <c r="I24" s="429">
        <f t="shared" si="2"/>
        <v>104.55240775867345</v>
      </c>
      <c r="J24" s="430">
        <f t="shared" si="4"/>
        <v>7.163531114327057</v>
      </c>
      <c r="K24" s="428">
        <v>2764</v>
      </c>
      <c r="L24" s="428">
        <v>188445.80900000001</v>
      </c>
      <c r="M24" s="428">
        <v>16343</v>
      </c>
      <c r="N24" s="428"/>
      <c r="O24" s="412"/>
      <c r="P24" s="412"/>
      <c r="Q24" s="412"/>
      <c r="R24" s="413"/>
      <c r="S24" s="413"/>
      <c r="T24" s="413"/>
      <c r="U24" s="427"/>
      <c r="V24" s="427"/>
      <c r="W24" s="427"/>
      <c r="X24" s="427"/>
      <c r="Y24" s="427"/>
      <c r="Z24" s="427"/>
      <c r="AA24" s="427"/>
      <c r="AB24" s="427"/>
    </row>
    <row r="25" spans="1:28" s="360" customFormat="1" ht="30" customHeight="1">
      <c r="A25" s="410"/>
      <c r="B25" s="411" t="s">
        <v>430</v>
      </c>
      <c r="C25" s="428">
        <v>6740</v>
      </c>
      <c r="D25" s="428">
        <v>33085.800000000003</v>
      </c>
      <c r="E25" s="428">
        <v>27819</v>
      </c>
      <c r="F25" s="428"/>
      <c r="G25" s="429">
        <f t="shared" si="2"/>
        <v>88.812755303729091</v>
      </c>
      <c r="H25" s="429">
        <f t="shared" si="2"/>
        <v>86.607187801332913</v>
      </c>
      <c r="I25" s="429">
        <f t="shared" si="2"/>
        <v>78.544807724885658</v>
      </c>
      <c r="J25" s="430">
        <f t="shared" si="4"/>
        <v>-11.187244696270909</v>
      </c>
      <c r="K25" s="428">
        <v>7589</v>
      </c>
      <c r="L25" s="428">
        <v>38202.141000000003</v>
      </c>
      <c r="M25" s="428">
        <v>35418</v>
      </c>
      <c r="N25" s="428"/>
      <c r="O25" s="412"/>
      <c r="P25" s="412"/>
      <c r="Q25" s="412"/>
      <c r="R25" s="413"/>
      <c r="S25" s="413"/>
      <c r="T25" s="413"/>
      <c r="U25" s="427"/>
      <c r="V25" s="427"/>
      <c r="W25" s="427"/>
      <c r="X25" s="427"/>
      <c r="Y25" s="427"/>
      <c r="Z25" s="427"/>
      <c r="AA25" s="427"/>
      <c r="AB25" s="427"/>
    </row>
    <row r="26" spans="1:28" s="360" customFormat="1" ht="18" customHeight="1">
      <c r="A26" s="410"/>
      <c r="B26" s="411" t="s">
        <v>431</v>
      </c>
      <c r="C26" s="428">
        <v>6485</v>
      </c>
      <c r="D26" s="428">
        <v>14569.755999999999</v>
      </c>
      <c r="E26" s="428">
        <v>28380</v>
      </c>
      <c r="F26" s="428"/>
      <c r="G26" s="429">
        <f t="shared" si="2"/>
        <v>209.73479948253561</v>
      </c>
      <c r="H26" s="429">
        <f t="shared" si="2"/>
        <v>143.19526569063586</v>
      </c>
      <c r="I26" s="429">
        <f t="shared" si="2"/>
        <v>206.97199533255542</v>
      </c>
      <c r="J26" s="430">
        <f t="shared" si="4"/>
        <v>109.73479948253561</v>
      </c>
      <c r="K26" s="428">
        <v>3092</v>
      </c>
      <c r="L26" s="428">
        <v>10174.746999999999</v>
      </c>
      <c r="M26" s="428">
        <v>13712</v>
      </c>
      <c r="N26" s="428"/>
      <c r="O26" s="412"/>
      <c r="P26" s="412"/>
      <c r="Q26" s="412"/>
      <c r="R26" s="413"/>
      <c r="S26" s="413"/>
      <c r="T26" s="413"/>
      <c r="U26" s="427"/>
      <c r="V26" s="427"/>
      <c r="W26" s="427"/>
      <c r="X26" s="427"/>
      <c r="Y26" s="427"/>
      <c r="Z26" s="427"/>
      <c r="AA26" s="427"/>
      <c r="AB26" s="427"/>
    </row>
    <row r="27" spans="1:28" s="360" customFormat="1" ht="18" customHeight="1">
      <c r="A27" s="410"/>
      <c r="B27" s="411" t="s">
        <v>432</v>
      </c>
      <c r="C27" s="428">
        <v>1085</v>
      </c>
      <c r="D27" s="428">
        <v>7605.3059999999996</v>
      </c>
      <c r="E27" s="428">
        <v>6686</v>
      </c>
      <c r="F27" s="428"/>
      <c r="G27" s="429">
        <f t="shared" si="2"/>
        <v>124.14187643020595</v>
      </c>
      <c r="H27" s="429">
        <f t="shared" si="2"/>
        <v>124.57746514633126</v>
      </c>
      <c r="I27" s="429">
        <f t="shared" si="2"/>
        <v>133.85385385385385</v>
      </c>
      <c r="J27" s="430">
        <f t="shared" si="4"/>
        <v>24.141876430205954</v>
      </c>
      <c r="K27" s="428">
        <v>874</v>
      </c>
      <c r="L27" s="428">
        <v>6104.8810000000003</v>
      </c>
      <c r="M27" s="428">
        <v>4995</v>
      </c>
      <c r="N27" s="428"/>
      <c r="O27" s="412"/>
      <c r="P27" s="412"/>
      <c r="Q27" s="412"/>
      <c r="R27" s="413"/>
      <c r="S27" s="413"/>
      <c r="T27" s="413"/>
      <c r="U27" s="427"/>
      <c r="V27" s="427"/>
      <c r="W27" s="427"/>
      <c r="X27" s="427"/>
      <c r="Y27" s="427"/>
      <c r="Z27" s="427"/>
      <c r="AA27" s="427"/>
      <c r="AB27" s="427"/>
    </row>
    <row r="28" spans="1:28" s="360" customFormat="1" ht="18" customHeight="1">
      <c r="A28" s="410"/>
      <c r="B28" s="411" t="s">
        <v>433</v>
      </c>
      <c r="C28" s="428">
        <v>785</v>
      </c>
      <c r="D28" s="428">
        <v>3716.777</v>
      </c>
      <c r="E28" s="428">
        <v>3063</v>
      </c>
      <c r="F28" s="428"/>
      <c r="G28" s="429">
        <f t="shared" si="2"/>
        <v>99.745870393900887</v>
      </c>
      <c r="H28" s="429">
        <f t="shared" si="2"/>
        <v>69.125097523938123</v>
      </c>
      <c r="I28" s="429">
        <f t="shared" si="2"/>
        <v>88.449321397632104</v>
      </c>
      <c r="J28" s="430">
        <f t="shared" si="4"/>
        <v>-0.25412960609911295</v>
      </c>
      <c r="K28" s="428">
        <v>787</v>
      </c>
      <c r="L28" s="428">
        <v>5376.8850000000002</v>
      </c>
      <c r="M28" s="428">
        <v>3463</v>
      </c>
      <c r="N28" s="428"/>
      <c r="O28" s="412"/>
      <c r="P28" s="412"/>
      <c r="Q28" s="412"/>
      <c r="R28" s="413"/>
      <c r="S28" s="413"/>
      <c r="T28" s="413"/>
      <c r="U28" s="427"/>
      <c r="V28" s="427"/>
      <c r="W28" s="427"/>
      <c r="X28" s="427"/>
      <c r="Y28" s="427"/>
      <c r="Z28" s="427"/>
      <c r="AA28" s="427"/>
      <c r="AB28" s="427"/>
    </row>
    <row r="29" spans="1:28" ht="30" customHeight="1">
      <c r="A29" s="410"/>
      <c r="B29" s="411" t="s">
        <v>434</v>
      </c>
      <c r="C29" s="412">
        <v>4597</v>
      </c>
      <c r="D29" s="412">
        <v>18693.075000000001</v>
      </c>
      <c r="E29" s="412">
        <v>30048</v>
      </c>
      <c r="F29" s="412"/>
      <c r="G29" s="413">
        <f t="shared" si="2"/>
        <v>87.964026023727513</v>
      </c>
      <c r="H29" s="413">
        <f t="shared" si="2"/>
        <v>70.928322537293937</v>
      </c>
      <c r="I29" s="413">
        <f t="shared" si="2"/>
        <v>129.13318148609739</v>
      </c>
      <c r="J29" s="408">
        <f t="shared" si="4"/>
        <v>-12.035973976272487</v>
      </c>
      <c r="K29" s="412">
        <v>5226</v>
      </c>
      <c r="L29" s="412">
        <v>26354.881000000001</v>
      </c>
      <c r="M29" s="412">
        <v>23269</v>
      </c>
      <c r="N29" s="412"/>
      <c r="O29" s="412"/>
      <c r="P29" s="412"/>
      <c r="Q29" s="412"/>
      <c r="R29" s="413"/>
      <c r="S29" s="413"/>
      <c r="T29" s="413"/>
      <c r="U29" s="427"/>
      <c r="V29" s="427"/>
      <c r="W29" s="427"/>
      <c r="X29" s="427"/>
      <c r="Y29" s="427"/>
      <c r="Z29" s="427"/>
      <c r="AA29" s="427"/>
      <c r="AB29" s="427"/>
    </row>
    <row r="30" spans="1:28" ht="18" customHeight="1">
      <c r="A30" s="410"/>
      <c r="B30" s="411" t="s">
        <v>435</v>
      </c>
      <c r="C30" s="412">
        <v>877</v>
      </c>
      <c r="D30" s="412">
        <v>2103.962</v>
      </c>
      <c r="E30" s="412">
        <v>3065</v>
      </c>
      <c r="F30" s="412"/>
      <c r="G30" s="413">
        <f t="shared" si="2"/>
        <v>89.764585465711363</v>
      </c>
      <c r="H30" s="413">
        <f t="shared" si="2"/>
        <v>82.802832033940334</v>
      </c>
      <c r="I30" s="413">
        <f t="shared" si="2"/>
        <v>92.542270531400959</v>
      </c>
      <c r="J30" s="408">
        <f t="shared" si="4"/>
        <v>-10.235414534288637</v>
      </c>
      <c r="K30" s="412">
        <v>977</v>
      </c>
      <c r="L30" s="412">
        <v>2540.9299999999998</v>
      </c>
      <c r="M30" s="412">
        <v>3312</v>
      </c>
      <c r="N30" s="412"/>
      <c r="O30" s="412"/>
      <c r="P30" s="412"/>
      <c r="Q30" s="412"/>
      <c r="R30" s="413"/>
      <c r="S30" s="413"/>
      <c r="T30" s="413"/>
      <c r="U30" s="427"/>
      <c r="V30" s="427"/>
      <c r="W30" s="427"/>
      <c r="X30" s="427"/>
      <c r="Y30" s="427"/>
      <c r="Z30" s="427"/>
      <c r="AA30" s="427"/>
      <c r="AB30" s="427"/>
    </row>
    <row r="31" spans="1:28" ht="18" customHeight="1">
      <c r="C31" s="401"/>
      <c r="D31" s="401"/>
      <c r="E31" s="401"/>
      <c r="F31" s="412"/>
      <c r="G31" s="413"/>
      <c r="H31" s="415"/>
      <c r="I31" s="415"/>
      <c r="K31" s="368"/>
      <c r="L31" s="412"/>
      <c r="M31" s="412"/>
      <c r="U31" s="427"/>
      <c r="V31" s="427"/>
      <c r="W31" s="427"/>
      <c r="X31" s="427"/>
      <c r="Y31" s="427"/>
      <c r="Z31" s="427"/>
      <c r="AA31" s="427"/>
      <c r="AB31" s="427"/>
    </row>
    <row r="32" spans="1:28" ht="20.100000000000001" customHeight="1">
      <c r="A32" s="368"/>
      <c r="B32" s="368"/>
      <c r="C32" s="368"/>
      <c r="D32" s="368"/>
      <c r="E32" s="368"/>
      <c r="F32" s="368"/>
      <c r="G32" s="368"/>
      <c r="K32" s="368"/>
      <c r="L32" s="368"/>
      <c r="M32" s="368"/>
      <c r="U32" s="427"/>
      <c r="V32" s="427"/>
      <c r="W32" s="427"/>
      <c r="X32" s="427"/>
      <c r="Y32" s="427"/>
      <c r="Z32" s="427"/>
      <c r="AA32" s="427"/>
      <c r="AB32" s="427"/>
    </row>
    <row r="33" spans="1:28" ht="20.100000000000001" customHeight="1">
      <c r="A33" s="368"/>
      <c r="B33" s="368"/>
      <c r="C33" s="368"/>
      <c r="D33" s="368"/>
      <c r="E33" s="368"/>
      <c r="F33" s="368"/>
      <c r="G33" s="368"/>
      <c r="K33" s="368"/>
      <c r="L33" s="368"/>
      <c r="M33" s="368"/>
      <c r="U33" s="427"/>
      <c r="V33" s="427"/>
      <c r="W33" s="427"/>
      <c r="X33" s="427"/>
      <c r="Y33" s="427"/>
      <c r="Z33" s="427"/>
      <c r="AA33" s="427"/>
      <c r="AB33" s="427"/>
    </row>
    <row r="34" spans="1:28" ht="20.100000000000001" customHeight="1">
      <c r="A34" s="368"/>
      <c r="B34" s="368"/>
      <c r="C34" s="368"/>
      <c r="D34" s="368"/>
      <c r="E34" s="368"/>
      <c r="F34" s="368"/>
      <c r="G34" s="368"/>
      <c r="K34" s="368"/>
      <c r="L34" s="368"/>
      <c r="M34" s="368"/>
      <c r="U34" s="427"/>
      <c r="V34" s="427"/>
      <c r="W34" s="427"/>
      <c r="X34" s="427"/>
      <c r="Y34" s="427"/>
      <c r="Z34" s="427"/>
      <c r="AA34" s="427"/>
      <c r="AB34" s="427"/>
    </row>
    <row r="35" spans="1:28" ht="20.100000000000001" customHeight="1">
      <c r="A35" s="368"/>
      <c r="B35" s="368"/>
      <c r="C35" s="368"/>
      <c r="D35" s="368"/>
      <c r="E35" s="368"/>
      <c r="F35" s="368"/>
      <c r="G35" s="368"/>
      <c r="K35" s="368"/>
      <c r="L35" s="368"/>
      <c r="M35" s="368"/>
      <c r="U35" s="427"/>
      <c r="V35" s="427"/>
      <c r="W35" s="427"/>
      <c r="X35" s="427"/>
      <c r="Y35" s="427"/>
      <c r="Z35" s="427"/>
      <c r="AA35" s="427"/>
      <c r="AB35" s="427"/>
    </row>
    <row r="36" spans="1:28" ht="20.100000000000001" customHeight="1">
      <c r="A36" s="368"/>
      <c r="B36" s="368"/>
      <c r="C36" s="368"/>
      <c r="D36" s="368"/>
      <c r="E36" s="368"/>
      <c r="F36" s="368"/>
      <c r="G36" s="368"/>
      <c r="K36" s="368"/>
      <c r="L36" s="368"/>
      <c r="M36" s="368"/>
      <c r="U36" s="427"/>
      <c r="V36" s="427"/>
      <c r="W36" s="427"/>
      <c r="X36" s="427"/>
      <c r="Y36" s="427"/>
      <c r="Z36" s="427"/>
      <c r="AA36" s="427"/>
      <c r="AB36" s="427"/>
    </row>
    <row r="37" spans="1:28" ht="20.100000000000001" customHeight="1">
      <c r="A37" s="368"/>
      <c r="B37" s="368"/>
      <c r="C37" s="368"/>
      <c r="D37" s="368"/>
      <c r="E37" s="368"/>
      <c r="F37" s="368"/>
      <c r="G37" s="368"/>
      <c r="K37" s="368"/>
      <c r="L37" s="368"/>
      <c r="M37" s="368"/>
      <c r="U37" s="427"/>
      <c r="V37" s="427"/>
      <c r="W37" s="427"/>
      <c r="X37" s="427"/>
      <c r="Y37" s="427"/>
      <c r="Z37" s="427"/>
      <c r="AA37" s="427"/>
      <c r="AB37" s="427"/>
    </row>
    <row r="38" spans="1:28" ht="20.100000000000001" customHeight="1">
      <c r="A38" s="368"/>
      <c r="B38" s="368"/>
      <c r="C38" s="368"/>
      <c r="D38" s="368"/>
      <c r="E38" s="368"/>
      <c r="F38" s="368"/>
      <c r="G38" s="368"/>
      <c r="K38" s="368"/>
      <c r="L38" s="368"/>
      <c r="M38" s="368"/>
      <c r="U38" s="427"/>
      <c r="V38" s="427"/>
      <c r="W38" s="427"/>
      <c r="X38" s="427"/>
      <c r="Y38" s="427"/>
      <c r="Z38" s="427"/>
      <c r="AA38" s="427"/>
      <c r="AB38" s="427"/>
    </row>
    <row r="39" spans="1:28" ht="20.100000000000001" customHeight="1">
      <c r="A39" s="368"/>
      <c r="B39" s="368"/>
      <c r="C39" s="368"/>
      <c r="D39" s="368"/>
      <c r="E39" s="368"/>
      <c r="F39" s="368"/>
      <c r="G39" s="368"/>
      <c r="K39" s="368"/>
      <c r="L39" s="368"/>
      <c r="M39" s="368"/>
      <c r="U39" s="427"/>
      <c r="V39" s="427"/>
      <c r="W39" s="427"/>
      <c r="X39" s="427"/>
      <c r="Y39" s="427"/>
      <c r="Z39" s="427"/>
      <c r="AA39" s="427"/>
      <c r="AB39" s="427"/>
    </row>
    <row r="40" spans="1:28" ht="20.100000000000001" customHeight="1">
      <c r="A40" s="368"/>
      <c r="B40" s="368"/>
      <c r="C40" s="368"/>
      <c r="D40" s="368"/>
      <c r="E40" s="368"/>
      <c r="F40" s="368"/>
      <c r="G40" s="368"/>
      <c r="K40" s="368"/>
      <c r="L40" s="368"/>
      <c r="M40" s="368"/>
      <c r="U40" s="427"/>
      <c r="V40" s="427"/>
      <c r="W40" s="427"/>
      <c r="X40" s="427"/>
      <c r="Y40" s="427"/>
      <c r="Z40" s="427"/>
      <c r="AA40" s="427"/>
      <c r="AB40" s="427"/>
    </row>
    <row r="41" spans="1:28" ht="20.100000000000001" customHeight="1">
      <c r="A41" s="368"/>
      <c r="B41" s="368"/>
      <c r="C41" s="368"/>
      <c r="D41" s="368"/>
      <c r="E41" s="368"/>
      <c r="F41" s="368"/>
      <c r="G41" s="368"/>
      <c r="K41" s="368"/>
      <c r="L41" s="368"/>
      <c r="M41" s="368"/>
      <c r="U41" s="427"/>
      <c r="V41" s="427"/>
      <c r="W41" s="427"/>
      <c r="X41" s="427"/>
      <c r="Y41" s="427"/>
      <c r="Z41" s="427"/>
      <c r="AA41" s="427"/>
      <c r="AB41" s="427"/>
    </row>
    <row r="42" spans="1:28" ht="20.100000000000001" customHeight="1">
      <c r="A42" s="368"/>
      <c r="B42" s="368"/>
      <c r="C42" s="368"/>
      <c r="D42" s="368"/>
      <c r="E42" s="368"/>
      <c r="F42" s="368"/>
      <c r="G42" s="368"/>
      <c r="K42" s="368"/>
      <c r="L42" s="368"/>
      <c r="M42" s="368"/>
      <c r="U42" s="427"/>
      <c r="V42" s="427"/>
      <c r="W42" s="427"/>
      <c r="X42" s="427"/>
      <c r="Y42" s="427"/>
      <c r="Z42" s="427"/>
      <c r="AA42" s="427"/>
      <c r="AB42" s="427"/>
    </row>
    <row r="43" spans="1:28" ht="20.100000000000001" customHeight="1">
      <c r="A43" s="368"/>
      <c r="B43" s="368"/>
      <c r="C43" s="368"/>
      <c r="D43" s="368"/>
      <c r="E43" s="368"/>
      <c r="F43" s="368"/>
      <c r="G43" s="368"/>
      <c r="K43" s="368"/>
      <c r="L43" s="368"/>
      <c r="M43" s="368"/>
      <c r="U43" s="427"/>
      <c r="V43" s="427"/>
      <c r="W43" s="427"/>
      <c r="X43" s="427"/>
      <c r="Y43" s="427"/>
      <c r="Z43" s="427"/>
      <c r="AA43" s="427"/>
      <c r="AB43" s="427"/>
    </row>
    <row r="44" spans="1:28" ht="20.100000000000001" customHeight="1">
      <c r="A44" s="368"/>
      <c r="B44" s="368"/>
      <c r="C44" s="368"/>
      <c r="D44" s="368"/>
      <c r="E44" s="368"/>
      <c r="F44" s="368"/>
      <c r="G44" s="368"/>
      <c r="K44" s="368"/>
      <c r="L44" s="368"/>
      <c r="M44" s="368"/>
      <c r="U44" s="427"/>
      <c r="V44" s="427"/>
      <c r="W44" s="427"/>
      <c r="X44" s="427"/>
      <c r="Y44" s="427"/>
      <c r="Z44" s="427"/>
      <c r="AA44" s="427"/>
      <c r="AB44" s="427"/>
    </row>
    <row r="45" spans="1:28" ht="20.100000000000001" customHeight="1">
      <c r="A45" s="368"/>
      <c r="B45" s="368"/>
      <c r="C45" s="368"/>
      <c r="D45" s="368"/>
      <c r="E45" s="368"/>
      <c r="F45" s="368"/>
      <c r="G45" s="368"/>
      <c r="K45" s="368"/>
      <c r="L45" s="368"/>
      <c r="M45" s="368"/>
      <c r="U45" s="427"/>
      <c r="V45" s="427"/>
      <c r="W45" s="427"/>
      <c r="X45" s="427"/>
      <c r="Y45" s="427"/>
      <c r="Z45" s="427"/>
      <c r="AA45" s="427"/>
      <c r="AB45" s="427"/>
    </row>
    <row r="46" spans="1:28" ht="20.100000000000001" customHeight="1">
      <c r="A46" s="368"/>
      <c r="B46" s="368"/>
      <c r="C46" s="368"/>
      <c r="D46" s="368"/>
      <c r="E46" s="368"/>
      <c r="F46" s="368"/>
      <c r="G46" s="368"/>
      <c r="K46" s="368"/>
      <c r="L46" s="368"/>
      <c r="M46" s="368"/>
      <c r="U46" s="427"/>
      <c r="V46" s="427"/>
      <c r="W46" s="427"/>
      <c r="X46" s="427"/>
      <c r="Y46" s="427"/>
      <c r="Z46" s="427"/>
      <c r="AA46" s="427"/>
      <c r="AB46" s="427"/>
    </row>
    <row r="47" spans="1:28" ht="20.100000000000001" customHeight="1">
      <c r="A47" s="368"/>
      <c r="B47" s="368"/>
      <c r="C47" s="368"/>
      <c r="D47" s="368"/>
      <c r="E47" s="368"/>
      <c r="F47" s="368"/>
      <c r="G47" s="368"/>
      <c r="K47" s="368"/>
      <c r="L47" s="368"/>
      <c r="M47" s="368"/>
      <c r="U47" s="427"/>
      <c r="V47" s="427"/>
      <c r="W47" s="427"/>
      <c r="X47" s="427"/>
      <c r="Y47" s="427"/>
      <c r="Z47" s="427"/>
      <c r="AA47" s="427"/>
      <c r="AB47" s="427"/>
    </row>
    <row r="48" spans="1:28" ht="20.100000000000001" customHeight="1">
      <c r="U48" s="427"/>
      <c r="V48" s="427"/>
      <c r="W48" s="427"/>
      <c r="X48" s="427"/>
      <c r="Y48" s="427"/>
      <c r="Z48" s="427"/>
      <c r="AA48" s="427"/>
      <c r="AB48" s="427"/>
    </row>
    <row r="49" spans="21:28" ht="20.100000000000001" customHeight="1">
      <c r="U49" s="427"/>
      <c r="V49" s="427"/>
      <c r="W49" s="427"/>
      <c r="X49" s="427"/>
      <c r="Y49" s="427"/>
      <c r="Z49" s="427"/>
      <c r="AA49" s="427"/>
      <c r="AB49" s="427"/>
    </row>
    <row r="50" spans="21:28" ht="20.100000000000001" customHeight="1">
      <c r="U50" s="427"/>
      <c r="V50" s="427"/>
      <c r="W50" s="427"/>
      <c r="X50" s="427"/>
      <c r="Y50" s="427"/>
      <c r="Z50" s="427"/>
      <c r="AA50" s="427"/>
      <c r="AB50" s="427"/>
    </row>
    <row r="51" spans="21:28" ht="20.100000000000001" customHeight="1">
      <c r="U51" s="427"/>
      <c r="V51" s="427"/>
      <c r="W51" s="427"/>
      <c r="X51" s="427"/>
      <c r="Y51" s="427"/>
      <c r="Z51" s="427"/>
      <c r="AA51" s="427"/>
      <c r="AB51" s="427"/>
    </row>
    <row r="52" spans="21:28" ht="20.100000000000001" customHeight="1">
      <c r="U52" s="427"/>
      <c r="V52" s="427"/>
      <c r="W52" s="427"/>
      <c r="X52" s="427"/>
      <c r="Y52" s="427"/>
      <c r="Z52" s="427"/>
      <c r="AA52" s="427"/>
      <c r="AB52" s="427"/>
    </row>
    <row r="53" spans="21:28" ht="20.100000000000001" customHeight="1">
      <c r="U53" s="427"/>
      <c r="V53" s="427"/>
      <c r="W53" s="427"/>
      <c r="X53" s="427"/>
      <c r="Y53" s="427"/>
      <c r="Z53" s="427"/>
      <c r="AA53" s="427"/>
      <c r="AB53" s="427"/>
    </row>
    <row r="54" spans="21:28" ht="20.100000000000001" customHeight="1">
      <c r="U54" s="427"/>
      <c r="V54" s="427"/>
      <c r="W54" s="427"/>
      <c r="X54" s="427"/>
      <c r="Y54" s="427"/>
      <c r="Z54" s="427"/>
      <c r="AA54" s="427"/>
      <c r="AB54" s="427"/>
    </row>
    <row r="55" spans="21:28" ht="20.100000000000001" customHeight="1"/>
    <row r="56" spans="21:28" ht="20.100000000000001" customHeight="1"/>
    <row r="57" spans="21:28" ht="20.100000000000001" customHeight="1"/>
    <row r="58" spans="21:28" ht="20.100000000000001" customHeight="1"/>
    <row r="59" spans="21:28" ht="20.100000000000001" customHeight="1"/>
    <row r="60" spans="21:28" ht="20.100000000000001" customHeight="1"/>
    <row r="61" spans="21:28" ht="20.100000000000001" customHeight="1"/>
    <row r="62" spans="21:28" ht="20.100000000000001" customHeight="1"/>
    <row r="63" spans="21:28" ht="20.100000000000001" customHeight="1"/>
    <row r="64" spans="21:28" ht="20.100000000000001" customHeight="1"/>
    <row r="65" ht="20.100000000000001" customHeight="1"/>
    <row r="66" ht="20.100000000000001" customHeight="1"/>
    <row r="67" ht="20.100000000000001" customHeight="1"/>
  </sheetData>
  <mergeCells count="4">
    <mergeCell ref="C4:E5"/>
    <mergeCell ref="G4:I4"/>
    <mergeCell ref="K4:M5"/>
    <mergeCell ref="G5:I5"/>
  </mergeCells>
  <pageMargins left="0.78740157480314998" right="0.47244094488188998" top="0.74803149606299202" bottom="0.511811023622047" header="0.43307086614173201" footer="0.23622047244094499"/>
  <pageSetup paperSize="9" scale="99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205C-DE3A-4820-9C79-67E43E68E1A4}">
  <sheetPr>
    <pageSetUpPr fitToPage="1"/>
  </sheetPr>
  <dimension ref="A1:G73"/>
  <sheetViews>
    <sheetView workbookViewId="0">
      <selection activeCell="F11" sqref="F11"/>
    </sheetView>
  </sheetViews>
  <sheetFormatPr defaultColWidth="8.7109375" defaultRowHeight="12.75"/>
  <cols>
    <col min="1" max="1" width="49.28515625" style="358" customWidth="1"/>
    <col min="2" max="2" width="9.7109375" style="358" customWidth="1"/>
    <col min="3" max="3" width="9.28515625" style="358" customWidth="1"/>
    <col min="4" max="4" width="20.7109375" style="358" customWidth="1"/>
    <col min="5" max="16384" width="8.7109375" style="358"/>
  </cols>
  <sheetData>
    <row r="1" spans="1:7" s="356" customFormat="1" ht="20.100000000000001" customHeight="1">
      <c r="A1" s="355" t="s">
        <v>436</v>
      </c>
      <c r="B1" s="392"/>
      <c r="C1" s="392"/>
    </row>
    <row r="2" spans="1:7" ht="20.100000000000001" customHeight="1">
      <c r="A2" s="368"/>
      <c r="B2" s="368"/>
      <c r="C2" s="368"/>
    </row>
    <row r="3" spans="1:7" s="360" customFormat="1" ht="20.100000000000001" customHeight="1">
      <c r="A3" s="359"/>
      <c r="B3" s="393"/>
      <c r="C3" s="393"/>
      <c r="D3" s="416" t="s">
        <v>437</v>
      </c>
    </row>
    <row r="4" spans="1:7" s="360" customFormat="1" ht="15.95" customHeight="1">
      <c r="A4" s="394"/>
      <c r="B4" s="395" t="s">
        <v>24</v>
      </c>
      <c r="C4" s="395" t="s">
        <v>24</v>
      </c>
      <c r="D4" s="395" t="s">
        <v>405</v>
      </c>
    </row>
    <row r="5" spans="1:7" s="360" customFormat="1" ht="15.95" customHeight="1">
      <c r="A5" s="397"/>
      <c r="B5" s="398" t="s">
        <v>368</v>
      </c>
      <c r="C5" s="398" t="s">
        <v>25</v>
      </c>
      <c r="D5" s="398" t="s">
        <v>438</v>
      </c>
    </row>
    <row r="6" spans="1:7" s="360" customFormat="1" ht="20.100000000000001" customHeight="1">
      <c r="A6" s="431"/>
      <c r="B6" s="65"/>
      <c r="C6" s="65"/>
      <c r="D6" s="65"/>
      <c r="E6" s="432"/>
      <c r="F6" s="432"/>
      <c r="G6" s="432"/>
    </row>
    <row r="7" spans="1:7" s="403" customFormat="1" ht="20.100000000000001" customHeight="1">
      <c r="A7" s="417" t="s">
        <v>184</v>
      </c>
      <c r="B7" s="433">
        <v>44273</v>
      </c>
      <c r="C7" s="433">
        <f>C8+C9+C14</f>
        <v>66337</v>
      </c>
      <c r="D7" s="434">
        <f>C7/B7*100</f>
        <v>149.83624330856279</v>
      </c>
      <c r="E7" s="435"/>
      <c r="F7" s="435"/>
      <c r="G7" s="435"/>
    </row>
    <row r="8" spans="1:7" s="403" customFormat="1" ht="20.100000000000001" customHeight="1">
      <c r="A8" s="436" t="s">
        <v>419</v>
      </c>
      <c r="B8" s="437">
        <v>636</v>
      </c>
      <c r="C8" s="437">
        <v>1012</v>
      </c>
      <c r="D8" s="438">
        <f t="shared" ref="D8:D26" si="0">C8/B8*100</f>
        <v>159.11949685534591</v>
      </c>
      <c r="E8" s="435"/>
      <c r="F8" s="435"/>
      <c r="G8" s="435"/>
    </row>
    <row r="9" spans="1:7" s="403" customFormat="1" ht="20.100000000000001" customHeight="1">
      <c r="A9" s="436" t="s">
        <v>420</v>
      </c>
      <c r="B9" s="437">
        <v>11695</v>
      </c>
      <c r="C9" s="437">
        <f>SUM(C10:C13)</f>
        <v>17805</v>
      </c>
      <c r="D9" s="438">
        <f t="shared" si="0"/>
        <v>152.24454895254382</v>
      </c>
      <c r="E9" s="435"/>
      <c r="F9" s="435"/>
      <c r="G9" s="435"/>
    </row>
    <row r="10" spans="1:7" s="360" customFormat="1" ht="20.100000000000001" customHeight="1">
      <c r="A10" s="439" t="s">
        <v>33</v>
      </c>
      <c r="B10" s="440">
        <v>303</v>
      </c>
      <c r="C10" s="440">
        <v>485</v>
      </c>
      <c r="D10" s="441">
        <f t="shared" si="0"/>
        <v>160.06600660066005</v>
      </c>
      <c r="E10" s="432"/>
      <c r="F10" s="432"/>
      <c r="G10" s="432"/>
    </row>
    <row r="11" spans="1:7" s="360" customFormat="1" ht="20.100000000000001" customHeight="1">
      <c r="A11" s="439" t="s">
        <v>39</v>
      </c>
      <c r="B11" s="440">
        <v>5139</v>
      </c>
      <c r="C11" s="440">
        <v>7862</v>
      </c>
      <c r="D11" s="441">
        <f t="shared" si="0"/>
        <v>152.98696244405528</v>
      </c>
      <c r="E11" s="432"/>
      <c r="F11" s="432"/>
      <c r="G11" s="432"/>
    </row>
    <row r="12" spans="1:7" s="360" customFormat="1" ht="20.100000000000001" customHeight="1">
      <c r="A12" s="439" t="s">
        <v>421</v>
      </c>
      <c r="B12" s="440">
        <v>696</v>
      </c>
      <c r="C12" s="440">
        <v>610</v>
      </c>
      <c r="D12" s="441">
        <f t="shared" si="0"/>
        <v>87.643678160919535</v>
      </c>
      <c r="E12" s="432"/>
      <c r="F12" s="432"/>
      <c r="G12" s="432"/>
    </row>
    <row r="13" spans="1:7" s="360" customFormat="1" ht="20.100000000000001" customHeight="1">
      <c r="A13" s="439" t="s">
        <v>422</v>
      </c>
      <c r="B13" s="440">
        <v>5557</v>
      </c>
      <c r="C13" s="440">
        <v>8848</v>
      </c>
      <c r="D13" s="441">
        <f t="shared" si="0"/>
        <v>159.2226021234479</v>
      </c>
      <c r="E13" s="432"/>
      <c r="F13" s="432"/>
      <c r="G13" s="432"/>
    </row>
    <row r="14" spans="1:7" s="403" customFormat="1" ht="20.100000000000001" customHeight="1">
      <c r="A14" s="442" t="s">
        <v>423</v>
      </c>
      <c r="B14" s="437">
        <v>31942</v>
      </c>
      <c r="C14" s="437">
        <f>SUM(C15:C26)</f>
        <v>47520</v>
      </c>
      <c r="D14" s="438">
        <f t="shared" si="0"/>
        <v>148.76964498152901</v>
      </c>
      <c r="E14" s="435"/>
      <c r="F14" s="435"/>
      <c r="G14" s="435"/>
    </row>
    <row r="15" spans="1:7" s="360" customFormat="1" ht="20.100000000000001" customHeight="1">
      <c r="A15" s="439" t="s">
        <v>424</v>
      </c>
      <c r="B15" s="440">
        <v>15843</v>
      </c>
      <c r="C15" s="440">
        <v>24494</v>
      </c>
      <c r="D15" s="441">
        <f t="shared" si="0"/>
        <v>154.60455721769867</v>
      </c>
      <c r="E15" s="432"/>
      <c r="F15" s="432"/>
      <c r="G15" s="432"/>
    </row>
    <row r="16" spans="1:7" s="360" customFormat="1" ht="20.100000000000001" customHeight="1">
      <c r="A16" s="439" t="s">
        <v>425</v>
      </c>
      <c r="B16" s="440">
        <v>2096</v>
      </c>
      <c r="C16" s="440">
        <v>3225</v>
      </c>
      <c r="D16" s="441">
        <f t="shared" si="0"/>
        <v>153.8645038167939</v>
      </c>
      <c r="E16" s="432"/>
      <c r="F16" s="432"/>
      <c r="G16" s="432"/>
    </row>
    <row r="17" spans="1:7" s="360" customFormat="1" ht="20.100000000000001" customHeight="1">
      <c r="A17" s="439" t="s">
        <v>426</v>
      </c>
      <c r="B17" s="440">
        <v>2222</v>
      </c>
      <c r="C17" s="440">
        <v>3128</v>
      </c>
      <c r="D17" s="441">
        <f t="shared" si="0"/>
        <v>140.77407740774078</v>
      </c>
      <c r="E17" s="432"/>
      <c r="F17" s="432"/>
      <c r="G17" s="432"/>
    </row>
    <row r="18" spans="1:7" s="360" customFormat="1" ht="20.100000000000001" customHeight="1">
      <c r="A18" s="439" t="s">
        <v>427</v>
      </c>
      <c r="B18" s="440">
        <v>1023</v>
      </c>
      <c r="C18" s="440">
        <v>1527</v>
      </c>
      <c r="D18" s="441">
        <f t="shared" si="0"/>
        <v>149.26686217008799</v>
      </c>
      <c r="E18" s="432"/>
      <c r="F18" s="432"/>
      <c r="G18" s="432"/>
    </row>
    <row r="19" spans="1:7" s="360" customFormat="1" ht="20.100000000000001" customHeight="1">
      <c r="A19" s="439" t="s">
        <v>428</v>
      </c>
      <c r="B19" s="440">
        <v>378</v>
      </c>
      <c r="C19" s="440">
        <v>577</v>
      </c>
      <c r="D19" s="441">
        <f t="shared" si="0"/>
        <v>152.64550264550266</v>
      </c>
      <c r="E19" s="432"/>
      <c r="F19" s="432"/>
      <c r="G19" s="432"/>
    </row>
    <row r="20" spans="1:7" s="360" customFormat="1" ht="20.100000000000001" customHeight="1">
      <c r="A20" s="439" t="s">
        <v>429</v>
      </c>
      <c r="B20" s="440">
        <v>1948</v>
      </c>
      <c r="C20" s="440">
        <v>2939</v>
      </c>
      <c r="D20" s="441">
        <f t="shared" si="0"/>
        <v>150.87268993839837</v>
      </c>
      <c r="E20" s="432"/>
      <c r="F20" s="432"/>
      <c r="G20" s="432"/>
    </row>
    <row r="21" spans="1:7" s="360" customFormat="1" ht="27.95" customHeight="1">
      <c r="A21" s="439" t="s">
        <v>439</v>
      </c>
      <c r="B21" s="440">
        <v>3388</v>
      </c>
      <c r="C21" s="440">
        <v>5323</v>
      </c>
      <c r="D21" s="441">
        <f t="shared" si="0"/>
        <v>157.11334120425028</v>
      </c>
      <c r="E21" s="432"/>
      <c r="F21" s="432"/>
      <c r="G21" s="432"/>
    </row>
    <row r="22" spans="1:7" s="360" customFormat="1" ht="20.100000000000001" customHeight="1">
      <c r="A22" s="439" t="s">
        <v>431</v>
      </c>
      <c r="B22" s="440">
        <v>1080</v>
      </c>
      <c r="C22" s="440">
        <v>1694</v>
      </c>
      <c r="D22" s="441">
        <f t="shared" si="0"/>
        <v>156.85185185185185</v>
      </c>
      <c r="E22" s="432"/>
      <c r="F22" s="432"/>
      <c r="G22" s="432"/>
    </row>
    <row r="23" spans="1:7" s="360" customFormat="1" ht="20.100000000000001" customHeight="1">
      <c r="A23" s="439" t="s">
        <v>432</v>
      </c>
      <c r="B23" s="440">
        <v>219</v>
      </c>
      <c r="C23" s="440">
        <v>334</v>
      </c>
      <c r="D23" s="441">
        <f t="shared" si="0"/>
        <v>152.51141552511416</v>
      </c>
      <c r="E23" s="432"/>
      <c r="F23" s="432"/>
      <c r="G23" s="432"/>
    </row>
    <row r="24" spans="1:7" s="360" customFormat="1" ht="20.100000000000001" customHeight="1">
      <c r="A24" s="439" t="s">
        <v>433</v>
      </c>
      <c r="B24" s="440">
        <v>326</v>
      </c>
      <c r="C24" s="440">
        <v>437</v>
      </c>
      <c r="D24" s="441">
        <f t="shared" si="0"/>
        <v>134.04907975460122</v>
      </c>
      <c r="E24" s="432"/>
      <c r="F24" s="432"/>
      <c r="G24" s="432"/>
    </row>
    <row r="25" spans="1:7" ht="27.95" customHeight="1">
      <c r="A25" s="439" t="s">
        <v>440</v>
      </c>
      <c r="B25" s="440">
        <v>2183</v>
      </c>
      <c r="C25" s="440">
        <v>3405</v>
      </c>
      <c r="D25" s="441">
        <f t="shared" si="0"/>
        <v>155.97801191021529</v>
      </c>
      <c r="E25" s="443"/>
      <c r="F25" s="443"/>
      <c r="G25" s="443"/>
    </row>
    <row r="26" spans="1:7" ht="20.100000000000001" customHeight="1">
      <c r="A26" s="439" t="s">
        <v>435</v>
      </c>
      <c r="B26" s="440">
        <v>1236</v>
      </c>
      <c r="C26" s="440">
        <v>437</v>
      </c>
      <c r="D26" s="441">
        <f t="shared" si="0"/>
        <v>35.355987055016179</v>
      </c>
      <c r="E26" s="443"/>
      <c r="F26" s="443"/>
      <c r="G26" s="443"/>
    </row>
    <row r="27" spans="1:7" ht="20.100000000000001" customHeight="1">
      <c r="A27" s="444"/>
      <c r="B27" s="440"/>
      <c r="C27" s="444"/>
      <c r="D27" s="443"/>
      <c r="E27" s="443"/>
      <c r="F27" s="443"/>
      <c r="G27" s="443"/>
    </row>
    <row r="28" spans="1:7" ht="20.100000000000001" customHeight="1">
      <c r="A28" s="368"/>
      <c r="B28" s="423"/>
      <c r="C28" s="368"/>
    </row>
    <row r="29" spans="1:7" ht="20.100000000000001" customHeight="1">
      <c r="A29" s="368"/>
      <c r="B29" s="368"/>
      <c r="C29" s="368"/>
    </row>
    <row r="30" spans="1:7" ht="20.100000000000001" customHeight="1">
      <c r="A30" s="368"/>
      <c r="B30" s="368"/>
      <c r="C30" s="368"/>
    </row>
    <row r="31" spans="1:7" ht="20.100000000000001" customHeight="1">
      <c r="A31" s="368"/>
      <c r="B31" s="368"/>
      <c r="C31" s="368"/>
    </row>
    <row r="32" spans="1:7" ht="20.100000000000001" customHeight="1">
      <c r="A32" s="368"/>
      <c r="B32" s="368"/>
      <c r="C32" s="368"/>
    </row>
    <row r="33" spans="1:4" ht="20.100000000000001" customHeight="1">
      <c r="A33" s="368"/>
      <c r="B33" s="368"/>
      <c r="C33" s="368"/>
    </row>
    <row r="34" spans="1:4" ht="20.100000000000001" customHeight="1">
      <c r="A34" s="368"/>
      <c r="B34" s="368"/>
      <c r="C34" s="368"/>
    </row>
    <row r="35" spans="1:4" ht="20.100000000000001" customHeight="1">
      <c r="A35" s="368"/>
      <c r="B35" s="368"/>
      <c r="C35" s="368"/>
    </row>
    <row r="36" spans="1:4" ht="20.100000000000001" customHeight="1">
      <c r="A36" s="368"/>
      <c r="B36" s="368"/>
      <c r="C36" s="368"/>
    </row>
    <row r="37" spans="1:4" ht="20.100000000000001" customHeight="1">
      <c r="A37" s="368"/>
      <c r="B37" s="368"/>
      <c r="C37" s="368"/>
    </row>
    <row r="38" spans="1:4" ht="20.100000000000001" customHeight="1">
      <c r="A38" s="368"/>
      <c r="B38" s="368"/>
      <c r="C38" s="368"/>
    </row>
    <row r="39" spans="1:4" ht="20.100000000000001" customHeight="1">
      <c r="A39" s="368"/>
      <c r="B39" s="368"/>
      <c r="C39" s="368"/>
    </row>
    <row r="40" spans="1:4" ht="20.100000000000001" customHeight="1">
      <c r="A40" s="368"/>
      <c r="B40" s="368"/>
      <c r="C40" s="368"/>
    </row>
    <row r="41" spans="1:4" ht="20.100000000000001" customHeight="1">
      <c r="A41" s="368"/>
      <c r="B41" s="368"/>
      <c r="C41" s="368"/>
    </row>
    <row r="42" spans="1:4" ht="20.100000000000001" customHeight="1">
      <c r="A42" s="368"/>
      <c r="B42" s="368"/>
      <c r="C42" s="368"/>
    </row>
    <row r="43" spans="1:4" ht="20.100000000000001" customHeight="1">
      <c r="A43" s="368"/>
      <c r="B43" s="368"/>
      <c r="C43" s="368"/>
    </row>
    <row r="44" spans="1:4" ht="20.100000000000001" customHeight="1">
      <c r="A44" s="368"/>
      <c r="B44" s="368"/>
      <c r="C44" s="368"/>
      <c r="D44" s="368"/>
    </row>
    <row r="45" spans="1:4" ht="20.100000000000001" customHeight="1">
      <c r="A45" s="368"/>
      <c r="B45" s="368"/>
      <c r="C45" s="368"/>
      <c r="D45" s="368"/>
    </row>
    <row r="46" spans="1:4" ht="20.100000000000001" customHeight="1">
      <c r="A46" s="368"/>
      <c r="B46" s="368"/>
      <c r="C46" s="368"/>
      <c r="D46" s="368"/>
    </row>
    <row r="47" spans="1:4" ht="20.100000000000001" customHeight="1">
      <c r="A47" s="368"/>
      <c r="B47" s="368"/>
      <c r="C47" s="368"/>
      <c r="D47" s="368"/>
    </row>
    <row r="48" spans="1:4" ht="20.100000000000001" customHeight="1">
      <c r="A48" s="368"/>
      <c r="B48" s="368"/>
      <c r="C48" s="368"/>
      <c r="D48" s="368"/>
    </row>
    <row r="49" spans="1:4" ht="20.100000000000001" customHeight="1">
      <c r="A49" s="368"/>
      <c r="B49" s="368"/>
      <c r="C49" s="368"/>
      <c r="D49" s="368"/>
    </row>
    <row r="50" spans="1:4" ht="20.100000000000001" customHeight="1">
      <c r="A50" s="368"/>
      <c r="B50" s="368"/>
      <c r="C50" s="368"/>
      <c r="D50" s="368"/>
    </row>
    <row r="51" spans="1:4" ht="20.100000000000001" customHeight="1">
      <c r="A51" s="368"/>
      <c r="B51" s="368"/>
      <c r="C51" s="368"/>
      <c r="D51" s="368"/>
    </row>
    <row r="52" spans="1:4" ht="20.100000000000001" customHeight="1">
      <c r="A52" s="368"/>
      <c r="B52" s="368"/>
      <c r="C52" s="368"/>
      <c r="D52" s="368"/>
    </row>
    <row r="53" spans="1:4" ht="20.100000000000001" customHeight="1">
      <c r="A53" s="368"/>
      <c r="B53" s="368"/>
      <c r="C53" s="368"/>
      <c r="D53" s="368"/>
    </row>
    <row r="54" spans="1:4" ht="20.100000000000001" customHeight="1">
      <c r="A54" s="368"/>
      <c r="B54" s="368"/>
      <c r="C54" s="368"/>
      <c r="D54" s="368"/>
    </row>
    <row r="55" spans="1:4" ht="20.100000000000001" customHeight="1">
      <c r="A55" s="368"/>
      <c r="B55" s="368"/>
      <c r="C55" s="368"/>
      <c r="D55" s="368"/>
    </row>
    <row r="56" spans="1:4" ht="20.100000000000001" customHeight="1">
      <c r="A56" s="368"/>
      <c r="B56" s="368"/>
      <c r="C56" s="368"/>
      <c r="D56" s="368"/>
    </row>
    <row r="57" spans="1:4" ht="20.100000000000001" customHeight="1">
      <c r="A57" s="368"/>
      <c r="B57" s="368"/>
      <c r="C57" s="368"/>
      <c r="D57" s="368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</sheetData>
  <pageMargins left="0.78740157480314998" right="0.47244094488188998" top="0.74803149606299202" bottom="0.511811023622047" header="0.43307086614173201" footer="0.23622047244094499"/>
  <pageSetup paperSize="9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C345-3D4D-456A-8E9A-40B2F3C190D9}">
  <sheetPr>
    <pageSetUpPr fitToPage="1"/>
  </sheetPr>
  <dimension ref="A1:F75"/>
  <sheetViews>
    <sheetView topLeftCell="A5" workbookViewId="0">
      <selection activeCell="F11" sqref="F11"/>
    </sheetView>
  </sheetViews>
  <sheetFormatPr defaultColWidth="8.7109375" defaultRowHeight="12.75"/>
  <cols>
    <col min="1" max="1" width="46.5703125" style="358" customWidth="1"/>
    <col min="2" max="2" width="9.7109375" style="358" customWidth="1"/>
    <col min="3" max="3" width="9.28515625" style="358" customWidth="1"/>
    <col min="4" max="4" width="20.7109375" style="358" customWidth="1"/>
    <col min="5" max="16384" width="8.7109375" style="358"/>
  </cols>
  <sheetData>
    <row r="1" spans="1:6" s="356" customFormat="1" ht="20.100000000000001" customHeight="1">
      <c r="A1" s="355" t="s">
        <v>441</v>
      </c>
      <c r="B1" s="392"/>
      <c r="C1" s="392"/>
    </row>
    <row r="2" spans="1:6" ht="20.100000000000001" customHeight="1">
      <c r="A2" s="368"/>
      <c r="B2" s="368"/>
      <c r="C2" s="368"/>
    </row>
    <row r="3" spans="1:6" s="360" customFormat="1" ht="15.95" customHeight="1">
      <c r="A3" s="359"/>
      <c r="B3" s="393"/>
      <c r="C3" s="393"/>
      <c r="D3" s="416" t="s">
        <v>437</v>
      </c>
    </row>
    <row r="4" spans="1:6" s="360" customFormat="1" ht="15.75" customHeight="1">
      <c r="A4" s="394"/>
      <c r="B4" s="395" t="s">
        <v>24</v>
      </c>
      <c r="C4" s="395" t="s">
        <v>24</v>
      </c>
      <c r="D4" s="395" t="s">
        <v>405</v>
      </c>
    </row>
    <row r="5" spans="1:6" s="360" customFormat="1" ht="15.75" customHeight="1">
      <c r="A5" s="397"/>
      <c r="B5" s="398" t="s">
        <v>368</v>
      </c>
      <c r="C5" s="398" t="s">
        <v>25</v>
      </c>
      <c r="D5" s="398" t="s">
        <v>438</v>
      </c>
    </row>
    <row r="6" spans="1:6" s="360" customFormat="1" ht="20.100000000000001" customHeight="1">
      <c r="A6" s="359"/>
      <c r="B6" s="65"/>
      <c r="C6" s="65"/>
      <c r="D6" s="65"/>
    </row>
    <row r="7" spans="1:6" s="403" customFormat="1" ht="20.100000000000001" customHeight="1">
      <c r="A7" s="417" t="s">
        <v>184</v>
      </c>
      <c r="B7" s="418">
        <v>78002</v>
      </c>
      <c r="C7" s="418">
        <f>C8+C9+C14</f>
        <v>88610</v>
      </c>
      <c r="D7" s="419">
        <f>C7/B7*100</f>
        <v>113.59965129099254</v>
      </c>
    </row>
    <row r="8" spans="1:6" s="403" customFormat="1" ht="20.100000000000001" customHeight="1">
      <c r="A8" s="405" t="s">
        <v>419</v>
      </c>
      <c r="B8" s="420">
        <v>920</v>
      </c>
      <c r="C8" s="420">
        <v>991</v>
      </c>
      <c r="D8" s="421">
        <f t="shared" ref="D8:D26" si="0">C8/B8*100</f>
        <v>107.71739130434783</v>
      </c>
    </row>
    <row r="9" spans="1:6" s="403" customFormat="1" ht="20.100000000000001" customHeight="1">
      <c r="A9" s="405" t="s">
        <v>420</v>
      </c>
      <c r="B9" s="420">
        <v>20041</v>
      </c>
      <c r="C9" s="420">
        <f>SUM(C10:C13)</f>
        <v>22875</v>
      </c>
      <c r="D9" s="421">
        <f t="shared" si="0"/>
        <v>114.14101092759843</v>
      </c>
    </row>
    <row r="10" spans="1:6" s="360" customFormat="1" ht="20.100000000000001" customHeight="1">
      <c r="A10" s="422" t="s">
        <v>33</v>
      </c>
      <c r="B10" s="423">
        <v>419</v>
      </c>
      <c r="C10" s="423">
        <v>466</v>
      </c>
      <c r="D10" s="424">
        <f t="shared" si="0"/>
        <v>111.21718377088305</v>
      </c>
    </row>
    <row r="11" spans="1:6" s="360" customFormat="1" ht="19.5" customHeight="1">
      <c r="A11" s="439" t="s">
        <v>39</v>
      </c>
      <c r="B11" s="440">
        <v>8952</v>
      </c>
      <c r="C11" s="440">
        <v>10210</v>
      </c>
      <c r="D11" s="441">
        <f t="shared" si="0"/>
        <v>114.0527256478999</v>
      </c>
      <c r="E11" s="432"/>
      <c r="F11" s="432"/>
    </row>
    <row r="12" spans="1:6" s="360" customFormat="1" ht="19.5" customHeight="1">
      <c r="A12" s="439" t="s">
        <v>421</v>
      </c>
      <c r="B12" s="440">
        <v>550</v>
      </c>
      <c r="C12" s="440">
        <v>594</v>
      </c>
      <c r="D12" s="441">
        <f t="shared" si="0"/>
        <v>108</v>
      </c>
      <c r="E12" s="432"/>
      <c r="F12" s="432"/>
    </row>
    <row r="13" spans="1:6" s="360" customFormat="1" ht="20.100000000000001" customHeight="1">
      <c r="A13" s="439" t="s">
        <v>422</v>
      </c>
      <c r="B13" s="440">
        <v>10120</v>
      </c>
      <c r="C13" s="440">
        <v>11605</v>
      </c>
      <c r="D13" s="441">
        <f t="shared" si="0"/>
        <v>114.67391304347827</v>
      </c>
      <c r="E13" s="432"/>
      <c r="F13" s="432"/>
    </row>
    <row r="14" spans="1:6" s="403" customFormat="1" ht="20.100000000000001" customHeight="1">
      <c r="A14" s="442" t="s">
        <v>423</v>
      </c>
      <c r="B14" s="437">
        <v>57041</v>
      </c>
      <c r="C14" s="437">
        <f>SUM(C15:C26)</f>
        <v>64744</v>
      </c>
      <c r="D14" s="438">
        <f t="shared" si="0"/>
        <v>113.50432145298997</v>
      </c>
      <c r="E14" s="435"/>
      <c r="F14" s="435"/>
    </row>
    <row r="15" spans="1:6" s="360" customFormat="1" ht="20.100000000000001" customHeight="1">
      <c r="A15" s="439" t="s">
        <v>424</v>
      </c>
      <c r="B15" s="440">
        <v>30727</v>
      </c>
      <c r="C15" s="440">
        <v>34954</v>
      </c>
      <c r="D15" s="441">
        <f t="shared" si="0"/>
        <v>113.75663097601458</v>
      </c>
      <c r="E15" s="432"/>
      <c r="F15" s="432"/>
    </row>
    <row r="16" spans="1:6" s="360" customFormat="1" ht="20.100000000000001" customHeight="1">
      <c r="A16" s="439" t="s">
        <v>425</v>
      </c>
      <c r="B16" s="440">
        <v>4052</v>
      </c>
      <c r="C16" s="440">
        <v>4576</v>
      </c>
      <c r="D16" s="441">
        <f t="shared" si="0"/>
        <v>112.93188548864759</v>
      </c>
      <c r="E16" s="432"/>
      <c r="F16" s="432"/>
    </row>
    <row r="17" spans="1:6" s="360" customFormat="1" ht="20.100000000000001" customHeight="1">
      <c r="A17" s="439" t="s">
        <v>426</v>
      </c>
      <c r="B17" s="440">
        <v>3484</v>
      </c>
      <c r="C17" s="440">
        <v>3656</v>
      </c>
      <c r="D17" s="441">
        <f t="shared" si="0"/>
        <v>104.93685419058554</v>
      </c>
      <c r="E17" s="432"/>
      <c r="F17" s="432"/>
    </row>
    <row r="18" spans="1:6" s="360" customFormat="1" ht="20.100000000000001" customHeight="1">
      <c r="A18" s="439" t="s">
        <v>427</v>
      </c>
      <c r="B18" s="440">
        <v>2043</v>
      </c>
      <c r="C18" s="440">
        <v>2516</v>
      </c>
      <c r="D18" s="441">
        <f t="shared" si="0"/>
        <v>123.15222711698483</v>
      </c>
      <c r="E18" s="432"/>
      <c r="F18" s="432"/>
    </row>
    <row r="19" spans="1:6" s="360" customFormat="1" ht="21.75" customHeight="1">
      <c r="A19" s="439" t="s">
        <v>428</v>
      </c>
      <c r="B19" s="440">
        <v>646</v>
      </c>
      <c r="C19" s="440">
        <v>683</v>
      </c>
      <c r="D19" s="441">
        <f t="shared" si="0"/>
        <v>105.72755417956657</v>
      </c>
      <c r="E19" s="432"/>
      <c r="F19" s="432"/>
    </row>
    <row r="20" spans="1:6" s="360" customFormat="1" ht="20.100000000000001" customHeight="1">
      <c r="A20" s="439" t="s">
        <v>429</v>
      </c>
      <c r="B20" s="440">
        <v>3482</v>
      </c>
      <c r="C20" s="440">
        <v>3419</v>
      </c>
      <c r="D20" s="441">
        <f t="shared" si="0"/>
        <v>98.190695002871905</v>
      </c>
      <c r="E20" s="432"/>
      <c r="F20" s="432"/>
    </row>
    <row r="21" spans="1:6" s="360" customFormat="1" ht="30" customHeight="1">
      <c r="A21" s="439" t="s">
        <v>439</v>
      </c>
      <c r="B21" s="440">
        <v>5993</v>
      </c>
      <c r="C21" s="440">
        <v>6939</v>
      </c>
      <c r="D21" s="441">
        <f t="shared" si="0"/>
        <v>115.78508259636241</v>
      </c>
      <c r="E21" s="432"/>
      <c r="F21" s="432"/>
    </row>
    <row r="22" spans="1:6" s="360" customFormat="1" ht="20.100000000000001" customHeight="1">
      <c r="A22" s="422" t="s">
        <v>431</v>
      </c>
      <c r="B22" s="423">
        <v>1583</v>
      </c>
      <c r="C22" s="423">
        <v>1952</v>
      </c>
      <c r="D22" s="424">
        <f t="shared" si="0"/>
        <v>123.31017056222362</v>
      </c>
    </row>
    <row r="23" spans="1:6" s="360" customFormat="1" ht="21" customHeight="1">
      <c r="A23" s="422" t="s">
        <v>432</v>
      </c>
      <c r="B23" s="423">
        <v>309</v>
      </c>
      <c r="C23" s="423">
        <v>398</v>
      </c>
      <c r="D23" s="424">
        <f t="shared" si="0"/>
        <v>128.80258899676375</v>
      </c>
    </row>
    <row r="24" spans="1:6" s="360" customFormat="1" ht="20.100000000000001" customHeight="1">
      <c r="A24" s="422" t="s">
        <v>433</v>
      </c>
      <c r="B24" s="423">
        <v>415</v>
      </c>
      <c r="C24" s="423">
        <v>519</v>
      </c>
      <c r="D24" s="424">
        <f t="shared" si="0"/>
        <v>125.06024096385542</v>
      </c>
    </row>
    <row r="25" spans="1:6" ht="29.25" customHeight="1">
      <c r="A25" s="422" t="s">
        <v>440</v>
      </c>
      <c r="B25" s="423">
        <v>3812</v>
      </c>
      <c r="C25" s="423">
        <v>4495</v>
      </c>
      <c r="D25" s="424">
        <f t="shared" si="0"/>
        <v>117.91710388247638</v>
      </c>
    </row>
    <row r="26" spans="1:6" ht="20.100000000000001" customHeight="1">
      <c r="A26" s="422" t="s">
        <v>435</v>
      </c>
      <c r="B26" s="423">
        <v>495</v>
      </c>
      <c r="C26" s="423">
        <v>637</v>
      </c>
      <c r="D26" s="424">
        <f t="shared" si="0"/>
        <v>128.68686868686871</v>
      </c>
    </row>
    <row r="27" spans="1:6" ht="29.25" customHeight="1">
      <c r="A27" s="425"/>
      <c r="B27" s="423"/>
      <c r="C27" s="368"/>
    </row>
    <row r="28" spans="1:6" ht="20.100000000000001" customHeight="1">
      <c r="A28" s="425"/>
      <c r="B28" s="423"/>
      <c r="C28" s="368"/>
    </row>
    <row r="29" spans="1:6" ht="20.100000000000001" customHeight="1">
      <c r="A29" s="368"/>
      <c r="B29" s="368"/>
      <c r="C29" s="368"/>
    </row>
    <row r="30" spans="1:6" ht="20.100000000000001" customHeight="1">
      <c r="A30" s="368"/>
      <c r="B30" s="368"/>
      <c r="C30" s="368"/>
    </row>
    <row r="31" spans="1:6" ht="20.100000000000001" customHeight="1">
      <c r="A31" s="368"/>
      <c r="B31" s="368"/>
      <c r="C31" s="368"/>
    </row>
    <row r="32" spans="1:6" ht="20.100000000000001" customHeight="1">
      <c r="A32" s="368"/>
      <c r="B32" s="368"/>
      <c r="C32" s="368"/>
    </row>
    <row r="33" spans="1:4" ht="20.100000000000001" customHeight="1">
      <c r="A33" s="368"/>
      <c r="B33" s="368"/>
      <c r="C33" s="368"/>
    </row>
    <row r="34" spans="1:4" ht="20.100000000000001" customHeight="1">
      <c r="A34" s="368"/>
      <c r="B34" s="368"/>
      <c r="C34" s="368"/>
    </row>
    <row r="35" spans="1:4" ht="20.100000000000001" customHeight="1">
      <c r="A35" s="368"/>
      <c r="B35" s="368"/>
      <c r="C35" s="368"/>
    </row>
    <row r="36" spans="1:4" ht="20.100000000000001" customHeight="1">
      <c r="A36" s="368"/>
      <c r="B36" s="368"/>
      <c r="C36" s="368"/>
    </row>
    <row r="37" spans="1:4" ht="20.100000000000001" customHeight="1">
      <c r="A37" s="368"/>
      <c r="B37" s="368"/>
      <c r="C37" s="368"/>
    </row>
    <row r="38" spans="1:4" ht="20.100000000000001" customHeight="1">
      <c r="A38" s="368"/>
      <c r="B38" s="368"/>
      <c r="C38" s="368"/>
    </row>
    <row r="39" spans="1:4" ht="20.100000000000001" customHeight="1">
      <c r="A39" s="368"/>
      <c r="B39" s="368"/>
      <c r="C39" s="368"/>
    </row>
    <row r="40" spans="1:4" ht="20.100000000000001" customHeight="1">
      <c r="A40" s="368"/>
      <c r="B40" s="368"/>
      <c r="C40" s="368"/>
    </row>
    <row r="41" spans="1:4" ht="20.100000000000001" customHeight="1">
      <c r="A41" s="368"/>
      <c r="B41" s="368"/>
      <c r="C41" s="368"/>
    </row>
    <row r="42" spans="1:4" ht="20.100000000000001" customHeight="1">
      <c r="A42" s="368"/>
      <c r="B42" s="368"/>
      <c r="C42" s="368"/>
    </row>
    <row r="43" spans="1:4" ht="20.100000000000001" customHeight="1">
      <c r="A43" s="368"/>
      <c r="B43" s="368"/>
      <c r="C43" s="368"/>
    </row>
    <row r="44" spans="1:4" ht="20.100000000000001" customHeight="1">
      <c r="A44" s="368"/>
      <c r="B44" s="368"/>
      <c r="C44" s="368"/>
      <c r="D44" s="368"/>
    </row>
    <row r="45" spans="1:4" ht="20.100000000000001" customHeight="1">
      <c r="A45" s="368"/>
      <c r="B45" s="368"/>
      <c r="C45" s="368"/>
      <c r="D45" s="368"/>
    </row>
    <row r="46" spans="1:4" ht="20.100000000000001" customHeight="1">
      <c r="A46" s="368"/>
      <c r="B46" s="368"/>
      <c r="C46" s="368"/>
      <c r="D46" s="368"/>
    </row>
    <row r="47" spans="1:4" ht="20.100000000000001" customHeight="1">
      <c r="A47" s="368"/>
      <c r="B47" s="368"/>
      <c r="C47" s="368"/>
      <c r="D47" s="368"/>
    </row>
    <row r="48" spans="1:4" ht="20.100000000000001" customHeight="1">
      <c r="A48" s="368"/>
      <c r="B48" s="368"/>
      <c r="C48" s="368"/>
      <c r="D48" s="368"/>
    </row>
    <row r="49" spans="1:4" ht="20.100000000000001" customHeight="1">
      <c r="A49" s="368"/>
      <c r="B49" s="368"/>
      <c r="C49" s="368"/>
      <c r="D49" s="368"/>
    </row>
    <row r="50" spans="1:4" ht="20.100000000000001" customHeight="1">
      <c r="A50" s="368"/>
      <c r="B50" s="368"/>
      <c r="C50" s="368"/>
      <c r="D50" s="368"/>
    </row>
    <row r="51" spans="1:4" ht="20.100000000000001" customHeight="1">
      <c r="A51" s="368"/>
      <c r="B51" s="368"/>
      <c r="C51" s="368"/>
      <c r="D51" s="368"/>
    </row>
    <row r="52" spans="1:4" ht="20.100000000000001" customHeight="1">
      <c r="A52" s="368"/>
      <c r="B52" s="368"/>
      <c r="C52" s="368"/>
      <c r="D52" s="368"/>
    </row>
    <row r="53" spans="1:4" ht="20.100000000000001" customHeight="1">
      <c r="A53" s="368"/>
      <c r="B53" s="368"/>
      <c r="C53" s="368"/>
      <c r="D53" s="368"/>
    </row>
    <row r="54" spans="1:4" ht="20.100000000000001" customHeight="1">
      <c r="A54" s="368"/>
      <c r="B54" s="368"/>
      <c r="C54" s="368"/>
      <c r="D54" s="368"/>
    </row>
    <row r="55" spans="1:4" ht="20.100000000000001" customHeight="1">
      <c r="A55" s="368"/>
      <c r="B55" s="368"/>
      <c r="C55" s="368"/>
      <c r="D55" s="368"/>
    </row>
    <row r="56" spans="1:4" ht="20.100000000000001" customHeight="1">
      <c r="A56" s="368"/>
      <c r="B56" s="368"/>
      <c r="C56" s="368"/>
      <c r="D56" s="368"/>
    </row>
    <row r="57" spans="1:4" ht="20.100000000000001" customHeight="1">
      <c r="A57" s="368"/>
      <c r="B57" s="368"/>
      <c r="C57" s="368"/>
      <c r="D57" s="368"/>
    </row>
    <row r="58" spans="1:4" ht="20.100000000000001" customHeight="1">
      <c r="A58" s="368"/>
    </row>
    <row r="59" spans="1:4" ht="20.100000000000001" customHeight="1">
      <c r="A59" s="368"/>
    </row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98" right="0.47244094488188998" top="0.74803149606299202" bottom="0.511811023622047" header="0.43307086614173201" footer="0.23622047244094499"/>
  <pageSetup paperSize="9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7539-3A2C-4146-853B-89F0F112FE13}">
  <sheetPr>
    <pageSetUpPr fitToPage="1"/>
  </sheetPr>
  <dimension ref="A1:F75"/>
  <sheetViews>
    <sheetView workbookViewId="0">
      <selection activeCell="F11" sqref="F11"/>
    </sheetView>
  </sheetViews>
  <sheetFormatPr defaultColWidth="8.7109375" defaultRowHeight="12.75"/>
  <cols>
    <col min="1" max="1" width="45" style="358" customWidth="1"/>
    <col min="2" max="2" width="9.7109375" style="358" customWidth="1"/>
    <col min="3" max="3" width="9.28515625" style="358" customWidth="1"/>
    <col min="4" max="4" width="20.7109375" style="358" customWidth="1"/>
    <col min="5" max="5" width="10" style="358" hidden="1" customWidth="1"/>
    <col min="6" max="16384" width="8.7109375" style="358"/>
  </cols>
  <sheetData>
    <row r="1" spans="1:6" s="356" customFormat="1" ht="20.100000000000001" customHeight="1">
      <c r="A1" s="355" t="s">
        <v>442</v>
      </c>
      <c r="B1" s="392"/>
      <c r="C1" s="392"/>
    </row>
    <row r="2" spans="1:6" ht="20.100000000000001" customHeight="1">
      <c r="A2" s="368"/>
      <c r="B2" s="368"/>
      <c r="C2" s="368"/>
    </row>
    <row r="3" spans="1:6" s="360" customFormat="1" ht="15.95" customHeight="1">
      <c r="A3" s="359"/>
      <c r="B3" s="393"/>
      <c r="C3" s="393"/>
      <c r="D3" s="416" t="s">
        <v>437</v>
      </c>
    </row>
    <row r="4" spans="1:6" s="360" customFormat="1" ht="15.95" customHeight="1">
      <c r="A4" s="394"/>
      <c r="B4" s="395" t="s">
        <v>24</v>
      </c>
      <c r="C4" s="395" t="s">
        <v>24</v>
      </c>
      <c r="D4" s="395" t="s">
        <v>405</v>
      </c>
    </row>
    <row r="5" spans="1:6" s="360" customFormat="1" ht="15.95" customHeight="1">
      <c r="A5" s="397"/>
      <c r="B5" s="398" t="s">
        <v>368</v>
      </c>
      <c r="C5" s="398" t="s">
        <v>25</v>
      </c>
      <c r="D5" s="398" t="s">
        <v>438</v>
      </c>
    </row>
    <row r="6" spans="1:6" s="360" customFormat="1" ht="20.100000000000001" customHeight="1">
      <c r="A6" s="359"/>
      <c r="B6" s="65"/>
      <c r="C6" s="65"/>
      <c r="D6" s="65"/>
    </row>
    <row r="7" spans="1:6" s="403" customFormat="1" ht="20.100000000000001" customHeight="1">
      <c r="A7" s="417" t="s">
        <v>184</v>
      </c>
      <c r="B7" s="418">
        <f>B8+B9+B14</f>
        <v>11834</v>
      </c>
      <c r="C7" s="418">
        <f>C8+C9+C14</f>
        <v>14264</v>
      </c>
      <c r="D7" s="419">
        <f>C7/B7*100</f>
        <v>120.53405441946931</v>
      </c>
      <c r="E7" s="426">
        <f>D7-100</f>
        <v>20.534054419469314</v>
      </c>
    </row>
    <row r="8" spans="1:6" s="403" customFormat="1" ht="20.100000000000001" customHeight="1">
      <c r="A8" s="405" t="s">
        <v>419</v>
      </c>
      <c r="B8" s="420">
        <v>221</v>
      </c>
      <c r="C8" s="420">
        <v>308</v>
      </c>
      <c r="D8" s="421">
        <f t="shared" ref="D8:D26" si="0">C8/B8*100</f>
        <v>139.36651583710406</v>
      </c>
      <c r="E8" s="426">
        <f t="shared" ref="E8:E26" si="1">D8-100</f>
        <v>39.36651583710406</v>
      </c>
    </row>
    <row r="9" spans="1:6" s="403" customFormat="1" ht="20.100000000000001" customHeight="1">
      <c r="A9" s="405" t="s">
        <v>420</v>
      </c>
      <c r="B9" s="420">
        <f>SUM(B10:B13)</f>
        <v>2311</v>
      </c>
      <c r="C9" s="420">
        <f>SUM(C10:C13)</f>
        <v>2840</v>
      </c>
      <c r="D9" s="421">
        <f t="shared" si="0"/>
        <v>122.89052358286456</v>
      </c>
      <c r="E9" s="426">
        <f t="shared" si="1"/>
        <v>22.89052358286456</v>
      </c>
    </row>
    <row r="10" spans="1:6" s="360" customFormat="1" ht="20.100000000000001" customHeight="1">
      <c r="A10" s="422" t="s">
        <v>33</v>
      </c>
      <c r="B10" s="423">
        <v>70</v>
      </c>
      <c r="C10" s="423">
        <v>112</v>
      </c>
      <c r="D10" s="424">
        <f t="shared" si="0"/>
        <v>160</v>
      </c>
      <c r="E10" s="426">
        <f t="shared" si="1"/>
        <v>60</v>
      </c>
    </row>
    <row r="11" spans="1:6" s="360" customFormat="1" ht="19.5" customHeight="1">
      <c r="A11" s="422" t="s">
        <v>39</v>
      </c>
      <c r="B11" s="423">
        <v>1258</v>
      </c>
      <c r="C11" s="423">
        <v>1553</v>
      </c>
      <c r="D11" s="424">
        <f t="shared" si="0"/>
        <v>123.44992050874404</v>
      </c>
      <c r="E11" s="426">
        <f t="shared" si="1"/>
        <v>23.449920508744043</v>
      </c>
    </row>
    <row r="12" spans="1:6" s="360" customFormat="1" ht="19.5" customHeight="1">
      <c r="A12" s="422" t="s">
        <v>421</v>
      </c>
      <c r="B12" s="423">
        <v>147</v>
      </c>
      <c r="C12" s="423">
        <v>167</v>
      </c>
      <c r="D12" s="424">
        <f t="shared" si="0"/>
        <v>113.60544217687074</v>
      </c>
      <c r="E12" s="426">
        <f t="shared" si="1"/>
        <v>13.605442176870739</v>
      </c>
    </row>
    <row r="13" spans="1:6" s="360" customFormat="1" ht="20.100000000000001" customHeight="1">
      <c r="A13" s="439" t="s">
        <v>422</v>
      </c>
      <c r="B13" s="440">
        <v>836</v>
      </c>
      <c r="C13" s="440">
        <v>1008</v>
      </c>
      <c r="D13" s="441">
        <f t="shared" si="0"/>
        <v>120.57416267942584</v>
      </c>
      <c r="E13" s="445">
        <f t="shared" si="1"/>
        <v>20.574162679425839</v>
      </c>
      <c r="F13" s="432"/>
    </row>
    <row r="14" spans="1:6" s="403" customFormat="1" ht="20.100000000000001" customHeight="1">
      <c r="A14" s="442" t="s">
        <v>423</v>
      </c>
      <c r="B14" s="437">
        <f>SUM(B15:B26)</f>
        <v>9302</v>
      </c>
      <c r="C14" s="437">
        <f>SUM(C15:C26)</f>
        <v>11116</v>
      </c>
      <c r="D14" s="438">
        <f t="shared" si="0"/>
        <v>119.50118254138896</v>
      </c>
      <c r="E14" s="445">
        <f t="shared" si="1"/>
        <v>19.501182541388957</v>
      </c>
      <c r="F14" s="435"/>
    </row>
    <row r="15" spans="1:6" s="360" customFormat="1" ht="20.100000000000001" customHeight="1">
      <c r="A15" s="439" t="s">
        <v>424</v>
      </c>
      <c r="B15" s="440">
        <v>4828</v>
      </c>
      <c r="C15" s="440">
        <v>5224</v>
      </c>
      <c r="D15" s="441">
        <f t="shared" si="0"/>
        <v>108.20215410107706</v>
      </c>
      <c r="E15" s="445">
        <f t="shared" si="1"/>
        <v>8.2021541010770562</v>
      </c>
      <c r="F15" s="432"/>
    </row>
    <row r="16" spans="1:6" s="360" customFormat="1" ht="20.100000000000001" customHeight="1">
      <c r="A16" s="439" t="s">
        <v>425</v>
      </c>
      <c r="B16" s="440">
        <v>451</v>
      </c>
      <c r="C16" s="440">
        <v>558</v>
      </c>
      <c r="D16" s="441">
        <f t="shared" si="0"/>
        <v>123.72505543237251</v>
      </c>
      <c r="E16" s="445">
        <f t="shared" si="1"/>
        <v>23.725055432372514</v>
      </c>
      <c r="F16" s="432"/>
    </row>
    <row r="17" spans="1:6" s="360" customFormat="1" ht="20.100000000000001" customHeight="1">
      <c r="A17" s="439" t="s">
        <v>426</v>
      </c>
      <c r="B17" s="440">
        <v>537</v>
      </c>
      <c r="C17" s="440">
        <v>728</v>
      </c>
      <c r="D17" s="441">
        <f t="shared" si="0"/>
        <v>135.56797020484171</v>
      </c>
      <c r="E17" s="445">
        <f t="shared" si="1"/>
        <v>35.567970204841714</v>
      </c>
      <c r="F17" s="432"/>
    </row>
    <row r="18" spans="1:6" s="360" customFormat="1" ht="20.100000000000001" customHeight="1">
      <c r="A18" s="439" t="s">
        <v>427</v>
      </c>
      <c r="B18" s="440">
        <v>409</v>
      </c>
      <c r="C18" s="440">
        <v>471</v>
      </c>
      <c r="D18" s="441">
        <f t="shared" si="0"/>
        <v>115.15892420537897</v>
      </c>
      <c r="E18" s="445">
        <f t="shared" si="1"/>
        <v>15.158924205378966</v>
      </c>
      <c r="F18" s="432"/>
    </row>
    <row r="19" spans="1:6" s="360" customFormat="1" ht="21.75" customHeight="1">
      <c r="A19" s="439" t="s">
        <v>428</v>
      </c>
      <c r="B19" s="440">
        <v>134</v>
      </c>
      <c r="C19" s="440">
        <v>171</v>
      </c>
      <c r="D19" s="441">
        <f t="shared" si="0"/>
        <v>127.61194029850746</v>
      </c>
      <c r="E19" s="445">
        <f t="shared" si="1"/>
        <v>27.611940298507463</v>
      </c>
      <c r="F19" s="432"/>
    </row>
    <row r="20" spans="1:6" s="360" customFormat="1" ht="20.100000000000001" customHeight="1">
      <c r="A20" s="439" t="s">
        <v>429</v>
      </c>
      <c r="B20" s="440">
        <v>690</v>
      </c>
      <c r="C20" s="440">
        <v>791</v>
      </c>
      <c r="D20" s="441">
        <f t="shared" si="0"/>
        <v>114.63768115942028</v>
      </c>
      <c r="E20" s="445">
        <f t="shared" si="1"/>
        <v>14.637681159420282</v>
      </c>
      <c r="F20" s="432"/>
    </row>
    <row r="21" spans="1:6" s="360" customFormat="1" ht="30" customHeight="1">
      <c r="A21" s="439" t="s">
        <v>439</v>
      </c>
      <c r="B21" s="440">
        <v>800</v>
      </c>
      <c r="C21" s="440">
        <v>987</v>
      </c>
      <c r="D21" s="441">
        <f t="shared" si="0"/>
        <v>123.37499999999999</v>
      </c>
      <c r="E21" s="445">
        <f t="shared" si="1"/>
        <v>23.374999999999986</v>
      </c>
      <c r="F21" s="432"/>
    </row>
    <row r="22" spans="1:6" s="360" customFormat="1" ht="20.100000000000001" customHeight="1">
      <c r="A22" s="422" t="s">
        <v>431</v>
      </c>
      <c r="B22" s="423">
        <v>445</v>
      </c>
      <c r="C22" s="423">
        <v>813</v>
      </c>
      <c r="D22" s="424">
        <f t="shared" si="0"/>
        <v>182.69662921348316</v>
      </c>
      <c r="E22" s="426">
        <f t="shared" si="1"/>
        <v>82.696629213483163</v>
      </c>
    </row>
    <row r="23" spans="1:6" s="360" customFormat="1" ht="21" customHeight="1">
      <c r="A23" s="422" t="s">
        <v>432</v>
      </c>
      <c r="B23" s="423">
        <v>139</v>
      </c>
      <c r="C23" s="423">
        <v>178</v>
      </c>
      <c r="D23" s="424">
        <f t="shared" si="0"/>
        <v>128.05755395683454</v>
      </c>
      <c r="E23" s="426">
        <f t="shared" si="1"/>
        <v>28.057553956834539</v>
      </c>
    </row>
    <row r="24" spans="1:6" s="360" customFormat="1" ht="20.100000000000001" customHeight="1">
      <c r="A24" s="422" t="s">
        <v>433</v>
      </c>
      <c r="B24" s="423">
        <v>115</v>
      </c>
      <c r="C24" s="423">
        <v>140</v>
      </c>
      <c r="D24" s="424">
        <f t="shared" si="0"/>
        <v>121.73913043478262</v>
      </c>
      <c r="E24" s="426">
        <f t="shared" si="1"/>
        <v>21.739130434782624</v>
      </c>
    </row>
    <row r="25" spans="1:6" ht="29.25" customHeight="1">
      <c r="A25" s="422" t="s">
        <v>440</v>
      </c>
      <c r="B25" s="423">
        <v>595</v>
      </c>
      <c r="C25" s="423">
        <v>871</v>
      </c>
      <c r="D25" s="424">
        <f t="shared" si="0"/>
        <v>146.38655462184872</v>
      </c>
      <c r="E25" s="426">
        <f t="shared" si="1"/>
        <v>46.386554621848717</v>
      </c>
    </row>
    <row r="26" spans="1:6" ht="20.100000000000001" customHeight="1">
      <c r="A26" s="422" t="s">
        <v>435</v>
      </c>
      <c r="B26" s="423">
        <v>159</v>
      </c>
      <c r="C26" s="423">
        <v>184</v>
      </c>
      <c r="D26" s="424">
        <f t="shared" si="0"/>
        <v>115.72327044025157</v>
      </c>
      <c r="E26" s="426">
        <f t="shared" si="1"/>
        <v>15.723270440251568</v>
      </c>
    </row>
    <row r="27" spans="1:6" ht="20.100000000000001" customHeight="1">
      <c r="A27" s="425"/>
      <c r="B27" s="423"/>
      <c r="C27" s="368"/>
      <c r="E27" s="368"/>
    </row>
    <row r="28" spans="1:6" ht="20.100000000000001" customHeight="1">
      <c r="A28" s="368"/>
      <c r="B28" s="423"/>
      <c r="C28" s="368"/>
    </row>
    <row r="29" spans="1:6" ht="20.100000000000001" customHeight="1">
      <c r="A29" s="368"/>
      <c r="B29" s="368"/>
      <c r="C29" s="368"/>
    </row>
    <row r="30" spans="1:6" ht="20.100000000000001" customHeight="1">
      <c r="A30" s="368"/>
      <c r="B30" s="368"/>
      <c r="C30" s="368"/>
    </row>
    <row r="31" spans="1:6" ht="20.100000000000001" customHeight="1">
      <c r="A31" s="368"/>
      <c r="B31" s="368"/>
      <c r="C31" s="368"/>
    </row>
    <row r="32" spans="1:6" ht="20.100000000000001" customHeight="1">
      <c r="A32" s="368"/>
      <c r="B32" s="368"/>
      <c r="C32" s="368"/>
    </row>
    <row r="33" spans="1:4" ht="20.100000000000001" customHeight="1">
      <c r="A33" s="368"/>
      <c r="B33" s="368"/>
      <c r="C33" s="368"/>
    </row>
    <row r="34" spans="1:4" ht="20.100000000000001" customHeight="1">
      <c r="A34" s="368"/>
      <c r="B34" s="368"/>
      <c r="C34" s="368"/>
    </row>
    <row r="35" spans="1:4" ht="20.100000000000001" customHeight="1">
      <c r="A35" s="368"/>
      <c r="B35" s="368"/>
      <c r="C35" s="368"/>
    </row>
    <row r="36" spans="1:4" ht="20.100000000000001" customHeight="1">
      <c r="A36" s="368"/>
      <c r="B36" s="368"/>
      <c r="C36" s="368"/>
    </row>
    <row r="37" spans="1:4" ht="20.100000000000001" customHeight="1">
      <c r="A37" s="368"/>
      <c r="B37" s="368"/>
      <c r="C37" s="368"/>
    </row>
    <row r="38" spans="1:4" ht="20.100000000000001" customHeight="1">
      <c r="A38" s="368"/>
      <c r="B38" s="368"/>
      <c r="C38" s="368"/>
    </row>
    <row r="39" spans="1:4" ht="20.100000000000001" customHeight="1">
      <c r="A39" s="368"/>
      <c r="B39" s="368"/>
      <c r="C39" s="368"/>
    </row>
    <row r="40" spans="1:4" ht="20.100000000000001" customHeight="1">
      <c r="A40" s="368"/>
      <c r="B40" s="368"/>
      <c r="C40" s="368"/>
    </row>
    <row r="41" spans="1:4" ht="20.100000000000001" customHeight="1">
      <c r="A41" s="368"/>
      <c r="B41" s="368"/>
      <c r="C41" s="368"/>
    </row>
    <row r="42" spans="1:4" ht="20.100000000000001" customHeight="1">
      <c r="A42" s="368"/>
      <c r="B42" s="368"/>
      <c r="C42" s="368"/>
    </row>
    <row r="43" spans="1:4" ht="20.100000000000001" customHeight="1">
      <c r="A43" s="368"/>
      <c r="B43" s="368"/>
      <c r="C43" s="368"/>
    </row>
    <row r="44" spans="1:4" ht="20.100000000000001" customHeight="1">
      <c r="A44" s="368"/>
      <c r="B44" s="368"/>
      <c r="C44" s="368"/>
      <c r="D44" s="368"/>
    </row>
    <row r="45" spans="1:4" ht="20.100000000000001" customHeight="1">
      <c r="A45" s="368"/>
      <c r="B45" s="368"/>
      <c r="C45" s="368"/>
      <c r="D45" s="368"/>
    </row>
    <row r="46" spans="1:4" ht="20.100000000000001" customHeight="1">
      <c r="A46" s="368"/>
      <c r="B46" s="368"/>
      <c r="C46" s="368"/>
      <c r="D46" s="368"/>
    </row>
    <row r="47" spans="1:4" ht="20.100000000000001" customHeight="1">
      <c r="A47" s="368"/>
      <c r="B47" s="368"/>
      <c r="C47" s="368"/>
      <c r="D47" s="368"/>
    </row>
    <row r="48" spans="1:4" ht="20.100000000000001" customHeight="1">
      <c r="A48" s="368"/>
      <c r="B48" s="368"/>
      <c r="C48" s="368"/>
      <c r="D48" s="368"/>
    </row>
    <row r="49" spans="1:4" ht="20.100000000000001" customHeight="1">
      <c r="A49" s="368"/>
      <c r="B49" s="368"/>
      <c r="C49" s="368"/>
      <c r="D49" s="368"/>
    </row>
    <row r="50" spans="1:4" ht="20.100000000000001" customHeight="1">
      <c r="A50" s="368"/>
      <c r="B50" s="368"/>
      <c r="C50" s="368"/>
      <c r="D50" s="368"/>
    </row>
    <row r="51" spans="1:4" ht="20.100000000000001" customHeight="1">
      <c r="A51" s="368"/>
      <c r="B51" s="368"/>
      <c r="C51" s="368"/>
      <c r="D51" s="368"/>
    </row>
    <row r="52" spans="1:4" ht="20.100000000000001" customHeight="1">
      <c r="A52" s="368"/>
      <c r="B52" s="368"/>
      <c r="C52" s="368"/>
      <c r="D52" s="368"/>
    </row>
    <row r="53" spans="1:4" ht="20.100000000000001" customHeight="1">
      <c r="A53" s="368"/>
      <c r="B53" s="368"/>
      <c r="C53" s="368"/>
      <c r="D53" s="368"/>
    </row>
    <row r="54" spans="1:4" ht="20.100000000000001" customHeight="1">
      <c r="A54" s="368"/>
      <c r="B54" s="368"/>
      <c r="C54" s="368"/>
      <c r="D54" s="368"/>
    </row>
    <row r="55" spans="1:4" ht="20.100000000000001" customHeight="1">
      <c r="A55" s="368"/>
      <c r="B55" s="368"/>
      <c r="C55" s="368"/>
      <c r="D55" s="368"/>
    </row>
    <row r="56" spans="1:4" ht="20.100000000000001" customHeight="1">
      <c r="A56" s="368"/>
      <c r="B56" s="368"/>
      <c r="C56" s="368"/>
      <c r="D56" s="368"/>
    </row>
    <row r="57" spans="1:4" ht="20.100000000000001" customHeight="1">
      <c r="A57" s="368"/>
      <c r="B57" s="368"/>
      <c r="C57" s="368"/>
      <c r="D57" s="368"/>
    </row>
    <row r="58" spans="1:4" ht="20.100000000000001" customHeight="1">
      <c r="A58" s="368"/>
    </row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98" right="0.47244094488188998" top="0.74803149606299202" bottom="0.511811023622047" header="0.43307086614173201" footer="0.23622047244094499"/>
  <pageSetup paperSize="9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ACBD-5978-4606-A83F-D1DC0626C353}">
  <sheetPr>
    <pageSetUpPr fitToPage="1"/>
  </sheetPr>
  <dimension ref="A1:H73"/>
  <sheetViews>
    <sheetView workbookViewId="0">
      <selection activeCell="F11" sqref="F11"/>
    </sheetView>
  </sheetViews>
  <sheetFormatPr defaultColWidth="9" defaultRowHeight="15"/>
  <cols>
    <col min="1" max="1" width="2" style="118" customWidth="1"/>
    <col min="2" max="2" width="31.42578125" style="118" customWidth="1"/>
    <col min="3" max="3" width="10.42578125" style="118" customWidth="1"/>
    <col min="4" max="4" width="10.140625" style="118" customWidth="1"/>
    <col min="5" max="5" width="9.85546875" style="118" customWidth="1"/>
    <col min="6" max="6" width="12.85546875" style="118" customWidth="1"/>
    <col min="7" max="7" width="13" style="118" customWidth="1"/>
    <col min="8" max="16384" width="9" style="118"/>
  </cols>
  <sheetData>
    <row r="1" spans="1:8" ht="20.100000000000001" customHeight="1">
      <c r="A1" s="117" t="s">
        <v>177</v>
      </c>
    </row>
    <row r="2" spans="1:8" ht="18" customHeight="1">
      <c r="A2" s="119"/>
      <c r="B2" s="119"/>
      <c r="C2" s="119"/>
      <c r="D2" s="119"/>
      <c r="E2" s="119"/>
      <c r="F2" s="119"/>
    </row>
    <row r="3" spans="1:8" ht="18" customHeight="1">
      <c r="A3" s="120"/>
      <c r="B3" s="120"/>
      <c r="C3" s="120"/>
      <c r="D3" s="120"/>
      <c r="E3" s="120"/>
      <c r="G3" s="121" t="s">
        <v>178</v>
      </c>
    </row>
    <row r="4" spans="1:8" ht="15.95" customHeight="1">
      <c r="A4" s="122"/>
      <c r="B4" s="122"/>
      <c r="C4" s="123" t="s">
        <v>71</v>
      </c>
      <c r="D4" s="123" t="s">
        <v>179</v>
      </c>
      <c r="E4" s="123" t="s">
        <v>73</v>
      </c>
      <c r="F4" s="124" t="s">
        <v>180</v>
      </c>
      <c r="G4" s="124" t="s">
        <v>180</v>
      </c>
    </row>
    <row r="5" spans="1:8" ht="15.95" customHeight="1">
      <c r="A5" s="125"/>
      <c r="B5" s="125"/>
      <c r="C5" s="126" t="s">
        <v>75</v>
      </c>
      <c r="D5" s="126" t="s">
        <v>76</v>
      </c>
      <c r="E5" s="126" t="s">
        <v>24</v>
      </c>
      <c r="F5" s="126" t="s">
        <v>181</v>
      </c>
      <c r="G5" s="126" t="s">
        <v>181</v>
      </c>
    </row>
    <row r="6" spans="1:8" ht="15.95" customHeight="1">
      <c r="A6" s="125"/>
      <c r="B6" s="125"/>
      <c r="C6" s="126" t="s">
        <v>77</v>
      </c>
      <c r="D6" s="126" t="s">
        <v>77</v>
      </c>
      <c r="E6" s="126" t="s">
        <v>77</v>
      </c>
      <c r="F6" s="126" t="s">
        <v>182</v>
      </c>
      <c r="G6" s="126" t="s">
        <v>27</v>
      </c>
    </row>
    <row r="7" spans="1:8" ht="15.95" customHeight="1">
      <c r="A7" s="125"/>
      <c r="B7" s="125"/>
      <c r="C7" s="127">
        <v>2025</v>
      </c>
      <c r="D7" s="127">
        <v>2025</v>
      </c>
      <c r="E7" s="127">
        <v>2025</v>
      </c>
      <c r="F7" s="127" t="s">
        <v>183</v>
      </c>
      <c r="G7" s="127" t="s">
        <v>7</v>
      </c>
    </row>
    <row r="8" spans="1:8" ht="15.95" customHeight="1">
      <c r="A8" s="125"/>
      <c r="B8" s="125"/>
      <c r="E8" s="126"/>
      <c r="F8" s="126"/>
      <c r="G8" s="126"/>
    </row>
    <row r="9" spans="1:8" ht="12" customHeight="1">
      <c r="A9" s="128" t="s">
        <v>184</v>
      </c>
      <c r="B9" s="129"/>
      <c r="C9" s="130">
        <v>71473.942360000001</v>
      </c>
      <c r="D9" s="130">
        <v>76481.196679999994</v>
      </c>
      <c r="E9" s="130">
        <v>378288.42212999996</v>
      </c>
      <c r="F9" s="131">
        <v>40.664677831667909</v>
      </c>
      <c r="G9" s="131">
        <v>125.38970485977971</v>
      </c>
    </row>
    <row r="10" spans="1:8" ht="15.6" customHeight="1">
      <c r="A10" s="132"/>
      <c r="B10" s="133" t="s">
        <v>185</v>
      </c>
      <c r="C10" s="134">
        <v>10042.120000000001</v>
      </c>
      <c r="D10" s="134">
        <v>10760.72</v>
      </c>
      <c r="E10" s="134">
        <v>54229.619999999995</v>
      </c>
      <c r="F10" s="135">
        <v>38.180117950426215</v>
      </c>
      <c r="G10" s="135">
        <v>105.7555775098453</v>
      </c>
      <c r="H10" s="136"/>
    </row>
    <row r="11" spans="1:8" ht="15.6" customHeight="1">
      <c r="A11" s="132"/>
      <c r="B11" s="137" t="s">
        <v>186</v>
      </c>
      <c r="D11" s="134"/>
      <c r="E11" s="134"/>
      <c r="F11" s="135"/>
      <c r="G11" s="135"/>
      <c r="H11" s="136"/>
    </row>
    <row r="12" spans="1:8" ht="15.6" customHeight="1">
      <c r="A12" s="132"/>
      <c r="B12" s="138" t="s">
        <v>187</v>
      </c>
      <c r="C12" s="139">
        <v>6234.71</v>
      </c>
      <c r="D12" s="139">
        <v>6649.71</v>
      </c>
      <c r="E12" s="139">
        <v>33750.6</v>
      </c>
      <c r="F12" s="140">
        <v>40.587471499232571</v>
      </c>
      <c r="G12" s="140">
        <v>102.68625510341613</v>
      </c>
      <c r="H12" s="136"/>
    </row>
    <row r="13" spans="1:8" ht="15.6" customHeight="1">
      <c r="A13" s="132"/>
      <c r="B13" s="138" t="s">
        <v>188</v>
      </c>
      <c r="C13" s="139">
        <v>1660.3</v>
      </c>
      <c r="D13" s="139">
        <v>1754.51</v>
      </c>
      <c r="E13" s="139">
        <v>8514.8599999999988</v>
      </c>
      <c r="F13" s="140">
        <v>36.417237633332469</v>
      </c>
      <c r="G13" s="140">
        <v>156.77645372275165</v>
      </c>
      <c r="H13" s="136"/>
    </row>
    <row r="14" spans="1:8" ht="15.6" customHeight="1">
      <c r="A14" s="132"/>
      <c r="B14" s="138" t="s">
        <v>189</v>
      </c>
      <c r="C14" s="139">
        <v>259.12</v>
      </c>
      <c r="D14" s="139">
        <v>298.82</v>
      </c>
      <c r="E14" s="139">
        <v>1417.451</v>
      </c>
      <c r="F14" s="140">
        <v>24.617200159083843</v>
      </c>
      <c r="G14" s="140">
        <v>275.31873980265715</v>
      </c>
      <c r="H14" s="136"/>
    </row>
    <row r="15" spans="1:8" ht="15.6" customHeight="1">
      <c r="A15" s="132"/>
      <c r="B15" s="138" t="s">
        <v>190</v>
      </c>
      <c r="C15" s="139">
        <v>165.23</v>
      </c>
      <c r="D15" s="139">
        <v>196.23</v>
      </c>
      <c r="E15" s="139">
        <v>838.71</v>
      </c>
      <c r="F15" s="140">
        <v>28.681690718829085</v>
      </c>
      <c r="G15" s="140">
        <v>166.71834933508262</v>
      </c>
      <c r="H15" s="136"/>
    </row>
    <row r="16" spans="1:8" ht="15.6" customHeight="1">
      <c r="A16" s="132"/>
      <c r="B16" s="138" t="s">
        <v>191</v>
      </c>
      <c r="C16" s="139">
        <v>65.510000000000005</v>
      </c>
      <c r="D16" s="139">
        <v>78.11</v>
      </c>
      <c r="E16" s="139">
        <v>373.39</v>
      </c>
      <c r="F16" s="141">
        <v>22.905563244113345</v>
      </c>
      <c r="G16" s="140">
        <v>123.48777987234183</v>
      </c>
      <c r="H16" s="136"/>
    </row>
    <row r="17" spans="1:8" ht="15.6" customHeight="1">
      <c r="A17" s="132"/>
      <c r="B17" s="138" t="s">
        <v>192</v>
      </c>
      <c r="C17" s="142">
        <v>37.43</v>
      </c>
      <c r="D17" s="142">
        <v>43.72</v>
      </c>
      <c r="E17" s="142">
        <v>220.66</v>
      </c>
      <c r="F17" s="141">
        <v>23.897970632766626</v>
      </c>
      <c r="G17" s="141">
        <v>91.397092324897471</v>
      </c>
      <c r="H17" s="136"/>
    </row>
    <row r="18" spans="1:8" ht="15.6" customHeight="1">
      <c r="A18" s="132"/>
      <c r="B18" s="138" t="s">
        <v>357</v>
      </c>
      <c r="C18" s="142">
        <v>20.100000000000001</v>
      </c>
      <c r="D18" s="142">
        <v>23.599999999999998</v>
      </c>
      <c r="E18" s="142">
        <v>112.822</v>
      </c>
      <c r="F18" s="141">
        <v>26.64000037779866</v>
      </c>
      <c r="G18" s="141">
        <v>40.351216022889844</v>
      </c>
      <c r="H18" s="136"/>
    </row>
    <row r="19" spans="1:8" ht="15.6" customHeight="1">
      <c r="A19" s="132"/>
      <c r="B19" s="133" t="s">
        <v>193</v>
      </c>
      <c r="C19" s="134">
        <v>61431.822360000006</v>
      </c>
      <c r="D19" s="134">
        <v>65720.476679999992</v>
      </c>
      <c r="E19" s="134">
        <v>324058.80212999997</v>
      </c>
      <c r="F19" s="135">
        <v>41.112388715727462</v>
      </c>
      <c r="G19" s="135">
        <v>129.41029581436132</v>
      </c>
      <c r="H19" s="136"/>
    </row>
    <row r="20" spans="1:8" ht="15.6" customHeight="1">
      <c r="A20" s="132"/>
      <c r="B20" s="143" t="s">
        <v>194</v>
      </c>
      <c r="C20" s="139">
        <v>50279.50793</v>
      </c>
      <c r="D20" s="139">
        <v>53364.071519999998</v>
      </c>
      <c r="E20" s="139">
        <v>259131.34601999997</v>
      </c>
      <c r="F20" s="140">
        <v>39.758008667768024</v>
      </c>
      <c r="G20" s="140">
        <v>133.49927199262865</v>
      </c>
      <c r="H20" s="136"/>
    </row>
    <row r="21" spans="1:8" ht="15.6" customHeight="1">
      <c r="A21" s="132"/>
      <c r="B21" s="143" t="s">
        <v>195</v>
      </c>
      <c r="C21" s="139">
        <v>11152.314430000002</v>
      </c>
      <c r="D21" s="139">
        <v>12356.40516</v>
      </c>
      <c r="E21" s="139">
        <v>64927.456109999999</v>
      </c>
      <c r="F21" s="140">
        <v>47.581517131821656</v>
      </c>
      <c r="G21" s="140">
        <v>115.31387624480327</v>
      </c>
      <c r="H21" s="136"/>
    </row>
    <row r="22" spans="1:8" ht="15.6" customHeight="1">
      <c r="B22" s="144" t="s">
        <v>196</v>
      </c>
      <c r="C22" s="145"/>
      <c r="D22" s="145"/>
      <c r="E22" s="145"/>
      <c r="F22" s="146"/>
      <c r="G22" s="146"/>
      <c r="H22" s="136"/>
    </row>
    <row r="23" spans="1:8" ht="15.6" customHeight="1">
      <c r="A23" s="147"/>
      <c r="B23" s="148" t="s">
        <v>171</v>
      </c>
      <c r="C23" s="149">
        <v>12658.395</v>
      </c>
      <c r="D23" s="149">
        <v>12611.004000000001</v>
      </c>
      <c r="E23" s="149">
        <v>61414.591</v>
      </c>
      <c r="F23" s="146">
        <v>40.257248117852136</v>
      </c>
      <c r="G23" s="146">
        <v>152.63693204172407</v>
      </c>
      <c r="H23" s="136"/>
    </row>
    <row r="24" spans="1:8" ht="15.6" customHeight="1">
      <c r="A24" s="147"/>
      <c r="B24" s="148" t="s">
        <v>143</v>
      </c>
      <c r="C24" s="149">
        <v>7267.2420000000002</v>
      </c>
      <c r="D24" s="149">
        <v>8329.3359999999993</v>
      </c>
      <c r="E24" s="149">
        <v>41931.987000000001</v>
      </c>
      <c r="F24" s="146">
        <v>40.099318618342608</v>
      </c>
      <c r="G24" s="146">
        <v>136.19333027938674</v>
      </c>
      <c r="H24" s="136"/>
    </row>
    <row r="25" spans="1:8" ht="15.6" customHeight="1">
      <c r="A25" s="147"/>
      <c r="B25" s="148" t="s">
        <v>148</v>
      </c>
      <c r="C25" s="149">
        <v>3470.3180000000002</v>
      </c>
      <c r="D25" s="149">
        <v>3956.527</v>
      </c>
      <c r="E25" s="149">
        <v>18565.043000000001</v>
      </c>
      <c r="F25" s="146">
        <v>35.303384393464356</v>
      </c>
      <c r="G25" s="146">
        <v>176.82012154033637</v>
      </c>
      <c r="H25" s="136"/>
    </row>
    <row r="26" spans="1:8" ht="15.6" customHeight="1">
      <c r="A26" s="147"/>
      <c r="B26" s="148" t="s">
        <v>147</v>
      </c>
      <c r="C26" s="149">
        <v>2850.0303599999997</v>
      </c>
      <c r="D26" s="149">
        <v>3159.03568</v>
      </c>
      <c r="E26" s="149">
        <v>17348.260129999999</v>
      </c>
      <c r="F26" s="146">
        <v>40.19043291283738</v>
      </c>
      <c r="G26" s="146">
        <v>142.1488217999337</v>
      </c>
      <c r="H26" s="136"/>
    </row>
    <row r="27" spans="1:8" ht="15.6" customHeight="1">
      <c r="A27" s="147"/>
      <c r="B27" s="148" t="s">
        <v>146</v>
      </c>
      <c r="C27" s="149">
        <v>2806.9050000000002</v>
      </c>
      <c r="D27" s="149">
        <v>3039.92</v>
      </c>
      <c r="E27" s="149">
        <v>14650.726000000001</v>
      </c>
      <c r="F27" s="146">
        <v>39.924159301546595</v>
      </c>
      <c r="G27" s="146">
        <v>138.66035933684074</v>
      </c>
      <c r="H27" s="136"/>
    </row>
    <row r="28" spans="1:8" ht="15.6" customHeight="1">
      <c r="A28" s="147"/>
      <c r="B28" s="148" t="s">
        <v>154</v>
      </c>
      <c r="C28" s="149">
        <v>2261.5859999999998</v>
      </c>
      <c r="D28" s="149">
        <v>2423.6030000000001</v>
      </c>
      <c r="E28" s="149">
        <v>12591.239</v>
      </c>
      <c r="F28" s="146">
        <v>43.565733825442734</v>
      </c>
      <c r="G28" s="146">
        <v>114.67045415322563</v>
      </c>
      <c r="H28" s="136"/>
    </row>
    <row r="29" spans="1:8">
      <c r="A29" s="147"/>
      <c r="B29" s="148" t="s">
        <v>175</v>
      </c>
      <c r="C29" s="149">
        <v>2000.9169999999999</v>
      </c>
      <c r="D29" s="149">
        <v>2120.9250000000002</v>
      </c>
      <c r="E29" s="149">
        <v>11238.058000000001</v>
      </c>
      <c r="F29" s="146">
        <v>39.158360918498907</v>
      </c>
      <c r="G29" s="146">
        <v>108.94831583719147</v>
      </c>
      <c r="H29" s="136"/>
    </row>
    <row r="30" spans="1:8">
      <c r="A30" s="147"/>
      <c r="B30" s="148" t="s">
        <v>170</v>
      </c>
      <c r="C30" s="149">
        <v>2368.5590000000002</v>
      </c>
      <c r="D30" s="149">
        <v>2746.8910000000001</v>
      </c>
      <c r="E30" s="149">
        <v>10684.269</v>
      </c>
      <c r="F30" s="146">
        <v>32.083209691167546</v>
      </c>
      <c r="G30" s="146">
        <v>140.80455043968024</v>
      </c>
      <c r="H30" s="136"/>
    </row>
    <row r="31" spans="1:8">
      <c r="A31" s="147"/>
      <c r="B31" s="148" t="s">
        <v>197</v>
      </c>
      <c r="C31" s="149">
        <v>1267.0640000000001</v>
      </c>
      <c r="D31" s="149">
        <v>1364.42</v>
      </c>
      <c r="E31" s="149">
        <v>7818.3119999999999</v>
      </c>
      <c r="F31" s="146">
        <v>46.270573693157026</v>
      </c>
      <c r="G31" s="146">
        <v>112.19351964061622</v>
      </c>
      <c r="H31" s="136"/>
    </row>
    <row r="32" spans="1:8">
      <c r="A32" s="147"/>
      <c r="B32" s="148" t="s">
        <v>169</v>
      </c>
      <c r="C32" s="149">
        <v>1727.347</v>
      </c>
      <c r="D32" s="149">
        <v>1899.5150000000001</v>
      </c>
      <c r="E32" s="149">
        <v>7807.2860000000001</v>
      </c>
      <c r="F32" s="146">
        <v>49.053509908609378</v>
      </c>
      <c r="G32" s="146">
        <v>121.09373400495214</v>
      </c>
      <c r="H32" s="136"/>
    </row>
    <row r="33" spans="1:8">
      <c r="A33" s="147"/>
      <c r="B33" s="148" t="s">
        <v>198</v>
      </c>
      <c r="C33" s="149">
        <v>1513.894</v>
      </c>
      <c r="D33" s="149">
        <v>1598.57</v>
      </c>
      <c r="E33" s="149">
        <v>7704.1149999999998</v>
      </c>
      <c r="F33" s="146">
        <v>46.821821803571041</v>
      </c>
      <c r="G33" s="146">
        <v>123.66816717490676</v>
      </c>
      <c r="H33" s="136"/>
    </row>
    <row r="34" spans="1:8">
      <c r="A34" s="147"/>
      <c r="B34" s="148" t="s">
        <v>199</v>
      </c>
      <c r="C34" s="149">
        <v>1322.5619999999999</v>
      </c>
      <c r="D34" s="149">
        <v>1410.674</v>
      </c>
      <c r="E34" s="149">
        <v>7575.3320000000003</v>
      </c>
      <c r="F34" s="146">
        <v>46.891533957577245</v>
      </c>
      <c r="G34" s="146">
        <v>115.79220253560818</v>
      </c>
      <c r="H34" s="136"/>
    </row>
    <row r="35" spans="1:8">
      <c r="A35" s="147"/>
      <c r="B35" s="148" t="s">
        <v>165</v>
      </c>
      <c r="C35" s="149">
        <v>1897.2570000000001</v>
      </c>
      <c r="D35" s="149">
        <v>1594.346</v>
      </c>
      <c r="E35" s="149">
        <v>7514.0940000000001</v>
      </c>
      <c r="F35" s="146">
        <v>51.599541749062496</v>
      </c>
      <c r="G35" s="146">
        <v>134.61840888190903</v>
      </c>
      <c r="H35" s="136"/>
    </row>
    <row r="36" spans="1:8">
      <c r="A36" s="147"/>
      <c r="B36" s="148" t="s">
        <v>158</v>
      </c>
      <c r="C36" s="149">
        <v>1424.932</v>
      </c>
      <c r="D36" s="149">
        <v>1578.095</v>
      </c>
      <c r="E36" s="149">
        <v>7326.1620000000003</v>
      </c>
      <c r="F36" s="146">
        <v>51.526478615823748</v>
      </c>
      <c r="G36" s="146">
        <v>113.20088432565534</v>
      </c>
      <c r="H36" s="136"/>
    </row>
    <row r="37" spans="1:8">
      <c r="A37" s="147"/>
      <c r="B37" s="148" t="s">
        <v>172</v>
      </c>
      <c r="C37" s="149">
        <v>1170.269</v>
      </c>
      <c r="D37" s="149">
        <v>1260.2660000000001</v>
      </c>
      <c r="E37" s="149">
        <v>7256.4110000000001</v>
      </c>
      <c r="F37" s="146">
        <v>39.48444484782754</v>
      </c>
      <c r="G37" s="146">
        <v>129.20630760292252</v>
      </c>
      <c r="H37" s="136"/>
    </row>
    <row r="38" spans="1:8">
      <c r="A38" s="147"/>
      <c r="B38" s="148" t="s">
        <v>152</v>
      </c>
      <c r="C38" s="149">
        <v>1550.6279999999999</v>
      </c>
      <c r="D38" s="149">
        <v>1721.36</v>
      </c>
      <c r="E38" s="149">
        <v>7049.8010000000004</v>
      </c>
      <c r="F38" s="146">
        <v>55.407334786382592</v>
      </c>
      <c r="G38" s="146">
        <v>161.23600837902006</v>
      </c>
      <c r="H38" s="136"/>
    </row>
    <row r="39" spans="1:8">
      <c r="A39" s="147"/>
      <c r="B39" s="148" t="s">
        <v>200</v>
      </c>
      <c r="C39" s="149">
        <v>1252.3779999999999</v>
      </c>
      <c r="D39" s="149">
        <v>1425.443</v>
      </c>
      <c r="E39" s="149">
        <v>6647.0559999999996</v>
      </c>
      <c r="F39" s="146">
        <v>30.40191709297369</v>
      </c>
      <c r="G39" s="146">
        <v>100.22804817660978</v>
      </c>
      <c r="H39" s="136"/>
    </row>
    <row r="40" spans="1:8">
      <c r="A40" s="147"/>
      <c r="B40" s="148" t="s">
        <v>167</v>
      </c>
      <c r="C40" s="149">
        <v>1078.307</v>
      </c>
      <c r="D40" s="149">
        <v>1125.7570000000001</v>
      </c>
      <c r="E40" s="149">
        <v>6578.2910000000002</v>
      </c>
      <c r="F40" s="146">
        <v>39.024486752520296</v>
      </c>
      <c r="G40" s="146">
        <v>133.09290133129502</v>
      </c>
      <c r="H40" s="136"/>
    </row>
    <row r="41" spans="1:8">
      <c r="A41" s="147"/>
      <c r="B41" s="148" t="s">
        <v>145</v>
      </c>
      <c r="C41" s="149">
        <v>1273.952</v>
      </c>
      <c r="D41" s="149">
        <v>1313.752</v>
      </c>
      <c r="E41" s="149">
        <v>6561.1540000000005</v>
      </c>
      <c r="F41" s="146">
        <v>47.655552213635964</v>
      </c>
      <c r="G41" s="146">
        <v>101.18903969984221</v>
      </c>
      <c r="H41" s="136"/>
    </row>
    <row r="42" spans="1:8">
      <c r="A42" s="147"/>
      <c r="B42" s="148" t="s">
        <v>168</v>
      </c>
      <c r="C42" s="149">
        <v>1188.1600000000001</v>
      </c>
      <c r="D42" s="149">
        <v>1261.8130000000001</v>
      </c>
      <c r="E42" s="149">
        <v>6545.6760000000004</v>
      </c>
      <c r="F42" s="146">
        <v>41.213266291615355</v>
      </c>
      <c r="G42" s="146">
        <v>107.75632037905237</v>
      </c>
      <c r="H42" s="136"/>
    </row>
    <row r="43" spans="1:8">
      <c r="A43" s="147"/>
      <c r="B43" s="148" t="s">
        <v>151</v>
      </c>
      <c r="C43" s="149">
        <v>966.971</v>
      </c>
      <c r="D43" s="149">
        <v>997.26300000000003</v>
      </c>
      <c r="E43" s="149">
        <v>5247.6980000000003</v>
      </c>
      <c r="F43" s="146">
        <v>47.402054430048281</v>
      </c>
      <c r="G43" s="146">
        <v>111.38494820025909</v>
      </c>
      <c r="H43" s="136"/>
    </row>
    <row r="44" spans="1:8">
      <c r="A44" s="147"/>
      <c r="H44" s="136"/>
    </row>
    <row r="45" spans="1:8">
      <c r="A45" s="147"/>
    </row>
    <row r="46" spans="1:8">
      <c r="A46" s="147"/>
    </row>
    <row r="47" spans="1:8">
      <c r="A47" s="147"/>
    </row>
    <row r="48" spans="1:8">
      <c r="A48" s="147"/>
    </row>
    <row r="49" spans="1:1">
      <c r="A49" s="147"/>
    </row>
    <row r="50" spans="1:1">
      <c r="A50" s="147"/>
    </row>
    <row r="51" spans="1:1">
      <c r="A51" s="147"/>
    </row>
    <row r="52" spans="1:1">
      <c r="A52" s="147"/>
    </row>
    <row r="53" spans="1:1">
      <c r="A53" s="147"/>
    </row>
    <row r="54" spans="1:1">
      <c r="A54" s="147"/>
    </row>
    <row r="55" spans="1:1">
      <c r="A55" s="147"/>
    </row>
    <row r="56" spans="1:1">
      <c r="A56" s="147"/>
    </row>
    <row r="57" spans="1:1">
      <c r="A57" s="147"/>
    </row>
    <row r="58" spans="1:1">
      <c r="A58" s="147"/>
    </row>
    <row r="59" spans="1:1">
      <c r="A59" s="147"/>
    </row>
    <row r="60" spans="1:1">
      <c r="A60" s="147"/>
    </row>
    <row r="61" spans="1:1">
      <c r="A61" s="147"/>
    </row>
    <row r="62" spans="1:1">
      <c r="A62" s="147"/>
    </row>
    <row r="63" spans="1:1">
      <c r="A63" s="147"/>
    </row>
    <row r="64" spans="1:1">
      <c r="A64" s="147"/>
    </row>
    <row r="65" spans="1:6">
      <c r="A65" s="147"/>
    </row>
    <row r="66" spans="1:6">
      <c r="A66" s="147"/>
    </row>
    <row r="67" spans="1:6">
      <c r="A67" s="150"/>
      <c r="B67" s="150"/>
      <c r="C67" s="150"/>
      <c r="D67" s="150"/>
      <c r="E67" s="150"/>
      <c r="F67" s="150"/>
    </row>
    <row r="68" spans="1:6">
      <c r="A68" s="150"/>
      <c r="B68" s="150"/>
      <c r="C68" s="150"/>
      <c r="D68" s="150"/>
      <c r="E68" s="150"/>
      <c r="F68" s="150"/>
    </row>
    <row r="69" spans="1:6">
      <c r="A69" s="150"/>
      <c r="B69" s="150"/>
      <c r="C69" s="150"/>
      <c r="D69" s="150"/>
      <c r="E69" s="150"/>
      <c r="F69" s="150"/>
    </row>
    <row r="70" spans="1:6">
      <c r="A70" s="150"/>
      <c r="B70" s="150"/>
      <c r="C70" s="150"/>
      <c r="D70" s="150"/>
      <c r="E70" s="150"/>
      <c r="F70" s="150"/>
    </row>
    <row r="71" spans="1:6">
      <c r="A71" s="150"/>
      <c r="B71" s="150"/>
      <c r="C71" s="150"/>
      <c r="D71" s="150"/>
      <c r="E71" s="150"/>
      <c r="F71" s="150"/>
    </row>
    <row r="72" spans="1:6">
      <c r="A72" s="150"/>
      <c r="B72" s="150"/>
      <c r="C72" s="150"/>
      <c r="D72" s="150"/>
      <c r="E72" s="150"/>
      <c r="F72" s="150"/>
    </row>
    <row r="73" spans="1:6">
      <c r="A73" s="150"/>
      <c r="B73" s="150"/>
      <c r="C73" s="150"/>
      <c r="D73" s="150"/>
      <c r="E73" s="150"/>
      <c r="F73" s="150"/>
    </row>
  </sheetData>
  <pageMargins left="0.78740157480314998" right="0.47244094488188998" top="0.74803149606299202" bottom="0.511811023622047" header="0.43307086614173201" footer="0.23622047244094499"/>
  <pageSetup paperSize="9" scale="99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1723-A143-460F-90B7-26149B854543}">
  <sheetPr>
    <pageSetUpPr fitToPage="1"/>
  </sheetPr>
  <dimension ref="A1:F67"/>
  <sheetViews>
    <sheetView topLeftCell="A7" workbookViewId="0">
      <selection activeCell="F11" sqref="F11"/>
    </sheetView>
  </sheetViews>
  <sheetFormatPr defaultRowHeight="15"/>
  <cols>
    <col min="1" max="1" width="4.28515625" style="449" customWidth="1"/>
    <col min="2" max="2" width="46.42578125" style="449" customWidth="1"/>
    <col min="3" max="3" width="13.28515625" style="449" customWidth="1"/>
    <col min="4" max="4" width="12.85546875" style="449" customWidth="1"/>
    <col min="5" max="5" width="12.140625" style="449" customWidth="1"/>
    <col min="6" max="126" width="9.140625" style="449"/>
    <col min="127" max="127" width="4.28515625" style="449" customWidth="1"/>
    <col min="128" max="128" width="45.42578125" style="449" customWidth="1"/>
    <col min="129" max="130" width="20.7109375" style="449" customWidth="1"/>
    <col min="131" max="131" width="21.42578125" style="449" bestFit="1" customWidth="1"/>
    <col min="132" max="382" width="9.140625" style="449"/>
    <col min="383" max="383" width="4.28515625" style="449" customWidth="1"/>
    <col min="384" max="384" width="45.42578125" style="449" customWidth="1"/>
    <col min="385" max="386" width="20.7109375" style="449" customWidth="1"/>
    <col min="387" max="387" width="21.42578125" style="449" bestFit="1" customWidth="1"/>
    <col min="388" max="638" width="9.140625" style="449"/>
    <col min="639" max="639" width="4.28515625" style="449" customWidth="1"/>
    <col min="640" max="640" width="45.42578125" style="449" customWidth="1"/>
    <col min="641" max="642" width="20.7109375" style="449" customWidth="1"/>
    <col min="643" max="643" width="21.42578125" style="449" bestFit="1" customWidth="1"/>
    <col min="644" max="894" width="9.140625" style="449"/>
    <col min="895" max="895" width="4.28515625" style="449" customWidth="1"/>
    <col min="896" max="896" width="45.42578125" style="449" customWidth="1"/>
    <col min="897" max="898" width="20.7109375" style="449" customWidth="1"/>
    <col min="899" max="899" width="21.42578125" style="449" bestFit="1" customWidth="1"/>
    <col min="900" max="1150" width="9.140625" style="449"/>
    <col min="1151" max="1151" width="4.28515625" style="449" customWidth="1"/>
    <col min="1152" max="1152" width="45.42578125" style="449" customWidth="1"/>
    <col min="1153" max="1154" width="20.7109375" style="449" customWidth="1"/>
    <col min="1155" max="1155" width="21.42578125" style="449" bestFit="1" customWidth="1"/>
    <col min="1156" max="1406" width="9.140625" style="449"/>
    <col min="1407" max="1407" width="4.28515625" style="449" customWidth="1"/>
    <col min="1408" max="1408" width="45.42578125" style="449" customWidth="1"/>
    <col min="1409" max="1410" width="20.7109375" style="449" customWidth="1"/>
    <col min="1411" max="1411" width="21.42578125" style="449" bestFit="1" customWidth="1"/>
    <col min="1412" max="1662" width="9.140625" style="449"/>
    <col min="1663" max="1663" width="4.28515625" style="449" customWidth="1"/>
    <col min="1664" max="1664" width="45.42578125" style="449" customWidth="1"/>
    <col min="1665" max="1666" width="20.7109375" style="449" customWidth="1"/>
    <col min="1667" max="1667" width="21.42578125" style="449" bestFit="1" customWidth="1"/>
    <col min="1668" max="1918" width="9.140625" style="449"/>
    <col min="1919" max="1919" width="4.28515625" style="449" customWidth="1"/>
    <col min="1920" max="1920" width="45.42578125" style="449" customWidth="1"/>
    <col min="1921" max="1922" width="20.7109375" style="449" customWidth="1"/>
    <col min="1923" max="1923" width="21.42578125" style="449" bestFit="1" customWidth="1"/>
    <col min="1924" max="2174" width="9.140625" style="449"/>
    <col min="2175" max="2175" width="4.28515625" style="449" customWidth="1"/>
    <col min="2176" max="2176" width="45.42578125" style="449" customWidth="1"/>
    <col min="2177" max="2178" width="20.7109375" style="449" customWidth="1"/>
    <col min="2179" max="2179" width="21.42578125" style="449" bestFit="1" customWidth="1"/>
    <col min="2180" max="2430" width="9.140625" style="449"/>
    <col min="2431" max="2431" width="4.28515625" style="449" customWidth="1"/>
    <col min="2432" max="2432" width="45.42578125" style="449" customWidth="1"/>
    <col min="2433" max="2434" width="20.7109375" style="449" customWidth="1"/>
    <col min="2435" max="2435" width="21.42578125" style="449" bestFit="1" customWidth="1"/>
    <col min="2436" max="2686" width="9.140625" style="449"/>
    <col min="2687" max="2687" width="4.28515625" style="449" customWidth="1"/>
    <col min="2688" max="2688" width="45.42578125" style="449" customWidth="1"/>
    <col min="2689" max="2690" width="20.7109375" style="449" customWidth="1"/>
    <col min="2691" max="2691" width="21.42578125" style="449" bestFit="1" customWidth="1"/>
    <col min="2692" max="2942" width="9.140625" style="449"/>
    <col min="2943" max="2943" width="4.28515625" style="449" customWidth="1"/>
    <col min="2944" max="2944" width="45.42578125" style="449" customWidth="1"/>
    <col min="2945" max="2946" width="20.7109375" style="449" customWidth="1"/>
    <col min="2947" max="2947" width="21.42578125" style="449" bestFit="1" customWidth="1"/>
    <col min="2948" max="3198" width="9.140625" style="449"/>
    <col min="3199" max="3199" width="4.28515625" style="449" customWidth="1"/>
    <col min="3200" max="3200" width="45.42578125" style="449" customWidth="1"/>
    <col min="3201" max="3202" width="20.7109375" style="449" customWidth="1"/>
    <col min="3203" max="3203" width="21.42578125" style="449" bestFit="1" customWidth="1"/>
    <col min="3204" max="3454" width="9.140625" style="449"/>
    <col min="3455" max="3455" width="4.28515625" style="449" customWidth="1"/>
    <col min="3456" max="3456" width="45.42578125" style="449" customWidth="1"/>
    <col min="3457" max="3458" width="20.7109375" style="449" customWidth="1"/>
    <col min="3459" max="3459" width="21.42578125" style="449" bestFit="1" customWidth="1"/>
    <col min="3460" max="3710" width="9.140625" style="449"/>
    <col min="3711" max="3711" width="4.28515625" style="449" customWidth="1"/>
    <col min="3712" max="3712" width="45.42578125" style="449" customWidth="1"/>
    <col min="3713" max="3714" width="20.7109375" style="449" customWidth="1"/>
    <col min="3715" max="3715" width="21.42578125" style="449" bestFit="1" customWidth="1"/>
    <col min="3716" max="3966" width="9.140625" style="449"/>
    <col min="3967" max="3967" width="4.28515625" style="449" customWidth="1"/>
    <col min="3968" max="3968" width="45.42578125" style="449" customWidth="1"/>
    <col min="3969" max="3970" width="20.7109375" style="449" customWidth="1"/>
    <col min="3971" max="3971" width="21.42578125" style="449" bestFit="1" customWidth="1"/>
    <col min="3972" max="4222" width="9.140625" style="449"/>
    <col min="4223" max="4223" width="4.28515625" style="449" customWidth="1"/>
    <col min="4224" max="4224" width="45.42578125" style="449" customWidth="1"/>
    <col min="4225" max="4226" width="20.7109375" style="449" customWidth="1"/>
    <col min="4227" max="4227" width="21.42578125" style="449" bestFit="1" customWidth="1"/>
    <col min="4228" max="4478" width="9.140625" style="449"/>
    <col min="4479" max="4479" width="4.28515625" style="449" customWidth="1"/>
    <col min="4480" max="4480" width="45.42578125" style="449" customWidth="1"/>
    <col min="4481" max="4482" width="20.7109375" style="449" customWidth="1"/>
    <col min="4483" max="4483" width="21.42578125" style="449" bestFit="1" customWidth="1"/>
    <col min="4484" max="4734" width="9.140625" style="449"/>
    <col min="4735" max="4735" width="4.28515625" style="449" customWidth="1"/>
    <col min="4736" max="4736" width="45.42578125" style="449" customWidth="1"/>
    <col min="4737" max="4738" width="20.7109375" style="449" customWidth="1"/>
    <col min="4739" max="4739" width="21.42578125" style="449" bestFit="1" customWidth="1"/>
    <col min="4740" max="4990" width="9.140625" style="449"/>
    <col min="4991" max="4991" width="4.28515625" style="449" customWidth="1"/>
    <col min="4992" max="4992" width="45.42578125" style="449" customWidth="1"/>
    <col min="4993" max="4994" width="20.7109375" style="449" customWidth="1"/>
    <col min="4995" max="4995" width="21.42578125" style="449" bestFit="1" customWidth="1"/>
    <col min="4996" max="5246" width="9.140625" style="449"/>
    <col min="5247" max="5247" width="4.28515625" style="449" customWidth="1"/>
    <col min="5248" max="5248" width="45.42578125" style="449" customWidth="1"/>
    <col min="5249" max="5250" width="20.7109375" style="449" customWidth="1"/>
    <col min="5251" max="5251" width="21.42578125" style="449" bestFit="1" customWidth="1"/>
    <col min="5252" max="5502" width="9.140625" style="449"/>
    <col min="5503" max="5503" width="4.28515625" style="449" customWidth="1"/>
    <col min="5504" max="5504" width="45.42578125" style="449" customWidth="1"/>
    <col min="5505" max="5506" width="20.7109375" style="449" customWidth="1"/>
    <col min="5507" max="5507" width="21.42578125" style="449" bestFit="1" customWidth="1"/>
    <col min="5508" max="5758" width="9.140625" style="449"/>
    <col min="5759" max="5759" width="4.28515625" style="449" customWidth="1"/>
    <col min="5760" max="5760" width="45.42578125" style="449" customWidth="1"/>
    <col min="5761" max="5762" width="20.7109375" style="449" customWidth="1"/>
    <col min="5763" max="5763" width="21.42578125" style="449" bestFit="1" customWidth="1"/>
    <col min="5764" max="6014" width="9.140625" style="449"/>
    <col min="6015" max="6015" width="4.28515625" style="449" customWidth="1"/>
    <col min="6016" max="6016" width="45.42578125" style="449" customWidth="1"/>
    <col min="6017" max="6018" width="20.7109375" style="449" customWidth="1"/>
    <col min="6019" max="6019" width="21.42578125" style="449" bestFit="1" customWidth="1"/>
    <col min="6020" max="6270" width="9.140625" style="449"/>
    <col min="6271" max="6271" width="4.28515625" style="449" customWidth="1"/>
    <col min="6272" max="6272" width="45.42578125" style="449" customWidth="1"/>
    <col min="6273" max="6274" width="20.7109375" style="449" customWidth="1"/>
    <col min="6275" max="6275" width="21.42578125" style="449" bestFit="1" customWidth="1"/>
    <col min="6276" max="6526" width="9.140625" style="449"/>
    <col min="6527" max="6527" width="4.28515625" style="449" customWidth="1"/>
    <col min="6528" max="6528" width="45.42578125" style="449" customWidth="1"/>
    <col min="6529" max="6530" width="20.7109375" style="449" customWidth="1"/>
    <col min="6531" max="6531" width="21.42578125" style="449" bestFit="1" customWidth="1"/>
    <col min="6532" max="6782" width="9.140625" style="449"/>
    <col min="6783" max="6783" width="4.28515625" style="449" customWidth="1"/>
    <col min="6784" max="6784" width="45.42578125" style="449" customWidth="1"/>
    <col min="6785" max="6786" width="20.7109375" style="449" customWidth="1"/>
    <col min="6787" max="6787" width="21.42578125" style="449" bestFit="1" customWidth="1"/>
    <col min="6788" max="7038" width="9.140625" style="449"/>
    <col min="7039" max="7039" width="4.28515625" style="449" customWidth="1"/>
    <col min="7040" max="7040" width="45.42578125" style="449" customWidth="1"/>
    <col min="7041" max="7042" width="20.7109375" style="449" customWidth="1"/>
    <col min="7043" max="7043" width="21.42578125" style="449" bestFit="1" customWidth="1"/>
    <col min="7044" max="7294" width="9.140625" style="449"/>
    <col min="7295" max="7295" width="4.28515625" style="449" customWidth="1"/>
    <col min="7296" max="7296" width="45.42578125" style="449" customWidth="1"/>
    <col min="7297" max="7298" width="20.7109375" style="449" customWidth="1"/>
    <col min="7299" max="7299" width="21.42578125" style="449" bestFit="1" customWidth="1"/>
    <col min="7300" max="7550" width="9.140625" style="449"/>
    <col min="7551" max="7551" width="4.28515625" style="449" customWidth="1"/>
    <col min="7552" max="7552" width="45.42578125" style="449" customWidth="1"/>
    <col min="7553" max="7554" width="20.7109375" style="449" customWidth="1"/>
    <col min="7555" max="7555" width="21.42578125" style="449" bestFit="1" customWidth="1"/>
    <col min="7556" max="7806" width="9.140625" style="449"/>
    <col min="7807" max="7807" width="4.28515625" style="449" customWidth="1"/>
    <col min="7808" max="7808" width="45.42578125" style="449" customWidth="1"/>
    <col min="7809" max="7810" width="20.7109375" style="449" customWidth="1"/>
    <col min="7811" max="7811" width="21.42578125" style="449" bestFit="1" customWidth="1"/>
    <col min="7812" max="8062" width="9.140625" style="449"/>
    <col min="8063" max="8063" width="4.28515625" style="449" customWidth="1"/>
    <col min="8064" max="8064" width="45.42578125" style="449" customWidth="1"/>
    <col min="8065" max="8066" width="20.7109375" style="449" customWidth="1"/>
    <col min="8067" max="8067" width="21.42578125" style="449" bestFit="1" customWidth="1"/>
    <col min="8068" max="8318" width="9.140625" style="449"/>
    <col min="8319" max="8319" width="4.28515625" style="449" customWidth="1"/>
    <col min="8320" max="8320" width="45.42578125" style="449" customWidth="1"/>
    <col min="8321" max="8322" width="20.7109375" style="449" customWidth="1"/>
    <col min="8323" max="8323" width="21.42578125" style="449" bestFit="1" customWidth="1"/>
    <col min="8324" max="8574" width="9.140625" style="449"/>
    <col min="8575" max="8575" width="4.28515625" style="449" customWidth="1"/>
    <col min="8576" max="8576" width="45.42578125" style="449" customWidth="1"/>
    <col min="8577" max="8578" width="20.7109375" style="449" customWidth="1"/>
    <col min="8579" max="8579" width="21.42578125" style="449" bestFit="1" customWidth="1"/>
    <col min="8580" max="8830" width="9.140625" style="449"/>
    <col min="8831" max="8831" width="4.28515625" style="449" customWidth="1"/>
    <col min="8832" max="8832" width="45.42578125" style="449" customWidth="1"/>
    <col min="8833" max="8834" width="20.7109375" style="449" customWidth="1"/>
    <col min="8835" max="8835" width="21.42578125" style="449" bestFit="1" customWidth="1"/>
    <col min="8836" max="9086" width="9.140625" style="449"/>
    <col min="9087" max="9087" width="4.28515625" style="449" customWidth="1"/>
    <col min="9088" max="9088" width="45.42578125" style="449" customWidth="1"/>
    <col min="9089" max="9090" width="20.7109375" style="449" customWidth="1"/>
    <col min="9091" max="9091" width="21.42578125" style="449" bestFit="1" customWidth="1"/>
    <col min="9092" max="9342" width="9.140625" style="449"/>
    <col min="9343" max="9343" width="4.28515625" style="449" customWidth="1"/>
    <col min="9344" max="9344" width="45.42578125" style="449" customWidth="1"/>
    <col min="9345" max="9346" width="20.7109375" style="449" customWidth="1"/>
    <col min="9347" max="9347" width="21.42578125" style="449" bestFit="1" customWidth="1"/>
    <col min="9348" max="9598" width="9.140625" style="449"/>
    <col min="9599" max="9599" width="4.28515625" style="449" customWidth="1"/>
    <col min="9600" max="9600" width="45.42578125" style="449" customWidth="1"/>
    <col min="9601" max="9602" width="20.7109375" style="449" customWidth="1"/>
    <col min="9603" max="9603" width="21.42578125" style="449" bestFit="1" customWidth="1"/>
    <col min="9604" max="9854" width="9.140625" style="449"/>
    <col min="9855" max="9855" width="4.28515625" style="449" customWidth="1"/>
    <col min="9856" max="9856" width="45.42578125" style="449" customWidth="1"/>
    <col min="9857" max="9858" width="20.7109375" style="449" customWidth="1"/>
    <col min="9859" max="9859" width="21.42578125" style="449" bestFit="1" customWidth="1"/>
    <col min="9860" max="10110" width="9.140625" style="449"/>
    <col min="10111" max="10111" width="4.28515625" style="449" customWidth="1"/>
    <col min="10112" max="10112" width="45.42578125" style="449" customWidth="1"/>
    <col min="10113" max="10114" width="20.7109375" style="449" customWidth="1"/>
    <col min="10115" max="10115" width="21.42578125" style="449" bestFit="1" customWidth="1"/>
    <col min="10116" max="10366" width="9.140625" style="449"/>
    <col min="10367" max="10367" width="4.28515625" style="449" customWidth="1"/>
    <col min="10368" max="10368" width="45.42578125" style="449" customWidth="1"/>
    <col min="10369" max="10370" width="20.7109375" style="449" customWidth="1"/>
    <col min="10371" max="10371" width="21.42578125" style="449" bestFit="1" customWidth="1"/>
    <col min="10372" max="10622" width="9.140625" style="449"/>
    <col min="10623" max="10623" width="4.28515625" style="449" customWidth="1"/>
    <col min="10624" max="10624" width="45.42578125" style="449" customWidth="1"/>
    <col min="10625" max="10626" width="20.7109375" style="449" customWidth="1"/>
    <col min="10627" max="10627" width="21.42578125" style="449" bestFit="1" customWidth="1"/>
    <col min="10628" max="10878" width="9.140625" style="449"/>
    <col min="10879" max="10879" width="4.28515625" style="449" customWidth="1"/>
    <col min="10880" max="10880" width="45.42578125" style="449" customWidth="1"/>
    <col min="10881" max="10882" width="20.7109375" style="449" customWidth="1"/>
    <col min="10883" max="10883" width="21.42578125" style="449" bestFit="1" customWidth="1"/>
    <col min="10884" max="11134" width="9.140625" style="449"/>
    <col min="11135" max="11135" width="4.28515625" style="449" customWidth="1"/>
    <col min="11136" max="11136" width="45.42578125" style="449" customWidth="1"/>
    <col min="11137" max="11138" width="20.7109375" style="449" customWidth="1"/>
    <col min="11139" max="11139" width="21.42578125" style="449" bestFit="1" customWidth="1"/>
    <col min="11140" max="11390" width="9.140625" style="449"/>
    <col min="11391" max="11391" width="4.28515625" style="449" customWidth="1"/>
    <col min="11392" max="11392" width="45.42578125" style="449" customWidth="1"/>
    <col min="11393" max="11394" width="20.7109375" style="449" customWidth="1"/>
    <col min="11395" max="11395" width="21.42578125" style="449" bestFit="1" customWidth="1"/>
    <col min="11396" max="11646" width="9.140625" style="449"/>
    <col min="11647" max="11647" width="4.28515625" style="449" customWidth="1"/>
    <col min="11648" max="11648" width="45.42578125" style="449" customWidth="1"/>
    <col min="11649" max="11650" width="20.7109375" style="449" customWidth="1"/>
    <col min="11651" max="11651" width="21.42578125" style="449" bestFit="1" customWidth="1"/>
    <col min="11652" max="11902" width="9.140625" style="449"/>
    <col min="11903" max="11903" width="4.28515625" style="449" customWidth="1"/>
    <col min="11904" max="11904" width="45.42578125" style="449" customWidth="1"/>
    <col min="11905" max="11906" width="20.7109375" style="449" customWidth="1"/>
    <col min="11907" max="11907" width="21.42578125" style="449" bestFit="1" customWidth="1"/>
    <col min="11908" max="12158" width="9.140625" style="449"/>
    <col min="12159" max="12159" width="4.28515625" style="449" customWidth="1"/>
    <col min="12160" max="12160" width="45.42578125" style="449" customWidth="1"/>
    <col min="12161" max="12162" width="20.7109375" style="449" customWidth="1"/>
    <col min="12163" max="12163" width="21.42578125" style="449" bestFit="1" customWidth="1"/>
    <col min="12164" max="12414" width="9.140625" style="449"/>
    <col min="12415" max="12415" width="4.28515625" style="449" customWidth="1"/>
    <col min="12416" max="12416" width="45.42578125" style="449" customWidth="1"/>
    <col min="12417" max="12418" width="20.7109375" style="449" customWidth="1"/>
    <col min="12419" max="12419" width="21.42578125" style="449" bestFit="1" customWidth="1"/>
    <col min="12420" max="12670" width="9.140625" style="449"/>
    <col min="12671" max="12671" width="4.28515625" style="449" customWidth="1"/>
    <col min="12672" max="12672" width="45.42578125" style="449" customWidth="1"/>
    <col min="12673" max="12674" width="20.7109375" style="449" customWidth="1"/>
    <col min="12675" max="12675" width="21.42578125" style="449" bestFit="1" customWidth="1"/>
    <col min="12676" max="12926" width="9.140625" style="449"/>
    <col min="12927" max="12927" width="4.28515625" style="449" customWidth="1"/>
    <col min="12928" max="12928" width="45.42578125" style="449" customWidth="1"/>
    <col min="12929" max="12930" width="20.7109375" style="449" customWidth="1"/>
    <col min="12931" max="12931" width="21.42578125" style="449" bestFit="1" customWidth="1"/>
    <col min="12932" max="13182" width="9.140625" style="449"/>
    <col min="13183" max="13183" width="4.28515625" style="449" customWidth="1"/>
    <col min="13184" max="13184" width="45.42578125" style="449" customWidth="1"/>
    <col min="13185" max="13186" width="20.7109375" style="449" customWidth="1"/>
    <col min="13187" max="13187" width="21.42578125" style="449" bestFit="1" customWidth="1"/>
    <col min="13188" max="13438" width="9.140625" style="449"/>
    <col min="13439" max="13439" width="4.28515625" style="449" customWidth="1"/>
    <col min="13440" max="13440" width="45.42578125" style="449" customWidth="1"/>
    <col min="13441" max="13442" width="20.7109375" style="449" customWidth="1"/>
    <col min="13443" max="13443" width="21.42578125" style="449" bestFit="1" customWidth="1"/>
    <col min="13444" max="13694" width="9.140625" style="449"/>
    <col min="13695" max="13695" width="4.28515625" style="449" customWidth="1"/>
    <col min="13696" max="13696" width="45.42578125" style="449" customWidth="1"/>
    <col min="13697" max="13698" width="20.7109375" style="449" customWidth="1"/>
    <col min="13699" max="13699" width="21.42578125" style="449" bestFit="1" customWidth="1"/>
    <col min="13700" max="13950" width="9.140625" style="449"/>
    <col min="13951" max="13951" width="4.28515625" style="449" customWidth="1"/>
    <col min="13952" max="13952" width="45.42578125" style="449" customWidth="1"/>
    <col min="13953" max="13954" width="20.7109375" style="449" customWidth="1"/>
    <col min="13955" max="13955" width="21.42578125" style="449" bestFit="1" customWidth="1"/>
    <col min="13956" max="14206" width="9.140625" style="449"/>
    <col min="14207" max="14207" width="4.28515625" style="449" customWidth="1"/>
    <col min="14208" max="14208" width="45.42578125" style="449" customWidth="1"/>
    <col min="14209" max="14210" width="20.7109375" style="449" customWidth="1"/>
    <col min="14211" max="14211" width="21.42578125" style="449" bestFit="1" customWidth="1"/>
    <col min="14212" max="14462" width="9.140625" style="449"/>
    <col min="14463" max="14463" width="4.28515625" style="449" customWidth="1"/>
    <col min="14464" max="14464" width="45.42578125" style="449" customWidth="1"/>
    <col min="14465" max="14466" width="20.7109375" style="449" customWidth="1"/>
    <col min="14467" max="14467" width="21.42578125" style="449" bestFit="1" customWidth="1"/>
    <col min="14468" max="14718" width="9.140625" style="449"/>
    <col min="14719" max="14719" width="4.28515625" style="449" customWidth="1"/>
    <col min="14720" max="14720" width="45.42578125" style="449" customWidth="1"/>
    <col min="14721" max="14722" width="20.7109375" style="449" customWidth="1"/>
    <col min="14723" max="14723" width="21.42578125" style="449" bestFit="1" customWidth="1"/>
    <col min="14724" max="14974" width="9.140625" style="449"/>
    <col min="14975" max="14975" width="4.28515625" style="449" customWidth="1"/>
    <col min="14976" max="14976" width="45.42578125" style="449" customWidth="1"/>
    <col min="14977" max="14978" width="20.7109375" style="449" customWidth="1"/>
    <col min="14979" max="14979" width="21.42578125" style="449" bestFit="1" customWidth="1"/>
    <col min="14980" max="15230" width="9.140625" style="449"/>
    <col min="15231" max="15231" width="4.28515625" style="449" customWidth="1"/>
    <col min="15232" max="15232" width="45.42578125" style="449" customWidth="1"/>
    <col min="15233" max="15234" width="20.7109375" style="449" customWidth="1"/>
    <col min="15235" max="15235" width="21.42578125" style="449" bestFit="1" customWidth="1"/>
    <col min="15236" max="15486" width="9.140625" style="449"/>
    <col min="15487" max="15487" width="4.28515625" style="449" customWidth="1"/>
    <col min="15488" max="15488" width="45.42578125" style="449" customWidth="1"/>
    <col min="15489" max="15490" width="20.7109375" style="449" customWidth="1"/>
    <col min="15491" max="15491" width="21.42578125" style="449" bestFit="1" customWidth="1"/>
    <col min="15492" max="15742" width="9.140625" style="449"/>
    <col min="15743" max="15743" width="4.28515625" style="449" customWidth="1"/>
    <col min="15744" max="15744" width="45.42578125" style="449" customWidth="1"/>
    <col min="15745" max="15746" width="20.7109375" style="449" customWidth="1"/>
    <col min="15747" max="15747" width="21.42578125" style="449" bestFit="1" customWidth="1"/>
    <col min="15748" max="15998" width="9.140625" style="449"/>
    <col min="15999" max="15999" width="4.28515625" style="449" customWidth="1"/>
    <col min="16000" max="16000" width="45.42578125" style="449" customWidth="1"/>
    <col min="16001" max="16002" width="20.7109375" style="449" customWidth="1"/>
    <col min="16003" max="16003" width="21.42578125" style="449" bestFit="1" customWidth="1"/>
    <col min="16004" max="16384" width="9.140625" style="449"/>
  </cols>
  <sheetData>
    <row r="1" spans="1:6" ht="15.75">
      <c r="A1" s="446" t="s">
        <v>443</v>
      </c>
      <c r="B1" s="447"/>
      <c r="C1" s="448"/>
      <c r="D1" s="448"/>
      <c r="E1" s="448"/>
    </row>
    <row r="2" spans="1:6">
      <c r="A2" s="450"/>
      <c r="B2" s="450"/>
      <c r="C2" s="448"/>
      <c r="D2" s="448"/>
      <c r="E2" s="448"/>
    </row>
    <row r="3" spans="1:6">
      <c r="A3" s="451"/>
      <c r="B3" s="451"/>
      <c r="C3" s="452"/>
      <c r="D3" s="452"/>
      <c r="E3" s="453" t="s">
        <v>444</v>
      </c>
    </row>
    <row r="4" spans="1:6">
      <c r="A4" s="454"/>
      <c r="B4" s="455"/>
      <c r="C4" s="456" t="s">
        <v>445</v>
      </c>
      <c r="D4" s="456" t="s">
        <v>446</v>
      </c>
      <c r="E4" s="456" t="s">
        <v>446</v>
      </c>
    </row>
    <row r="5" spans="1:6">
      <c r="A5" s="451"/>
      <c r="B5" s="457"/>
      <c r="C5" s="458" t="s">
        <v>447</v>
      </c>
      <c r="D5" s="458" t="s">
        <v>448</v>
      </c>
      <c r="E5" s="458" t="s">
        <v>449</v>
      </c>
    </row>
    <row r="6" spans="1:6">
      <c r="A6" s="451"/>
      <c r="B6" s="451"/>
      <c r="C6" s="452"/>
      <c r="D6" s="452"/>
      <c r="E6" s="452"/>
    </row>
    <row r="7" spans="1:6">
      <c r="A7" s="459" t="s">
        <v>184</v>
      </c>
      <c r="B7" s="460"/>
      <c r="C7" s="461">
        <v>2254</v>
      </c>
      <c r="D7" s="462">
        <v>10034.921278679994</v>
      </c>
      <c r="E7" s="462">
        <v>9985.7213168104627</v>
      </c>
    </row>
    <row r="8" spans="1:6" ht="15.75">
      <c r="A8" s="459" t="s">
        <v>450</v>
      </c>
      <c r="B8" s="451"/>
      <c r="C8" s="463"/>
      <c r="D8" s="464"/>
      <c r="E8" s="464"/>
    </row>
    <row r="9" spans="1:6" ht="18.75">
      <c r="A9" s="459"/>
      <c r="B9" s="460" t="s">
        <v>171</v>
      </c>
      <c r="C9" s="463">
        <v>1094</v>
      </c>
      <c r="D9" s="465">
        <v>1306.3474035900001</v>
      </c>
      <c r="E9" s="465">
        <v>651.73338010757811</v>
      </c>
      <c r="F9" s="466"/>
    </row>
    <row r="10" spans="1:6" ht="18.75">
      <c r="A10" s="459"/>
      <c r="B10" s="460" t="s">
        <v>144</v>
      </c>
      <c r="C10" s="463">
        <v>228</v>
      </c>
      <c r="D10" s="465">
        <v>1102.2337090000001</v>
      </c>
      <c r="E10" s="465">
        <v>2768.4574673749999</v>
      </c>
      <c r="F10" s="466"/>
    </row>
    <row r="11" spans="1:6">
      <c r="A11" s="459"/>
      <c r="B11" s="460" t="s">
        <v>165</v>
      </c>
      <c r="C11" s="463">
        <v>9</v>
      </c>
      <c r="D11" s="465">
        <v>1069.4172819999999</v>
      </c>
      <c r="E11" s="465">
        <v>0</v>
      </c>
    </row>
    <row r="12" spans="1:6">
      <c r="A12" s="459"/>
      <c r="B12" s="460" t="s">
        <v>147</v>
      </c>
      <c r="C12" s="463">
        <v>91</v>
      </c>
      <c r="D12" s="465">
        <v>1065.4665709999999</v>
      </c>
      <c r="E12" s="465">
        <v>137.808716</v>
      </c>
    </row>
    <row r="13" spans="1:6" ht="18.75">
      <c r="A13" s="459"/>
      <c r="B13" s="460" t="s">
        <v>146</v>
      </c>
      <c r="C13" s="463">
        <v>133</v>
      </c>
      <c r="D13" s="465">
        <v>1035.0962833799999</v>
      </c>
      <c r="E13" s="465">
        <v>358.77547992187499</v>
      </c>
      <c r="F13" s="466"/>
    </row>
    <row r="14" spans="1:6" ht="18.75">
      <c r="A14" s="459"/>
      <c r="B14" s="460" t="s">
        <v>148</v>
      </c>
      <c r="C14" s="463">
        <v>58</v>
      </c>
      <c r="D14" s="465">
        <v>1010.531244</v>
      </c>
      <c r="E14" s="465">
        <v>471.59706</v>
      </c>
      <c r="F14" s="466"/>
    </row>
    <row r="15" spans="1:6">
      <c r="A15" s="459"/>
      <c r="B15" s="460" t="s">
        <v>170</v>
      </c>
      <c r="C15" s="463">
        <v>109</v>
      </c>
      <c r="D15" s="465">
        <v>848.74441999999999</v>
      </c>
      <c r="E15" s="465">
        <v>1028.097619875</v>
      </c>
    </row>
    <row r="16" spans="1:6">
      <c r="A16" s="459"/>
      <c r="B16" s="460" t="s">
        <v>169</v>
      </c>
      <c r="C16" s="463">
        <v>126</v>
      </c>
      <c r="D16" s="465">
        <v>636.19917810000004</v>
      </c>
      <c r="E16" s="465">
        <v>238.02527523828124</v>
      </c>
    </row>
    <row r="17" spans="1:5">
      <c r="A17" s="459"/>
      <c r="B17" s="460" t="s">
        <v>158</v>
      </c>
      <c r="C17" s="463">
        <v>7</v>
      </c>
      <c r="D17" s="465">
        <v>341.32708300000002</v>
      </c>
      <c r="E17" s="465">
        <v>96.085115000000002</v>
      </c>
    </row>
    <row r="18" spans="1:5">
      <c r="A18" s="459"/>
      <c r="B18" s="460" t="s">
        <v>143</v>
      </c>
      <c r="C18" s="463">
        <v>222</v>
      </c>
      <c r="D18" s="465">
        <v>244.01837762999997</v>
      </c>
      <c r="E18" s="465">
        <v>3193.4414637585451</v>
      </c>
    </row>
    <row r="19" spans="1:5">
      <c r="A19" s="459"/>
      <c r="B19" s="460" t="s">
        <v>175</v>
      </c>
      <c r="C19" s="463">
        <v>1</v>
      </c>
      <c r="D19" s="465">
        <v>216.12967800000001</v>
      </c>
      <c r="E19" s="465">
        <v>16.558827999999998</v>
      </c>
    </row>
    <row r="20" spans="1:5">
      <c r="A20" s="459"/>
      <c r="B20" s="460" t="s">
        <v>145</v>
      </c>
      <c r="C20" s="463">
        <v>14</v>
      </c>
      <c r="D20" s="465">
        <v>171.31930299999999</v>
      </c>
      <c r="E20" s="465">
        <v>72.226466000000002</v>
      </c>
    </row>
    <row r="21" spans="1:5">
      <c r="A21" s="459"/>
      <c r="B21" s="460" t="s">
        <v>198</v>
      </c>
      <c r="C21" s="463">
        <v>10</v>
      </c>
      <c r="D21" s="465">
        <v>159.20413600000001</v>
      </c>
      <c r="E21" s="465">
        <v>0</v>
      </c>
    </row>
    <row r="22" spans="1:5">
      <c r="A22" s="459"/>
      <c r="B22" s="460" t="s">
        <v>152</v>
      </c>
      <c r="C22" s="463">
        <v>13</v>
      </c>
      <c r="D22" s="465">
        <v>145.90048100000001</v>
      </c>
      <c r="E22" s="465">
        <v>190.68038437499999</v>
      </c>
    </row>
    <row r="23" spans="1:5">
      <c r="A23" s="459"/>
      <c r="B23" s="460" t="s">
        <v>197</v>
      </c>
      <c r="C23" s="463">
        <v>62</v>
      </c>
      <c r="D23" s="465">
        <v>137.25723298000003</v>
      </c>
      <c r="E23" s="465">
        <v>16.258863187500001</v>
      </c>
    </row>
    <row r="24" spans="1:5">
      <c r="A24" s="459"/>
      <c r="B24" s="460" t="s">
        <v>150</v>
      </c>
      <c r="C24" s="463">
        <v>2</v>
      </c>
      <c r="D24" s="465">
        <v>135.28536</v>
      </c>
      <c r="E24" s="465">
        <v>0</v>
      </c>
    </row>
    <row r="25" spans="1:5">
      <c r="A25" s="459"/>
      <c r="B25" s="460" t="s">
        <v>154</v>
      </c>
      <c r="C25" s="463">
        <v>28</v>
      </c>
      <c r="D25" s="465">
        <v>88.587748000000005</v>
      </c>
      <c r="E25" s="465">
        <v>319.845259</v>
      </c>
    </row>
    <row r="26" spans="1:5">
      <c r="A26" s="459"/>
      <c r="B26" s="460" t="s">
        <v>159</v>
      </c>
      <c r="C26" s="463">
        <v>8</v>
      </c>
      <c r="D26" s="465">
        <v>76.16</v>
      </c>
      <c r="E26" s="465">
        <v>223.88504399999999</v>
      </c>
    </row>
    <row r="27" spans="1:5">
      <c r="A27" s="459"/>
      <c r="B27" s="460" t="s">
        <v>459</v>
      </c>
      <c r="C27" s="463">
        <v>8</v>
      </c>
      <c r="D27" s="465">
        <v>57.813769999999998</v>
      </c>
      <c r="E27" s="465">
        <v>60.844999999999999</v>
      </c>
    </row>
    <row r="28" spans="1:5">
      <c r="A28" s="459"/>
      <c r="B28" s="460" t="s">
        <v>164</v>
      </c>
      <c r="C28" s="467">
        <v>1</v>
      </c>
      <c r="D28" s="465">
        <v>45</v>
      </c>
      <c r="E28" s="465">
        <v>108.252184</v>
      </c>
    </row>
    <row r="29" spans="1:5">
      <c r="A29" s="459" t="s">
        <v>237</v>
      </c>
      <c r="B29" s="468"/>
      <c r="C29" s="469"/>
      <c r="D29" s="470"/>
      <c r="E29" s="470"/>
    </row>
    <row r="30" spans="1:5">
      <c r="A30" s="459"/>
      <c r="B30" s="471" t="s">
        <v>245</v>
      </c>
      <c r="C30" s="463">
        <v>305</v>
      </c>
      <c r="D30" s="465">
        <v>2840.0031315799997</v>
      </c>
      <c r="E30" s="465">
        <v>1421.6903093808594</v>
      </c>
    </row>
    <row r="31" spans="1:5">
      <c r="A31" s="459"/>
      <c r="B31" s="471" t="s">
        <v>451</v>
      </c>
      <c r="C31" s="463">
        <v>695</v>
      </c>
      <c r="D31" s="465">
        <v>2272.0780660899995</v>
      </c>
      <c r="E31" s="465">
        <v>353.21868944531252</v>
      </c>
    </row>
    <row r="32" spans="1:5">
      <c r="A32" s="459"/>
      <c r="B32" s="471" t="s">
        <v>264</v>
      </c>
      <c r="C32" s="463">
        <v>4</v>
      </c>
      <c r="D32" s="465">
        <v>1000.3</v>
      </c>
      <c r="E32" s="465">
        <v>20.241375999999999</v>
      </c>
    </row>
    <row r="33" spans="1:5">
      <c r="A33" s="459"/>
      <c r="B33" s="471" t="s">
        <v>241</v>
      </c>
      <c r="C33" s="463">
        <v>158</v>
      </c>
      <c r="D33" s="465">
        <v>865.79734427999983</v>
      </c>
      <c r="E33" s="465">
        <v>1093.1045190163575</v>
      </c>
    </row>
    <row r="34" spans="1:5">
      <c r="A34" s="459"/>
      <c r="B34" s="471" t="s">
        <v>242</v>
      </c>
      <c r="C34" s="463">
        <v>104</v>
      </c>
      <c r="D34" s="465">
        <v>735.03742299999999</v>
      </c>
      <c r="E34" s="465">
        <v>367.23614526187504</v>
      </c>
    </row>
    <row r="35" spans="1:5">
      <c r="A35" s="459"/>
      <c r="B35" s="471" t="s">
        <v>452</v>
      </c>
      <c r="C35" s="463">
        <v>274</v>
      </c>
      <c r="D35" s="465">
        <v>721.20893053999998</v>
      </c>
      <c r="E35" s="465">
        <v>452.91998374999997</v>
      </c>
    </row>
    <row r="36" spans="1:5">
      <c r="A36" s="459"/>
      <c r="B36" s="471" t="s">
        <v>453</v>
      </c>
      <c r="C36" s="463">
        <v>26</v>
      </c>
      <c r="D36" s="465">
        <v>317.08044200000001</v>
      </c>
      <c r="E36" s="465">
        <v>220.14011350000001</v>
      </c>
    </row>
    <row r="37" spans="1:5">
      <c r="A37" s="459"/>
      <c r="B37" s="471" t="s">
        <v>240</v>
      </c>
      <c r="C37" s="463">
        <v>241</v>
      </c>
      <c r="D37" s="465">
        <v>279.75900241999994</v>
      </c>
      <c r="E37" s="465">
        <v>2937.6483474013671</v>
      </c>
    </row>
    <row r="38" spans="1:5">
      <c r="A38" s="459"/>
      <c r="B38" s="471" t="s">
        <v>253</v>
      </c>
      <c r="C38" s="463">
        <v>75</v>
      </c>
      <c r="D38" s="465">
        <v>193.86624250999998</v>
      </c>
      <c r="E38" s="465">
        <v>-88.862138000000002</v>
      </c>
    </row>
    <row r="39" spans="1:5">
      <c r="A39" s="459"/>
      <c r="B39" s="471" t="s">
        <v>454</v>
      </c>
      <c r="C39" s="463">
        <v>26</v>
      </c>
      <c r="D39" s="465">
        <v>123.94691899999999</v>
      </c>
      <c r="E39" s="465">
        <v>207.16543100000001</v>
      </c>
    </row>
    <row r="40" spans="1:5">
      <c r="A40" s="459"/>
      <c r="B40" s="471" t="s">
        <v>455</v>
      </c>
      <c r="C40" s="463">
        <v>5</v>
      </c>
      <c r="D40" s="465">
        <v>81.5</v>
      </c>
      <c r="E40" s="465">
        <v>338.70752199999998</v>
      </c>
    </row>
    <row r="41" spans="1:5">
      <c r="A41" s="459"/>
      <c r="B41" s="471" t="s">
        <v>265</v>
      </c>
      <c r="C41" s="463">
        <v>4</v>
      </c>
      <c r="D41" s="465">
        <v>71.103324999999998</v>
      </c>
      <c r="E41" s="465">
        <v>2.4000000000000001E-5</v>
      </c>
    </row>
    <row r="42" spans="1:5">
      <c r="A42" s="459"/>
      <c r="B42" s="471" t="s">
        <v>456</v>
      </c>
      <c r="C42" s="463">
        <v>1</v>
      </c>
      <c r="D42" s="465">
        <v>70.921986000000004</v>
      </c>
      <c r="E42" s="465">
        <v>0</v>
      </c>
    </row>
    <row r="43" spans="1:5">
      <c r="A43" s="459"/>
      <c r="B43" s="471" t="s">
        <v>262</v>
      </c>
      <c r="C43" s="463">
        <v>17</v>
      </c>
      <c r="D43" s="465">
        <v>61.191462340000001</v>
      </c>
      <c r="E43" s="465">
        <v>26.43216</v>
      </c>
    </row>
    <row r="44" spans="1:5">
      <c r="A44" s="459"/>
      <c r="B44" s="471" t="s">
        <v>244</v>
      </c>
      <c r="C44" s="463">
        <v>19</v>
      </c>
      <c r="D44" s="465">
        <v>59.437783200000005</v>
      </c>
      <c r="E44" s="465">
        <v>483.7347512734375</v>
      </c>
    </row>
    <row r="45" spans="1:5">
      <c r="A45" s="459"/>
      <c r="B45" s="471" t="s">
        <v>260</v>
      </c>
      <c r="C45" s="463">
        <v>21</v>
      </c>
      <c r="D45" s="465">
        <v>53.078432730000003</v>
      </c>
      <c r="E45" s="465">
        <v>8.4452630000000006</v>
      </c>
    </row>
    <row r="46" spans="1:5">
      <c r="A46" s="459"/>
      <c r="B46" s="471" t="s">
        <v>457</v>
      </c>
      <c r="C46" s="463">
        <v>15</v>
      </c>
      <c r="D46" s="465">
        <v>52.582583999999997</v>
      </c>
      <c r="E46" s="465">
        <v>23.550999999999998</v>
      </c>
    </row>
    <row r="47" spans="1:5">
      <c r="B47" s="471" t="s">
        <v>258</v>
      </c>
      <c r="C47" s="463">
        <v>23</v>
      </c>
      <c r="D47" s="465">
        <v>33.183118</v>
      </c>
      <c r="E47" s="465">
        <v>180.66834800000001</v>
      </c>
    </row>
    <row r="48" spans="1:5">
      <c r="B48" s="471" t="s">
        <v>458</v>
      </c>
      <c r="C48" s="463">
        <v>19</v>
      </c>
      <c r="D48" s="465">
        <v>32.408299999999997</v>
      </c>
      <c r="E48" s="465">
        <v>0.58130000000000004</v>
      </c>
    </row>
    <row r="49" spans="2:5">
      <c r="B49" s="471" t="s">
        <v>259</v>
      </c>
      <c r="C49" s="463">
        <v>23</v>
      </c>
      <c r="D49" s="465">
        <v>31.804536719999998</v>
      </c>
      <c r="E49" s="465">
        <v>38.028995999999999</v>
      </c>
    </row>
    <row r="50" spans="2:5">
      <c r="E50" s="465"/>
    </row>
    <row r="51" spans="2:5">
      <c r="E51" s="465"/>
    </row>
    <row r="52" spans="2:5">
      <c r="E52" s="465"/>
    </row>
    <row r="53" spans="2:5">
      <c r="E53" s="465"/>
    </row>
    <row r="54" spans="2:5">
      <c r="E54" s="465"/>
    </row>
    <row r="55" spans="2:5">
      <c r="E55" s="465"/>
    </row>
    <row r="56" spans="2:5">
      <c r="E56" s="465"/>
    </row>
    <row r="57" spans="2:5">
      <c r="E57" s="465"/>
    </row>
    <row r="58" spans="2:5">
      <c r="E58" s="465"/>
    </row>
    <row r="59" spans="2:5">
      <c r="E59" s="465"/>
    </row>
    <row r="60" spans="2:5">
      <c r="E60" s="472"/>
    </row>
    <row r="61" spans="2:5">
      <c r="E61" s="472"/>
    </row>
    <row r="62" spans="2:5">
      <c r="E62" s="472"/>
    </row>
    <row r="63" spans="2:5">
      <c r="E63" s="472"/>
    </row>
    <row r="64" spans="2:5">
      <c r="E64" s="472"/>
    </row>
    <row r="65" spans="5:5">
      <c r="E65" s="472"/>
    </row>
    <row r="66" spans="5:5">
      <c r="E66" s="472"/>
    </row>
    <row r="67" spans="5:5">
      <c r="E67" s="472"/>
    </row>
  </sheetData>
  <pageMargins left="0.7" right="0.7" top="0.75" bottom="0.75" header="0.3" footer="0.3"/>
  <pageSetup paperSize="9" scale="98" orientation="portrait" r:id="rId1"/>
  <headerFooter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EDC4-2F2F-40C5-8603-4DD9D43929A9}">
  <sheetPr>
    <pageSetUpPr fitToPage="1"/>
  </sheetPr>
  <dimension ref="A1:M63"/>
  <sheetViews>
    <sheetView zoomScale="110" zoomScaleNormal="110" workbookViewId="0">
      <selection activeCell="F11" sqref="F11"/>
    </sheetView>
  </sheetViews>
  <sheetFormatPr defaultColWidth="8" defaultRowHeight="12.75"/>
  <cols>
    <col min="1" max="1" width="24" style="152" customWidth="1"/>
    <col min="2" max="3" width="10.5703125" style="152" customWidth="1"/>
    <col min="4" max="4" width="9.5703125" style="152" customWidth="1"/>
    <col min="5" max="5" width="9.42578125" style="152" customWidth="1"/>
    <col min="6" max="6" width="10.85546875" style="152" customWidth="1"/>
    <col min="7" max="7" width="10.5703125" style="152" customWidth="1"/>
    <col min="8" max="16384" width="8" style="152"/>
  </cols>
  <sheetData>
    <row r="1" spans="1:13" ht="20.100000000000001" customHeight="1">
      <c r="A1" s="151" t="s">
        <v>201</v>
      </c>
      <c r="B1" s="151"/>
      <c r="C1" s="151"/>
      <c r="D1" s="151"/>
      <c r="E1" s="151"/>
      <c r="F1" s="151"/>
      <c r="G1" s="151"/>
    </row>
    <row r="2" spans="1:13" ht="12.75" customHeight="1">
      <c r="A2" s="151"/>
      <c r="B2" s="151"/>
      <c r="C2" s="151"/>
      <c r="D2" s="151"/>
      <c r="E2" s="151"/>
      <c r="F2" s="151"/>
      <c r="G2" s="151"/>
    </row>
    <row r="3" spans="1:13" ht="12.75" customHeight="1">
      <c r="A3" s="153"/>
      <c r="B3" s="153"/>
      <c r="C3" s="153"/>
      <c r="D3" s="153"/>
      <c r="E3" s="154"/>
      <c r="F3" s="154"/>
      <c r="G3" s="154"/>
    </row>
    <row r="4" spans="1:13" ht="20.100000000000001" customHeight="1">
      <c r="A4" s="155"/>
      <c r="B4" s="156"/>
      <c r="C4" s="156"/>
      <c r="D4" s="156"/>
      <c r="E4" s="156"/>
      <c r="F4" s="156"/>
      <c r="G4" s="157"/>
    </row>
    <row r="5" spans="1:13" ht="17.25" customHeight="1">
      <c r="B5" s="158" t="s">
        <v>202</v>
      </c>
      <c r="C5" s="158" t="s">
        <v>72</v>
      </c>
      <c r="D5" s="488" t="s">
        <v>203</v>
      </c>
      <c r="E5" s="488"/>
      <c r="F5" s="159" t="s">
        <v>23</v>
      </c>
      <c r="G5" s="159" t="s">
        <v>24</v>
      </c>
    </row>
    <row r="6" spans="1:13" ht="17.25" customHeight="1">
      <c r="B6" s="160" t="s">
        <v>75</v>
      </c>
      <c r="C6" s="160" t="s">
        <v>76</v>
      </c>
      <c r="D6" s="489" t="s">
        <v>25</v>
      </c>
      <c r="E6" s="489"/>
      <c r="F6" s="161" t="s">
        <v>25</v>
      </c>
      <c r="G6" s="161" t="s">
        <v>25</v>
      </c>
    </row>
    <row r="7" spans="1:13" ht="17.25" customHeight="1">
      <c r="B7" s="160" t="s">
        <v>77</v>
      </c>
      <c r="C7" s="160" t="s">
        <v>77</v>
      </c>
      <c r="D7" s="160" t="s">
        <v>204</v>
      </c>
      <c r="E7" s="160" t="s">
        <v>205</v>
      </c>
      <c r="F7" s="162" t="s">
        <v>26</v>
      </c>
      <c r="G7" s="162" t="s">
        <v>26</v>
      </c>
    </row>
    <row r="8" spans="1:13" ht="17.25" customHeight="1">
      <c r="B8" s="160">
        <v>2025</v>
      </c>
      <c r="C8" s="160">
        <v>2025</v>
      </c>
      <c r="D8" s="160" t="s">
        <v>206</v>
      </c>
      <c r="E8" s="160" t="s">
        <v>207</v>
      </c>
      <c r="F8" s="163" t="s">
        <v>27</v>
      </c>
      <c r="G8" s="163" t="s">
        <v>27</v>
      </c>
    </row>
    <row r="9" spans="1:13" ht="17.25" customHeight="1">
      <c r="B9" s="160" t="s">
        <v>208</v>
      </c>
      <c r="C9" s="160" t="s">
        <v>208</v>
      </c>
      <c r="D9" s="160" t="s">
        <v>208</v>
      </c>
      <c r="E9" s="160" t="s">
        <v>209</v>
      </c>
      <c r="F9" s="163" t="s">
        <v>77</v>
      </c>
      <c r="G9" s="163" t="s">
        <v>77</v>
      </c>
    </row>
    <row r="10" spans="1:13" ht="17.25" customHeight="1">
      <c r="B10" s="164"/>
      <c r="C10" s="164"/>
      <c r="D10" s="155"/>
      <c r="E10" s="155"/>
      <c r="F10" s="165" t="s">
        <v>210</v>
      </c>
      <c r="G10" s="165" t="s">
        <v>210</v>
      </c>
    </row>
    <row r="11" spans="1:13" s="167" customFormat="1" ht="6.75" customHeight="1">
      <c r="A11" s="152"/>
      <c r="B11" s="166"/>
      <c r="C11" s="166"/>
      <c r="D11" s="152"/>
      <c r="E11" s="152"/>
      <c r="F11" s="163"/>
      <c r="G11" s="163"/>
    </row>
    <row r="12" spans="1:13" s="167" customFormat="1" ht="22.35" customHeight="1">
      <c r="A12" s="167" t="s">
        <v>184</v>
      </c>
      <c r="B12" s="168">
        <v>570364.45453382155</v>
      </c>
      <c r="C12" s="168">
        <v>576436.28954484034</v>
      </c>
      <c r="D12" s="169">
        <v>3993353.1727882721</v>
      </c>
      <c r="E12" s="170">
        <v>100</v>
      </c>
      <c r="F12" s="170">
        <v>109.16132331150077</v>
      </c>
      <c r="G12" s="170">
        <v>109.26025088051755</v>
      </c>
      <c r="H12" s="171"/>
      <c r="I12" s="171"/>
    </row>
    <row r="13" spans="1:13" ht="22.35" customHeight="1">
      <c r="A13" s="172" t="s">
        <v>211</v>
      </c>
      <c r="B13" s="173">
        <v>433211.6</v>
      </c>
      <c r="C13" s="173">
        <v>436424.76215311582</v>
      </c>
      <c r="D13" s="174">
        <v>3049562.3180648633</v>
      </c>
      <c r="E13" s="175">
        <v>76.365955779853365</v>
      </c>
      <c r="F13" s="175">
        <v>107.71095077718607</v>
      </c>
      <c r="G13" s="175">
        <v>107.84121234491973</v>
      </c>
      <c r="H13" s="171"/>
      <c r="I13" s="171"/>
      <c r="K13" s="167"/>
      <c r="L13" s="167"/>
      <c r="M13" s="167"/>
    </row>
    <row r="14" spans="1:13" s="176" customFormat="1" ht="22.35" customHeight="1">
      <c r="A14" s="172" t="s">
        <v>212</v>
      </c>
      <c r="B14" s="173">
        <v>70330.327151523437</v>
      </c>
      <c r="C14" s="173">
        <v>72239.213135296712</v>
      </c>
      <c r="D14" s="174">
        <v>481931.15428682015</v>
      </c>
      <c r="E14" s="175">
        <v>12.068332888030591</v>
      </c>
      <c r="F14" s="175">
        <v>116.28956391140903</v>
      </c>
      <c r="G14" s="175">
        <v>115.0144056985516</v>
      </c>
      <c r="H14" s="171"/>
      <c r="I14" s="171"/>
      <c r="K14" s="167"/>
      <c r="L14" s="167"/>
      <c r="M14" s="167"/>
    </row>
    <row r="15" spans="1:13" ht="22.35" customHeight="1">
      <c r="A15" s="172" t="s">
        <v>213</v>
      </c>
      <c r="B15" s="173">
        <v>7440.6152864014375</v>
      </c>
      <c r="C15" s="173">
        <v>7518.1883077672392</v>
      </c>
      <c r="D15" s="174">
        <v>52824.17721178216</v>
      </c>
      <c r="E15" s="175">
        <v>1.3228025402746642</v>
      </c>
      <c r="F15" s="175">
        <v>112.59158252654875</v>
      </c>
      <c r="G15" s="175">
        <v>119.99598056549065</v>
      </c>
      <c r="H15" s="171"/>
      <c r="I15" s="171"/>
      <c r="K15" s="167"/>
      <c r="L15" s="167"/>
      <c r="M15" s="167"/>
    </row>
    <row r="16" spans="1:13" ht="22.35" customHeight="1">
      <c r="A16" s="172" t="s">
        <v>214</v>
      </c>
      <c r="B16" s="173">
        <v>59381.852788800512</v>
      </c>
      <c r="C16" s="173">
        <v>60254.125948660498</v>
      </c>
      <c r="D16" s="174">
        <v>409035.52322480682</v>
      </c>
      <c r="E16" s="175">
        <v>10.242908791841385</v>
      </c>
      <c r="F16" s="175">
        <v>111.41634027032251</v>
      </c>
      <c r="G16" s="175">
        <v>112.3618712050793</v>
      </c>
      <c r="H16" s="171"/>
      <c r="I16" s="171"/>
      <c r="K16" s="167"/>
      <c r="L16" s="167"/>
      <c r="M16" s="167"/>
    </row>
    <row r="17" spans="1:7" ht="22.35" customHeight="1">
      <c r="B17" s="177"/>
      <c r="C17" s="177"/>
      <c r="D17" s="177"/>
      <c r="E17" s="178"/>
    </row>
    <row r="18" spans="1:7" ht="22.35" customHeight="1">
      <c r="B18" s="177"/>
      <c r="C18" s="177"/>
      <c r="D18" s="178"/>
      <c r="E18" s="178"/>
    </row>
    <row r="19" spans="1:7" ht="22.35" customHeight="1">
      <c r="A19" s="179"/>
      <c r="B19" s="177"/>
      <c r="C19" s="177"/>
      <c r="D19" s="178"/>
      <c r="E19" s="179"/>
      <c r="F19" s="179"/>
      <c r="G19" s="179"/>
    </row>
    <row r="20" spans="1:7" ht="22.35" customHeight="1">
      <c r="A20" s="179"/>
      <c r="B20" s="177"/>
      <c r="C20" s="177"/>
      <c r="D20" s="178"/>
      <c r="E20" s="179"/>
      <c r="F20" s="179"/>
      <c r="G20" s="179"/>
    </row>
    <row r="21" spans="1:7">
      <c r="A21" s="179"/>
      <c r="B21" s="177"/>
      <c r="C21" s="177"/>
      <c r="D21" s="178"/>
      <c r="E21" s="179"/>
      <c r="F21" s="179"/>
      <c r="G21" s="179"/>
    </row>
    <row r="22" spans="1:7">
      <c r="B22" s="177"/>
      <c r="C22" s="177"/>
      <c r="D22" s="177"/>
    </row>
    <row r="23" spans="1:7">
      <c r="B23" s="177"/>
    </row>
    <row r="27" spans="1:7">
      <c r="A27" s="179"/>
      <c r="B27" s="180"/>
      <c r="C27" s="180"/>
      <c r="D27" s="180"/>
      <c r="E27" s="180"/>
      <c r="F27" s="179"/>
      <c r="G27" s="179"/>
    </row>
    <row r="28" spans="1:7">
      <c r="A28" s="179"/>
      <c r="B28" s="180"/>
      <c r="C28" s="180"/>
      <c r="D28" s="180"/>
      <c r="E28" s="180"/>
      <c r="F28" s="179"/>
      <c r="G28" s="179"/>
    </row>
    <row r="29" spans="1:7">
      <c r="A29" s="179"/>
      <c r="B29" s="180"/>
      <c r="C29" s="180"/>
      <c r="D29" s="180"/>
      <c r="E29" s="180"/>
      <c r="F29" s="179"/>
      <c r="G29" s="179"/>
    </row>
    <row r="30" spans="1:7">
      <c r="A30" s="179"/>
      <c r="B30" s="179"/>
      <c r="C30" s="179"/>
      <c r="D30" s="179"/>
      <c r="E30" s="179"/>
      <c r="F30" s="179"/>
      <c r="G30" s="179"/>
    </row>
    <row r="31" spans="1:7">
      <c r="A31" s="179"/>
      <c r="B31" s="179"/>
      <c r="C31" s="179"/>
      <c r="D31" s="179"/>
      <c r="E31" s="179"/>
      <c r="F31" s="179"/>
      <c r="G31" s="179"/>
    </row>
    <row r="32" spans="1:7">
      <c r="A32" s="179"/>
      <c r="B32" s="179"/>
      <c r="C32" s="179"/>
      <c r="D32" s="179"/>
      <c r="E32" s="179"/>
      <c r="F32" s="179"/>
      <c r="G32" s="179"/>
    </row>
    <row r="33" spans="1:7">
      <c r="A33" s="179"/>
      <c r="B33" s="179"/>
      <c r="C33" s="179"/>
      <c r="D33" s="179"/>
      <c r="E33" s="179"/>
      <c r="F33" s="179"/>
      <c r="G33" s="179"/>
    </row>
    <row r="34" spans="1:7">
      <c r="A34" s="179"/>
      <c r="B34" s="179"/>
      <c r="C34" s="179"/>
      <c r="D34" s="179"/>
      <c r="E34" s="179"/>
      <c r="F34" s="179"/>
      <c r="G34" s="179"/>
    </row>
    <row r="35" spans="1:7">
      <c r="A35" s="179"/>
      <c r="B35" s="179"/>
      <c r="C35" s="179"/>
      <c r="D35" s="179"/>
      <c r="E35" s="179"/>
      <c r="F35" s="179"/>
      <c r="G35" s="179"/>
    </row>
    <row r="36" spans="1:7">
      <c r="A36" s="179"/>
      <c r="B36" s="179"/>
      <c r="C36" s="179"/>
      <c r="D36" s="179"/>
      <c r="E36" s="179"/>
      <c r="F36" s="179"/>
      <c r="G36" s="179"/>
    </row>
    <row r="37" spans="1:7">
      <c r="A37" s="179"/>
      <c r="B37" s="179"/>
      <c r="C37" s="179"/>
      <c r="D37" s="179"/>
      <c r="E37" s="179"/>
      <c r="F37" s="179"/>
      <c r="G37" s="179"/>
    </row>
    <row r="38" spans="1:7">
      <c r="A38" s="179"/>
      <c r="B38" s="179"/>
      <c r="C38" s="179"/>
      <c r="D38" s="179"/>
      <c r="E38" s="179"/>
      <c r="F38" s="179"/>
      <c r="G38" s="179"/>
    </row>
    <row r="39" spans="1:7">
      <c r="A39" s="179"/>
      <c r="B39" s="179"/>
      <c r="C39" s="179"/>
      <c r="D39" s="179"/>
      <c r="E39" s="179"/>
      <c r="F39" s="179"/>
      <c r="G39" s="179"/>
    </row>
    <row r="40" spans="1:7">
      <c r="A40" s="179"/>
      <c r="B40" s="179"/>
      <c r="C40" s="179"/>
      <c r="D40" s="179"/>
      <c r="E40" s="179"/>
      <c r="F40" s="179"/>
      <c r="G40" s="179"/>
    </row>
    <row r="41" spans="1:7">
      <c r="A41" s="179"/>
      <c r="B41" s="179"/>
      <c r="C41" s="179"/>
      <c r="D41" s="179"/>
      <c r="E41" s="179"/>
      <c r="F41" s="179"/>
      <c r="G41" s="179"/>
    </row>
    <row r="42" spans="1:7">
      <c r="A42" s="179"/>
      <c r="B42" s="179"/>
      <c r="C42" s="179"/>
      <c r="D42" s="179"/>
      <c r="E42" s="179"/>
      <c r="F42" s="179"/>
      <c r="G42" s="179"/>
    </row>
    <row r="43" spans="1:7">
      <c r="A43" s="179"/>
      <c r="B43" s="179"/>
      <c r="C43" s="179"/>
      <c r="D43" s="179"/>
      <c r="E43" s="179"/>
      <c r="F43" s="179"/>
      <c r="G43" s="179"/>
    </row>
    <row r="44" spans="1:7">
      <c r="A44" s="179"/>
      <c r="B44" s="179"/>
      <c r="C44" s="179"/>
      <c r="D44" s="179"/>
      <c r="E44" s="179"/>
      <c r="F44" s="179"/>
      <c r="G44" s="179"/>
    </row>
    <row r="45" spans="1:7">
      <c r="A45" s="179"/>
      <c r="B45" s="179"/>
      <c r="C45" s="179"/>
      <c r="D45" s="179"/>
      <c r="E45" s="179"/>
      <c r="F45" s="179"/>
      <c r="G45" s="179"/>
    </row>
    <row r="46" spans="1:7">
      <c r="A46" s="179"/>
      <c r="B46" s="179"/>
      <c r="C46" s="179"/>
      <c r="D46" s="179"/>
      <c r="E46" s="179"/>
      <c r="F46" s="179"/>
      <c r="G46" s="179"/>
    </row>
    <row r="47" spans="1:7">
      <c r="A47" s="179"/>
      <c r="B47" s="179"/>
      <c r="C47" s="179"/>
      <c r="D47" s="179"/>
      <c r="E47" s="179"/>
      <c r="F47" s="179"/>
      <c r="G47" s="179"/>
    </row>
    <row r="48" spans="1:7">
      <c r="A48" s="179"/>
      <c r="B48" s="179"/>
      <c r="C48" s="179"/>
      <c r="D48" s="179"/>
      <c r="E48" s="179"/>
      <c r="F48" s="179"/>
      <c r="G48" s="179"/>
    </row>
    <row r="49" spans="1:7">
      <c r="A49" s="179"/>
      <c r="B49" s="179"/>
      <c r="C49" s="179"/>
      <c r="D49" s="179"/>
      <c r="E49" s="179"/>
      <c r="F49" s="179"/>
      <c r="G49" s="179"/>
    </row>
    <row r="50" spans="1:7">
      <c r="A50" s="179"/>
      <c r="B50" s="179"/>
      <c r="C50" s="179"/>
      <c r="D50" s="179"/>
      <c r="E50" s="179"/>
      <c r="F50" s="179"/>
      <c r="G50" s="179"/>
    </row>
    <row r="51" spans="1:7">
      <c r="A51" s="179"/>
      <c r="B51" s="179"/>
      <c r="C51" s="179"/>
      <c r="D51" s="179"/>
      <c r="E51" s="179"/>
      <c r="F51" s="179"/>
      <c r="G51" s="179"/>
    </row>
    <row r="52" spans="1:7">
      <c r="A52" s="179"/>
      <c r="B52" s="179"/>
      <c r="C52" s="179"/>
      <c r="D52" s="179"/>
      <c r="E52" s="179"/>
      <c r="F52" s="179"/>
      <c r="G52" s="179"/>
    </row>
    <row r="53" spans="1:7">
      <c r="A53" s="179"/>
      <c r="B53" s="179"/>
      <c r="C53" s="179"/>
      <c r="D53" s="179"/>
      <c r="E53" s="179"/>
      <c r="F53" s="179"/>
      <c r="G53" s="179"/>
    </row>
    <row r="54" spans="1:7">
      <c r="A54" s="179"/>
      <c r="B54" s="179"/>
      <c r="C54" s="179"/>
      <c r="D54" s="179"/>
      <c r="E54" s="179"/>
      <c r="F54" s="179"/>
      <c r="G54" s="179"/>
    </row>
    <row r="55" spans="1:7">
      <c r="A55" s="179"/>
      <c r="B55" s="179"/>
      <c r="C55" s="179"/>
      <c r="D55" s="179"/>
      <c r="E55" s="179"/>
      <c r="F55" s="179"/>
      <c r="G55" s="179"/>
    </row>
    <row r="56" spans="1:7">
      <c r="A56" s="179"/>
      <c r="B56" s="179"/>
      <c r="C56" s="179"/>
      <c r="D56" s="179"/>
      <c r="E56" s="179"/>
      <c r="F56" s="179"/>
      <c r="G56" s="179"/>
    </row>
    <row r="57" spans="1:7">
      <c r="A57" s="179"/>
      <c r="B57" s="179"/>
      <c r="C57" s="179"/>
      <c r="D57" s="179"/>
      <c r="E57" s="179"/>
      <c r="F57" s="179"/>
      <c r="G57" s="179"/>
    </row>
    <row r="58" spans="1:7">
      <c r="A58" s="179"/>
      <c r="B58" s="179"/>
      <c r="C58" s="179"/>
      <c r="D58" s="179"/>
      <c r="E58" s="179"/>
      <c r="F58" s="179"/>
      <c r="G58" s="179"/>
    </row>
    <row r="59" spans="1:7">
      <c r="A59" s="179"/>
      <c r="B59" s="179"/>
      <c r="C59" s="179"/>
      <c r="D59" s="179"/>
      <c r="E59" s="179"/>
      <c r="F59" s="179"/>
      <c r="G59" s="179"/>
    </row>
    <row r="60" spans="1:7">
      <c r="A60" s="179"/>
      <c r="B60" s="179"/>
      <c r="C60" s="179"/>
      <c r="D60" s="179"/>
      <c r="E60" s="179"/>
      <c r="F60" s="179"/>
      <c r="G60" s="179"/>
    </row>
    <row r="61" spans="1:7">
      <c r="A61" s="179"/>
      <c r="B61" s="179"/>
      <c r="C61" s="179"/>
      <c r="D61" s="179"/>
      <c r="E61" s="179"/>
      <c r="F61" s="179"/>
      <c r="G61" s="179"/>
    </row>
    <row r="62" spans="1:7">
      <c r="A62" s="179"/>
      <c r="B62" s="179"/>
      <c r="C62" s="179"/>
      <c r="D62" s="179"/>
      <c r="E62" s="179"/>
      <c r="F62" s="179"/>
      <c r="G62" s="179"/>
    </row>
    <row r="63" spans="1:7">
      <c r="A63" s="179"/>
      <c r="B63" s="179"/>
      <c r="C63" s="179"/>
      <c r="D63" s="179"/>
      <c r="E63" s="179"/>
      <c r="F63" s="179"/>
      <c r="G63" s="179"/>
    </row>
  </sheetData>
  <mergeCells count="2">
    <mergeCell ref="D5:E5"/>
    <mergeCell ref="D6:E6"/>
  </mergeCells>
  <pageMargins left="0.78740157480314998" right="0.47244094488188998" top="0.74803149606299202" bottom="0.511811023622047" header="0.43307086614173201" footer="0.23622047244094499"/>
  <pageSetup paperSize="9" firstPageNumber="29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F332-30DB-4B36-9F1E-38226D43CC8C}">
  <sheetPr>
    <pageSetUpPr fitToPage="1"/>
  </sheetPr>
  <dimension ref="A1:O68"/>
  <sheetViews>
    <sheetView topLeftCell="A10" workbookViewId="0">
      <selection activeCell="F11" sqref="F11"/>
    </sheetView>
  </sheetViews>
  <sheetFormatPr defaultColWidth="9.140625" defaultRowHeight="15" customHeight="1"/>
  <cols>
    <col min="1" max="1" width="0.85546875" style="271" customWidth="1"/>
    <col min="2" max="2" width="32" style="270" customWidth="1"/>
    <col min="3" max="3" width="6.28515625" style="271" bestFit="1" customWidth="1"/>
    <col min="4" max="4" width="6" style="271" customWidth="1"/>
    <col min="5" max="5" width="0.42578125" style="271" customWidth="1"/>
    <col min="6" max="6" width="6.28515625" style="271" bestFit="1" customWidth="1"/>
    <col min="7" max="7" width="7" style="271" bestFit="1" customWidth="1"/>
    <col min="8" max="8" width="0.5703125" style="271" customWidth="1"/>
    <col min="9" max="10" width="8.42578125" style="271" customWidth="1"/>
    <col min="11" max="11" width="0.85546875" style="271" customWidth="1"/>
    <col min="12" max="13" width="8.140625" style="271" customWidth="1"/>
    <col min="14" max="14" width="36.85546875" style="271" bestFit="1" customWidth="1"/>
    <col min="15" max="16384" width="9.140625" style="271"/>
  </cols>
  <sheetData>
    <row r="1" spans="1:15" ht="16.5">
      <c r="A1" s="269" t="s">
        <v>358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</row>
    <row r="2" spans="1:15" ht="15" customHeight="1"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5" ht="15" customHeight="1">
      <c r="B3" s="273"/>
      <c r="C3" s="274"/>
      <c r="D3" s="274"/>
      <c r="E3" s="274"/>
      <c r="F3" s="274"/>
      <c r="G3" s="275"/>
      <c r="H3" s="275"/>
      <c r="I3" s="275"/>
      <c r="J3" s="276"/>
      <c r="K3" s="276"/>
      <c r="L3" s="276"/>
      <c r="M3" s="277" t="s">
        <v>277</v>
      </c>
    </row>
    <row r="4" spans="1:15" ht="15" customHeight="1">
      <c r="A4" s="278"/>
      <c r="B4" s="279"/>
      <c r="C4" s="491" t="s">
        <v>202</v>
      </c>
      <c r="D4" s="491"/>
      <c r="E4" s="491"/>
      <c r="F4" s="491"/>
      <c r="G4" s="491"/>
      <c r="H4" s="280"/>
      <c r="I4" s="491" t="s">
        <v>278</v>
      </c>
      <c r="J4" s="491"/>
      <c r="K4" s="491"/>
      <c r="L4" s="491"/>
      <c r="M4" s="491"/>
    </row>
    <row r="5" spans="1:15" ht="15" customHeight="1">
      <c r="B5" s="281"/>
      <c r="C5" s="492" t="s">
        <v>279</v>
      </c>
      <c r="D5" s="492"/>
      <c r="E5" s="282"/>
      <c r="F5" s="492" t="s">
        <v>203</v>
      </c>
      <c r="G5" s="492"/>
      <c r="H5" s="282"/>
      <c r="I5" s="492" t="s">
        <v>279</v>
      </c>
      <c r="J5" s="492"/>
      <c r="K5" s="282"/>
      <c r="L5" s="492" t="s">
        <v>203</v>
      </c>
      <c r="M5" s="492"/>
    </row>
    <row r="6" spans="1:15" ht="15" customHeight="1">
      <c r="B6" s="281"/>
      <c r="C6" s="490" t="s">
        <v>25</v>
      </c>
      <c r="D6" s="490"/>
      <c r="E6" s="283"/>
      <c r="F6" s="490" t="s">
        <v>25</v>
      </c>
      <c r="G6" s="490"/>
      <c r="H6" s="283"/>
      <c r="I6" s="490" t="s">
        <v>25</v>
      </c>
      <c r="J6" s="490"/>
      <c r="K6" s="283"/>
      <c r="L6" s="490" t="s">
        <v>25</v>
      </c>
      <c r="M6" s="490"/>
    </row>
    <row r="7" spans="1:15" ht="15" customHeight="1">
      <c r="B7" s="281"/>
      <c r="C7" s="284" t="s">
        <v>280</v>
      </c>
      <c r="D7" s="284" t="s">
        <v>281</v>
      </c>
      <c r="E7" s="284"/>
      <c r="F7" s="285" t="s">
        <v>280</v>
      </c>
      <c r="G7" s="284" t="s">
        <v>281</v>
      </c>
      <c r="H7" s="284"/>
      <c r="I7" s="284" t="s">
        <v>280</v>
      </c>
      <c r="J7" s="284" t="s">
        <v>281</v>
      </c>
      <c r="K7" s="284"/>
      <c r="L7" s="285" t="s">
        <v>280</v>
      </c>
      <c r="M7" s="284" t="s">
        <v>281</v>
      </c>
    </row>
    <row r="8" spans="1:15" ht="15" customHeight="1">
      <c r="B8" s="286"/>
      <c r="C8" s="274"/>
      <c r="D8" s="274"/>
      <c r="E8" s="274"/>
      <c r="F8" s="274"/>
      <c r="G8" s="274"/>
      <c r="H8" s="274"/>
      <c r="I8" s="287"/>
      <c r="J8" s="287"/>
      <c r="K8" s="287"/>
      <c r="L8" s="287"/>
      <c r="M8" s="287"/>
    </row>
    <row r="9" spans="1:15" s="292" customFormat="1" ht="15" customHeight="1">
      <c r="A9" s="288" t="s">
        <v>282</v>
      </c>
      <c r="B9" s="289"/>
      <c r="C9" s="289"/>
      <c r="D9" s="290">
        <v>42265.542408000001</v>
      </c>
      <c r="E9" s="290"/>
      <c r="F9" s="289"/>
      <c r="G9" s="290">
        <v>262440.005099</v>
      </c>
      <c r="H9" s="290"/>
      <c r="I9" s="291"/>
      <c r="J9" s="291">
        <v>115.95169718704179</v>
      </c>
      <c r="K9" s="291"/>
      <c r="L9" s="291"/>
      <c r="M9" s="291">
        <v>114.83148606246587</v>
      </c>
      <c r="O9" s="293"/>
    </row>
    <row r="10" spans="1:15" ht="15" customHeight="1">
      <c r="B10" s="294" t="s">
        <v>283</v>
      </c>
      <c r="C10" s="274"/>
      <c r="D10" s="290">
        <v>8947</v>
      </c>
      <c r="E10" s="290"/>
      <c r="F10" s="289"/>
      <c r="G10" s="290">
        <v>67476.366133000003</v>
      </c>
      <c r="H10" s="290"/>
      <c r="I10" s="291"/>
      <c r="J10" s="291">
        <v>89.671580836336034</v>
      </c>
      <c r="K10" s="291"/>
      <c r="L10" s="291"/>
      <c r="M10" s="291">
        <v>106.70835550240658</v>
      </c>
    </row>
    <row r="11" spans="1:15" ht="15" customHeight="1">
      <c r="B11" s="294" t="s">
        <v>284</v>
      </c>
      <c r="C11" s="274"/>
      <c r="D11" s="290">
        <v>33319.115862999999</v>
      </c>
      <c r="E11" s="290"/>
      <c r="F11" s="290"/>
      <c r="G11" s="290">
        <v>194963.638966</v>
      </c>
      <c r="H11" s="290"/>
      <c r="I11" s="291"/>
      <c r="J11" s="291">
        <v>125.85547039337013</v>
      </c>
      <c r="K11" s="291"/>
      <c r="L11" s="291"/>
      <c r="M11" s="291">
        <v>117.93876062679793</v>
      </c>
    </row>
    <row r="12" spans="1:15" ht="15" customHeight="1">
      <c r="B12" s="295" t="s">
        <v>285</v>
      </c>
      <c r="C12" s="274"/>
      <c r="D12" s="296">
        <v>116.47676</v>
      </c>
      <c r="E12" s="296"/>
      <c r="F12" s="274"/>
      <c r="G12" s="296">
        <v>769.76306299999999</v>
      </c>
      <c r="H12" s="296"/>
      <c r="I12" s="291"/>
      <c r="J12" s="287">
        <v>76.40006221320975</v>
      </c>
      <c r="K12" s="287"/>
      <c r="L12" s="291"/>
      <c r="M12" s="287">
        <v>62.225112890849111</v>
      </c>
    </row>
    <row r="13" spans="1:15" ht="15" customHeight="1">
      <c r="B13" s="297" t="s">
        <v>286</v>
      </c>
      <c r="C13" s="274"/>
      <c r="D13" s="296">
        <v>33202.639103000001</v>
      </c>
      <c r="E13" s="296"/>
      <c r="F13" s="296"/>
      <c r="G13" s="296">
        <v>194193.87590300001</v>
      </c>
      <c r="H13" s="296"/>
      <c r="I13" s="291"/>
      <c r="J13" s="287">
        <v>126.14191865271067</v>
      </c>
      <c r="K13" s="287"/>
      <c r="L13" s="291"/>
      <c r="M13" s="287">
        <v>118.35882716870172</v>
      </c>
    </row>
    <row r="14" spans="1:15" ht="15" customHeight="1">
      <c r="A14" s="298" t="s">
        <v>287</v>
      </c>
      <c r="B14" s="273"/>
      <c r="C14" s="274"/>
      <c r="D14" s="274"/>
      <c r="E14" s="274"/>
      <c r="F14" s="274"/>
      <c r="G14" s="274"/>
      <c r="H14" s="274"/>
      <c r="I14" s="287"/>
      <c r="J14" s="287"/>
      <c r="K14" s="287"/>
      <c r="L14" s="287"/>
      <c r="M14" s="287"/>
    </row>
    <row r="15" spans="1:15" ht="15" customHeight="1">
      <c r="B15" s="297" t="s">
        <v>288</v>
      </c>
      <c r="C15" s="296"/>
      <c r="D15" s="296">
        <v>971.58193400000005</v>
      </c>
      <c r="E15" s="296"/>
      <c r="F15" s="296"/>
      <c r="G15" s="296">
        <v>6083.1733629999999</v>
      </c>
      <c r="H15" s="296"/>
      <c r="I15" s="287"/>
      <c r="J15" s="287">
        <v>106.25659079805014</v>
      </c>
      <c r="K15" s="287"/>
      <c r="L15" s="287"/>
      <c r="M15" s="287">
        <v>114.22573423820559</v>
      </c>
      <c r="N15" s="299"/>
    </row>
    <row r="16" spans="1:15" ht="15" customHeight="1">
      <c r="B16" s="297" t="s">
        <v>289</v>
      </c>
      <c r="C16" s="296"/>
      <c r="D16" s="296">
        <v>764.84353099999998</v>
      </c>
      <c r="E16" s="296"/>
      <c r="F16" s="296"/>
      <c r="G16" s="296">
        <v>3868.8662199999999</v>
      </c>
      <c r="H16" s="296"/>
      <c r="I16" s="287"/>
      <c r="J16" s="287">
        <v>138.60219555490727</v>
      </c>
      <c r="K16" s="287"/>
      <c r="L16" s="287"/>
      <c r="M16" s="287">
        <v>99.668770391736999</v>
      </c>
      <c r="N16" s="299"/>
    </row>
    <row r="17" spans="2:14" ht="15" customHeight="1">
      <c r="B17" s="297" t="s">
        <v>290</v>
      </c>
      <c r="C17" s="296">
        <v>68.321900021427666</v>
      </c>
      <c r="D17" s="296">
        <v>460.10181799999998</v>
      </c>
      <c r="E17" s="296"/>
      <c r="F17" s="296">
        <v>412.96190002142765</v>
      </c>
      <c r="G17" s="296">
        <v>2808.5573559999998</v>
      </c>
      <c r="H17" s="296"/>
      <c r="I17" s="287">
        <v>101.79370663820089</v>
      </c>
      <c r="J17" s="287">
        <v>111.14755842270405</v>
      </c>
      <c r="K17" s="287"/>
      <c r="L17" s="287">
        <v>97.48749425087702</v>
      </c>
      <c r="M17" s="287">
        <v>118.33724675907106</v>
      </c>
      <c r="N17" s="299"/>
    </row>
    <row r="18" spans="2:14" ht="15" customHeight="1">
      <c r="B18" s="297" t="s">
        <v>291</v>
      </c>
      <c r="C18" s="296">
        <v>103.1508393053651</v>
      </c>
      <c r="D18" s="296">
        <v>555.80904499999997</v>
      </c>
      <c r="E18" s="296"/>
      <c r="F18" s="296">
        <v>1050.2528393053651</v>
      </c>
      <c r="G18" s="296">
        <v>5992.2773260000004</v>
      </c>
      <c r="H18" s="296"/>
      <c r="I18" s="287">
        <v>134.64760769810607</v>
      </c>
      <c r="J18" s="287">
        <v>145.81766151294184</v>
      </c>
      <c r="K18" s="287"/>
      <c r="L18" s="287">
        <v>106.87181515274567</v>
      </c>
      <c r="M18" s="287">
        <v>164.94918676247298</v>
      </c>
      <c r="N18" s="299"/>
    </row>
    <row r="19" spans="2:14" ht="15" customHeight="1">
      <c r="B19" s="297" t="s">
        <v>292</v>
      </c>
      <c r="C19" s="296">
        <v>14.159158511919461</v>
      </c>
      <c r="D19" s="296">
        <v>24.207229000000002</v>
      </c>
      <c r="E19" s="296"/>
      <c r="F19" s="296">
        <v>72.056158511919463</v>
      </c>
      <c r="G19" s="296">
        <v>120.69787100000001</v>
      </c>
      <c r="H19" s="296"/>
      <c r="I19" s="287">
        <v>92.477032930046775</v>
      </c>
      <c r="J19" s="287">
        <v>88.371256523191448</v>
      </c>
      <c r="K19" s="287"/>
      <c r="L19" s="287">
        <v>91.808827816677663</v>
      </c>
      <c r="M19" s="287">
        <v>90.556703440164284</v>
      </c>
      <c r="N19" s="299"/>
    </row>
    <row r="20" spans="2:14" ht="15" customHeight="1">
      <c r="B20" s="297" t="s">
        <v>293</v>
      </c>
      <c r="C20" s="296">
        <v>21.858707364869147</v>
      </c>
      <c r="D20" s="296">
        <v>142.12621899999999</v>
      </c>
      <c r="E20" s="296"/>
      <c r="F20" s="296">
        <v>145.11970736486916</v>
      </c>
      <c r="G20" s="296">
        <v>989.78438400000005</v>
      </c>
      <c r="H20" s="296"/>
      <c r="I20" s="287">
        <v>100.37520027951116</v>
      </c>
      <c r="J20" s="287">
        <v>109.65659521495206</v>
      </c>
      <c r="K20" s="287"/>
      <c r="L20" s="287">
        <v>88.31799127582336</v>
      </c>
      <c r="M20" s="287">
        <v>129.69802271537239</v>
      </c>
      <c r="N20" s="299"/>
    </row>
    <row r="21" spans="2:14" ht="15" customHeight="1">
      <c r="B21" s="300" t="s">
        <v>294</v>
      </c>
      <c r="C21" s="296">
        <v>782.35000852126279</v>
      </c>
      <c r="D21" s="296">
        <v>381.86118299999998</v>
      </c>
      <c r="E21" s="296"/>
      <c r="F21" s="296">
        <v>5501.4880085212626</v>
      </c>
      <c r="G21" s="296">
        <v>2826.6914320000001</v>
      </c>
      <c r="H21" s="296"/>
      <c r="I21" s="287">
        <v>104.20995819097625</v>
      </c>
      <c r="J21" s="287">
        <v>84.562681261060447</v>
      </c>
      <c r="K21" s="287"/>
      <c r="L21" s="287">
        <v>103.72171653586364</v>
      </c>
      <c r="M21" s="287">
        <v>84.619580586829215</v>
      </c>
      <c r="N21" s="301"/>
    </row>
    <row r="22" spans="2:14" ht="15" customHeight="1">
      <c r="B22" s="297" t="s">
        <v>295</v>
      </c>
      <c r="C22" s="296">
        <v>218.49004159979705</v>
      </c>
      <c r="D22" s="296">
        <v>70.076441000000003</v>
      </c>
      <c r="E22" s="296"/>
      <c r="F22" s="296">
        <v>2481.1880415997971</v>
      </c>
      <c r="G22" s="296">
        <v>756.88631799999996</v>
      </c>
      <c r="H22" s="296"/>
      <c r="I22" s="287">
        <v>100.1209945651742</v>
      </c>
      <c r="J22" s="287">
        <v>66.422505117982183</v>
      </c>
      <c r="K22" s="287"/>
      <c r="L22" s="287">
        <v>154.53800572013844</v>
      </c>
      <c r="M22" s="287">
        <v>102.83738654969135</v>
      </c>
      <c r="N22" s="299"/>
    </row>
    <row r="23" spans="2:14" ht="15" customHeight="1">
      <c r="B23" s="297" t="s">
        <v>296</v>
      </c>
      <c r="C23" s="296"/>
      <c r="D23" s="296">
        <v>103.875995</v>
      </c>
      <c r="E23" s="296"/>
      <c r="F23" s="296"/>
      <c r="G23" s="296">
        <v>697.34657600000003</v>
      </c>
      <c r="H23" s="296"/>
      <c r="I23" s="287"/>
      <c r="J23" s="287">
        <v>99.851746929351492</v>
      </c>
      <c r="K23" s="287"/>
      <c r="L23" s="287"/>
      <c r="M23" s="287">
        <v>106.29560214804721</v>
      </c>
      <c r="N23" s="299"/>
    </row>
    <row r="24" spans="2:14" ht="15" customHeight="1">
      <c r="B24" s="297" t="s">
        <v>297</v>
      </c>
      <c r="C24" s="296"/>
      <c r="D24" s="296">
        <v>138.63509199999999</v>
      </c>
      <c r="E24" s="296"/>
      <c r="F24" s="296"/>
      <c r="G24" s="296">
        <v>741.35619199999996</v>
      </c>
      <c r="H24" s="296"/>
      <c r="I24" s="287"/>
      <c r="J24" s="287">
        <v>152.93099753778336</v>
      </c>
      <c r="K24" s="287"/>
      <c r="L24" s="287"/>
      <c r="M24" s="287">
        <v>126.33547861686827</v>
      </c>
      <c r="N24" s="299"/>
    </row>
    <row r="25" spans="2:14" ht="15" customHeight="1">
      <c r="B25" s="297" t="s">
        <v>298</v>
      </c>
      <c r="C25" s="296">
        <v>2929.8405742729087</v>
      </c>
      <c r="D25" s="296">
        <v>116.317196</v>
      </c>
      <c r="E25" s="296"/>
      <c r="F25" s="296">
        <v>19765.804574272908</v>
      </c>
      <c r="G25" s="296">
        <v>744.73593100000005</v>
      </c>
      <c r="H25" s="296"/>
      <c r="I25" s="287">
        <v>117.30233877849625</v>
      </c>
      <c r="J25" s="287">
        <v>120.45364275063311</v>
      </c>
      <c r="K25" s="287"/>
      <c r="L25" s="287">
        <v>108.28027774211262</v>
      </c>
      <c r="M25" s="287">
        <v>106.37855554755949</v>
      </c>
      <c r="N25" s="299"/>
    </row>
    <row r="26" spans="2:14" ht="15" customHeight="1">
      <c r="B26" s="297" t="s">
        <v>299</v>
      </c>
      <c r="C26" s="296">
        <v>180.29908245141499</v>
      </c>
      <c r="D26" s="296">
        <v>116.47676</v>
      </c>
      <c r="E26" s="296"/>
      <c r="F26" s="296">
        <v>1304.700082451415</v>
      </c>
      <c r="G26" s="296">
        <v>769.76306299999999</v>
      </c>
      <c r="H26" s="296"/>
      <c r="I26" s="287">
        <v>81.121526537364232</v>
      </c>
      <c r="J26" s="287">
        <v>76.40006221320975</v>
      </c>
      <c r="K26" s="287"/>
      <c r="L26" s="287">
        <v>72.896702716538456</v>
      </c>
      <c r="M26" s="287">
        <v>62.225112890849111</v>
      </c>
      <c r="N26" s="299"/>
    </row>
    <row r="27" spans="2:14" ht="15" customHeight="1">
      <c r="B27" s="297" t="s">
        <v>300</v>
      </c>
      <c r="C27" s="296">
        <v>122.47959336753092</v>
      </c>
      <c r="D27" s="296">
        <v>80.950539000000006</v>
      </c>
      <c r="E27" s="296"/>
      <c r="F27" s="296">
        <v>811.8555933675309</v>
      </c>
      <c r="G27" s="296">
        <v>551.15695400000004</v>
      </c>
      <c r="H27" s="296"/>
      <c r="I27" s="287">
        <v>74.156798658011127</v>
      </c>
      <c r="J27" s="287">
        <v>60.173044332587352</v>
      </c>
      <c r="K27" s="287"/>
      <c r="L27" s="287">
        <v>57.635269501155463</v>
      </c>
      <c r="M27" s="287">
        <v>46.860706341734165</v>
      </c>
      <c r="N27" s="299"/>
    </row>
    <row r="28" spans="2:14" ht="15" customHeight="1">
      <c r="B28" s="297" t="s">
        <v>301</v>
      </c>
      <c r="C28" s="296"/>
      <c r="D28" s="296">
        <v>215.695198</v>
      </c>
      <c r="E28" s="296"/>
      <c r="F28" s="296"/>
      <c r="G28" s="296">
        <v>1564.6933200000001</v>
      </c>
      <c r="H28" s="296"/>
      <c r="I28" s="287"/>
      <c r="J28" s="287">
        <v>96.739466103496795</v>
      </c>
      <c r="K28" s="287"/>
      <c r="L28" s="287"/>
      <c r="M28" s="287">
        <v>99.436645750996917</v>
      </c>
      <c r="N28" s="299"/>
    </row>
    <row r="29" spans="2:14" ht="15" customHeight="1">
      <c r="B29" s="297" t="s">
        <v>302</v>
      </c>
      <c r="C29" s="296"/>
      <c r="D29" s="296">
        <v>245.49883199999999</v>
      </c>
      <c r="E29" s="296"/>
      <c r="F29" s="296"/>
      <c r="G29" s="296">
        <v>1663.549835</v>
      </c>
      <c r="H29" s="296"/>
      <c r="I29" s="287"/>
      <c r="J29" s="287">
        <v>100.43577058547687</v>
      </c>
      <c r="K29" s="287"/>
      <c r="L29" s="287"/>
      <c r="M29" s="287">
        <v>107.38678602765333</v>
      </c>
      <c r="N29" s="299"/>
    </row>
    <row r="30" spans="2:14" ht="15" customHeight="1">
      <c r="B30" s="297" t="s">
        <v>303</v>
      </c>
      <c r="C30" s="296">
        <v>164.09673100199933</v>
      </c>
      <c r="D30" s="296">
        <v>178.865452</v>
      </c>
      <c r="E30" s="296"/>
      <c r="F30" s="296">
        <v>1268.6437310019994</v>
      </c>
      <c r="G30" s="296">
        <v>1363.0960849999999</v>
      </c>
      <c r="H30" s="296"/>
      <c r="I30" s="287">
        <v>102.15948091366347</v>
      </c>
      <c r="J30" s="287">
        <v>98.21608435005426</v>
      </c>
      <c r="K30" s="287"/>
      <c r="L30" s="287">
        <v>90.232567457081231</v>
      </c>
      <c r="M30" s="287">
        <v>88.032006013189047</v>
      </c>
      <c r="N30" s="299"/>
    </row>
    <row r="31" spans="2:14" ht="15" customHeight="1">
      <c r="B31" s="297" t="s">
        <v>304</v>
      </c>
      <c r="C31" s="296"/>
      <c r="D31" s="296">
        <v>660.21472200000005</v>
      </c>
      <c r="E31" s="296"/>
      <c r="F31" s="296"/>
      <c r="G31" s="296">
        <v>4259.2367629999999</v>
      </c>
      <c r="H31" s="296"/>
      <c r="I31" s="287"/>
      <c r="J31" s="287">
        <v>113.08101287902184</v>
      </c>
      <c r="K31" s="287"/>
      <c r="L31" s="287"/>
      <c r="M31" s="287">
        <v>114.10032409537982</v>
      </c>
      <c r="N31" s="299"/>
    </row>
    <row r="32" spans="2:14" ht="15" customHeight="1">
      <c r="B32" s="297" t="s">
        <v>305</v>
      </c>
      <c r="C32" s="296">
        <v>206.63194035249981</v>
      </c>
      <c r="D32" s="296">
        <v>334.60278299999999</v>
      </c>
      <c r="E32" s="296"/>
      <c r="F32" s="296">
        <v>900.4579403524998</v>
      </c>
      <c r="G32" s="296">
        <v>1622.1420109999999</v>
      </c>
      <c r="H32" s="296"/>
      <c r="I32" s="287">
        <v>111.27251108110426</v>
      </c>
      <c r="J32" s="287">
        <v>108.88757818464173</v>
      </c>
      <c r="K32" s="287"/>
      <c r="L32" s="287">
        <v>98.601117168619595</v>
      </c>
      <c r="M32" s="287">
        <v>114.59929280199579</v>
      </c>
      <c r="N32" s="299"/>
    </row>
    <row r="33" spans="2:14" ht="15" customHeight="1">
      <c r="B33" s="297" t="s">
        <v>306</v>
      </c>
      <c r="C33" s="296"/>
      <c r="D33" s="296">
        <v>120.512383</v>
      </c>
      <c r="E33" s="296"/>
      <c r="F33" s="296"/>
      <c r="G33" s="296">
        <v>828.035347</v>
      </c>
      <c r="H33" s="296"/>
      <c r="I33" s="287"/>
      <c r="J33" s="287">
        <v>122.47388929349674</v>
      </c>
      <c r="K33" s="287"/>
      <c r="L33" s="287"/>
      <c r="M33" s="287">
        <v>120.74951322779459</v>
      </c>
      <c r="N33" s="299"/>
    </row>
    <row r="34" spans="2:14" ht="15" customHeight="1">
      <c r="B34" s="297" t="s">
        <v>307</v>
      </c>
      <c r="C34" s="296"/>
      <c r="D34" s="296">
        <v>411.793364</v>
      </c>
      <c r="E34" s="296"/>
      <c r="F34" s="296"/>
      <c r="G34" s="296">
        <v>2609.7367800000002</v>
      </c>
      <c r="H34" s="296"/>
      <c r="I34" s="287"/>
      <c r="J34" s="287">
        <v>102.83527721194017</v>
      </c>
      <c r="K34" s="287"/>
      <c r="L34" s="287"/>
      <c r="M34" s="287">
        <v>110.22502222730142</v>
      </c>
      <c r="N34" s="299"/>
    </row>
    <row r="35" spans="2:14" ht="15" customHeight="1">
      <c r="B35" s="297" t="s">
        <v>308</v>
      </c>
      <c r="C35" s="296"/>
      <c r="D35" s="296">
        <v>1471.7875309999999</v>
      </c>
      <c r="E35" s="296"/>
      <c r="F35" s="296"/>
      <c r="G35" s="296">
        <v>9646.8722990000006</v>
      </c>
      <c r="H35" s="296"/>
      <c r="I35" s="287"/>
      <c r="J35" s="287">
        <v>105.65901203306109</v>
      </c>
      <c r="K35" s="287"/>
      <c r="L35" s="287"/>
      <c r="M35" s="287">
        <v>108.05822326277634</v>
      </c>
      <c r="N35" s="299"/>
    </row>
    <row r="36" spans="2:14" ht="15" customHeight="1">
      <c r="B36" s="297" t="s">
        <v>309</v>
      </c>
      <c r="C36" s="296"/>
      <c r="D36" s="296">
        <v>188.41432800000001</v>
      </c>
      <c r="E36" s="296"/>
      <c r="F36" s="296"/>
      <c r="G36" s="296">
        <v>1218.985113</v>
      </c>
      <c r="H36" s="296"/>
      <c r="I36" s="287"/>
      <c r="J36" s="287">
        <v>103.44251425911682</v>
      </c>
      <c r="K36" s="287"/>
      <c r="L36" s="287"/>
      <c r="M36" s="287">
        <v>100.97540040055763</v>
      </c>
      <c r="N36" s="299"/>
    </row>
    <row r="37" spans="2:14" ht="15" customHeight="1">
      <c r="B37" s="297" t="s">
        <v>310</v>
      </c>
      <c r="C37" s="296">
        <v>167.36579442509816</v>
      </c>
      <c r="D37" s="296">
        <v>371.20964500000002</v>
      </c>
      <c r="E37" s="296"/>
      <c r="F37" s="296">
        <v>1097.1697944250982</v>
      </c>
      <c r="G37" s="296">
        <v>2451.508523</v>
      </c>
      <c r="H37" s="296"/>
      <c r="I37" s="287">
        <v>104.66118516752849</v>
      </c>
      <c r="J37" s="287">
        <v>146.19254944091747</v>
      </c>
      <c r="K37" s="287"/>
      <c r="L37" s="287">
        <v>102.8205964007207</v>
      </c>
      <c r="M37" s="287">
        <v>96.48465344091619</v>
      </c>
      <c r="N37" s="299"/>
    </row>
    <row r="38" spans="2:14" ht="15" customHeight="1">
      <c r="B38" s="297" t="s">
        <v>311</v>
      </c>
      <c r="C38" s="296"/>
      <c r="D38" s="296">
        <v>3910.792868</v>
      </c>
      <c r="E38" s="296"/>
      <c r="F38" s="296"/>
      <c r="G38" s="296">
        <v>22588.956237999999</v>
      </c>
      <c r="H38" s="296"/>
      <c r="I38" s="287"/>
      <c r="J38" s="287">
        <v>105.04993047504745</v>
      </c>
      <c r="K38" s="287"/>
      <c r="L38" s="287"/>
      <c r="M38" s="287">
        <v>111.04391192310641</v>
      </c>
      <c r="N38" s="299"/>
    </row>
    <row r="39" spans="2:14" ht="15" customHeight="1">
      <c r="B39" s="297" t="s">
        <v>312</v>
      </c>
      <c r="C39" s="296"/>
      <c r="D39" s="296">
        <v>2194.5012339999998</v>
      </c>
      <c r="E39" s="296"/>
      <c r="F39" s="296"/>
      <c r="G39" s="296">
        <v>14086.360731000001</v>
      </c>
      <c r="H39" s="296"/>
      <c r="I39" s="287"/>
      <c r="J39" s="287">
        <v>103.31687829948525</v>
      </c>
      <c r="K39" s="287"/>
      <c r="L39" s="287"/>
      <c r="M39" s="287">
        <v>109.02427381040734</v>
      </c>
      <c r="N39" s="299"/>
    </row>
    <row r="40" spans="2:14" ht="15" customHeight="1">
      <c r="B40" s="297" t="s">
        <v>313</v>
      </c>
      <c r="C40" s="296"/>
      <c r="D40" s="296">
        <v>217.27411799999999</v>
      </c>
      <c r="E40" s="296"/>
      <c r="F40" s="296"/>
      <c r="G40" s="296">
        <v>1382.6664370000001</v>
      </c>
      <c r="H40" s="296"/>
      <c r="I40" s="287"/>
      <c r="J40" s="287">
        <v>112.21741800202147</v>
      </c>
      <c r="K40" s="287"/>
      <c r="L40" s="287"/>
      <c r="M40" s="287">
        <v>109.81720287886078</v>
      </c>
      <c r="N40" s="299"/>
    </row>
    <row r="41" spans="2:14" ht="15" customHeight="1">
      <c r="B41" s="297" t="s">
        <v>314</v>
      </c>
      <c r="C41" s="296"/>
      <c r="D41" s="296">
        <v>129.92738499999999</v>
      </c>
      <c r="E41" s="296"/>
      <c r="F41" s="296"/>
      <c r="G41" s="296">
        <v>778.65545499999996</v>
      </c>
      <c r="H41" s="296"/>
      <c r="I41" s="287"/>
      <c r="J41" s="287">
        <v>108.73340648207417</v>
      </c>
      <c r="K41" s="287"/>
      <c r="L41" s="287"/>
      <c r="M41" s="287">
        <v>119.08644581532795</v>
      </c>
      <c r="N41" s="299"/>
    </row>
    <row r="42" spans="2:14" ht="15" customHeight="1">
      <c r="B42" s="297" t="s">
        <v>315</v>
      </c>
      <c r="C42" s="296">
        <v>744.44028648879248</v>
      </c>
      <c r="D42" s="296">
        <v>546.26623800000004</v>
      </c>
      <c r="E42" s="296"/>
      <c r="F42" s="296">
        <v>6400.0422864887923</v>
      </c>
      <c r="G42" s="296">
        <v>4238.5063360000004</v>
      </c>
      <c r="H42" s="296"/>
      <c r="I42" s="287">
        <v>71.989127414903606</v>
      </c>
      <c r="J42" s="287">
        <v>70.738700509973</v>
      </c>
      <c r="K42" s="287"/>
      <c r="L42" s="287">
        <v>84.962362406537608</v>
      </c>
      <c r="M42" s="287">
        <v>76.48774997929408</v>
      </c>
      <c r="N42" s="299"/>
    </row>
    <row r="43" spans="2:14" ht="15" customHeight="1">
      <c r="B43" s="297" t="s">
        <v>316</v>
      </c>
      <c r="C43" s="296"/>
      <c r="D43" s="296">
        <v>463.10193600000002</v>
      </c>
      <c r="E43" s="296"/>
      <c r="F43" s="296"/>
      <c r="G43" s="296">
        <v>3275.4917129999999</v>
      </c>
      <c r="H43" s="296"/>
      <c r="I43" s="287"/>
      <c r="J43" s="287">
        <v>121.87784172093257</v>
      </c>
      <c r="K43" s="287"/>
      <c r="L43" s="287"/>
      <c r="M43" s="287">
        <v>130.15410886679626</v>
      </c>
      <c r="N43" s="299"/>
    </row>
    <row r="44" spans="2:14" ht="15" customHeight="1">
      <c r="B44" s="302" t="s">
        <v>317</v>
      </c>
      <c r="C44" s="296"/>
      <c r="D44" s="296">
        <v>412.88660199999998</v>
      </c>
      <c r="E44" s="296"/>
      <c r="F44" s="296"/>
      <c r="G44" s="296">
        <v>2725.3922640000001</v>
      </c>
      <c r="H44" s="296"/>
      <c r="I44" s="287"/>
      <c r="J44" s="287">
        <v>109.43213625736973</v>
      </c>
      <c r="K44" s="287"/>
      <c r="L44" s="287"/>
      <c r="M44" s="287">
        <v>110.71755737086673</v>
      </c>
    </row>
    <row r="45" spans="2:14" ht="15" customHeight="1">
      <c r="B45" s="302" t="s">
        <v>318</v>
      </c>
      <c r="C45" s="296"/>
      <c r="D45" s="296">
        <v>9001.7297309999994</v>
      </c>
      <c r="E45" s="296"/>
      <c r="F45" s="296"/>
      <c r="G45" s="296">
        <v>56711.109853000002</v>
      </c>
      <c r="H45" s="296"/>
      <c r="I45" s="287"/>
      <c r="J45" s="287">
        <v>152.46486360103944</v>
      </c>
      <c r="K45" s="287"/>
      <c r="L45" s="287"/>
      <c r="M45" s="287">
        <v>141.85815140079401</v>
      </c>
    </row>
    <row r="46" spans="2:14" ht="15" customHeight="1">
      <c r="B46" s="302" t="s">
        <v>319</v>
      </c>
      <c r="C46" s="296"/>
      <c r="D46" s="296">
        <v>5566.4306800000004</v>
      </c>
      <c r="E46" s="296"/>
      <c r="F46" s="296"/>
      <c r="G46" s="296">
        <v>32460.047900000001</v>
      </c>
      <c r="H46" s="296"/>
      <c r="I46" s="287"/>
      <c r="J46" s="287">
        <v>102.17964995642863</v>
      </c>
      <c r="K46" s="287"/>
      <c r="L46" s="287"/>
      <c r="M46" s="287">
        <v>99.608511598227864</v>
      </c>
    </row>
    <row r="47" spans="2:14" ht="15" customHeight="1">
      <c r="B47" s="302" t="s">
        <v>320</v>
      </c>
      <c r="C47" s="296"/>
      <c r="D47" s="296">
        <v>652.25960699999996</v>
      </c>
      <c r="E47" s="296"/>
      <c r="F47" s="296"/>
      <c r="G47" s="296">
        <v>4178.2458909999996</v>
      </c>
      <c r="H47" s="296"/>
      <c r="I47" s="287"/>
      <c r="J47" s="287">
        <v>101.56670323367084</v>
      </c>
      <c r="K47" s="287"/>
      <c r="L47" s="287"/>
      <c r="M47" s="287">
        <v>89.305824870232925</v>
      </c>
    </row>
    <row r="48" spans="2:14" ht="15" customHeight="1">
      <c r="B48" s="302" t="s">
        <v>321</v>
      </c>
      <c r="C48" s="296"/>
      <c r="D48" s="296">
        <v>5309.4440409999997</v>
      </c>
      <c r="E48" s="296"/>
      <c r="F48" s="296"/>
      <c r="G48" s="296">
        <v>32198.691787</v>
      </c>
      <c r="H48" s="296"/>
      <c r="I48" s="287"/>
      <c r="J48" s="287">
        <v>110.60258929691911</v>
      </c>
      <c r="K48" s="287"/>
      <c r="L48" s="287"/>
      <c r="M48" s="287">
        <v>114.63567203136084</v>
      </c>
    </row>
    <row r="49" spans="2:13" ht="15" customHeight="1">
      <c r="B49" s="302" t="s">
        <v>322</v>
      </c>
      <c r="C49" s="296"/>
      <c r="D49" s="296">
        <v>388.26479</v>
      </c>
      <c r="E49" s="296"/>
      <c r="F49" s="296"/>
      <c r="G49" s="296">
        <v>2470.613257</v>
      </c>
      <c r="H49" s="296"/>
      <c r="I49" s="287"/>
      <c r="J49" s="287">
        <v>129.61410039266386</v>
      </c>
      <c r="K49" s="287"/>
      <c r="L49" s="287"/>
      <c r="M49" s="287">
        <v>127.38773479872133</v>
      </c>
    </row>
    <row r="50" spans="2:13" ht="15" customHeight="1">
      <c r="B50" s="302" t="s">
        <v>323</v>
      </c>
      <c r="C50" s="296"/>
      <c r="D50" s="296">
        <v>1682.4534739999999</v>
      </c>
      <c r="E50" s="296"/>
      <c r="F50" s="296"/>
      <c r="G50" s="296">
        <v>9909.4631090000003</v>
      </c>
      <c r="H50" s="296"/>
      <c r="I50" s="287"/>
      <c r="J50" s="287">
        <v>116.96916054816569</v>
      </c>
      <c r="K50" s="287"/>
      <c r="L50" s="287"/>
      <c r="M50" s="287">
        <v>113.52077583752506</v>
      </c>
    </row>
    <row r="51" spans="2:13" ht="15" customHeight="1">
      <c r="B51" s="302" t="s">
        <v>324</v>
      </c>
      <c r="C51" s="296"/>
      <c r="D51" s="296">
        <v>287.540053</v>
      </c>
      <c r="E51" s="296"/>
      <c r="F51" s="296"/>
      <c r="G51" s="296">
        <v>2051.8842009999998</v>
      </c>
      <c r="H51" s="296"/>
      <c r="I51" s="287"/>
      <c r="J51" s="287">
        <v>109.22919643839796</v>
      </c>
      <c r="K51" s="287"/>
      <c r="L51" s="287"/>
      <c r="M51" s="287">
        <v>111.00246332640715</v>
      </c>
    </row>
    <row r="52" spans="2:13" ht="15" customHeight="1">
      <c r="B52" s="302" t="s">
        <v>325</v>
      </c>
      <c r="C52" s="296"/>
      <c r="D52" s="296">
        <v>1097.1252420000001</v>
      </c>
      <c r="E52" s="296"/>
      <c r="F52" s="296"/>
      <c r="G52" s="296">
        <v>4409.9478179999996</v>
      </c>
      <c r="H52" s="296"/>
      <c r="I52" s="287"/>
      <c r="J52" s="287">
        <v>274.7586720955187</v>
      </c>
      <c r="K52" s="287"/>
      <c r="L52" s="287"/>
      <c r="M52" s="287">
        <v>217.5994159140194</v>
      </c>
    </row>
    <row r="53" spans="2:13" ht="15" customHeight="1"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</row>
    <row r="54" spans="2:13" ht="15" customHeight="1"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</row>
    <row r="55" spans="2:13" ht="15" customHeight="1">
      <c r="B55" s="303"/>
      <c r="C55" s="303"/>
      <c r="D55" s="303"/>
      <c r="E55" s="303"/>
      <c r="F55" s="303"/>
      <c r="G55" s="303"/>
      <c r="H55" s="303"/>
      <c r="I55" s="303"/>
      <c r="J55" s="303"/>
      <c r="K55" s="303"/>
      <c r="L55" s="303"/>
      <c r="M55" s="303"/>
    </row>
    <row r="56" spans="2:13" ht="15" customHeight="1"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</row>
    <row r="57" spans="2:13" ht="15" customHeight="1"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</row>
    <row r="58" spans="2:13" ht="15" customHeight="1"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</row>
    <row r="59" spans="2:13" ht="15" customHeight="1"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</row>
    <row r="60" spans="2:13" ht="15" customHeight="1">
      <c r="B60" s="303"/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</row>
    <row r="61" spans="2:13" ht="15" customHeight="1">
      <c r="B61" s="303"/>
      <c r="C61" s="303"/>
      <c r="D61" s="303"/>
      <c r="E61" s="303"/>
      <c r="F61" s="303"/>
      <c r="G61" s="303"/>
      <c r="H61" s="303"/>
      <c r="I61" s="303"/>
      <c r="J61" s="303"/>
      <c r="K61" s="303"/>
      <c r="L61" s="303"/>
      <c r="M61" s="303"/>
    </row>
    <row r="62" spans="2:13" ht="15" customHeight="1">
      <c r="B62" s="303"/>
      <c r="C62" s="303"/>
      <c r="D62" s="303"/>
      <c r="E62" s="303"/>
      <c r="F62" s="303"/>
      <c r="G62" s="303"/>
      <c r="H62" s="303"/>
      <c r="I62" s="303"/>
      <c r="J62" s="303"/>
      <c r="K62" s="303"/>
      <c r="L62" s="303"/>
      <c r="M62" s="303"/>
    </row>
    <row r="63" spans="2:13" ht="15" customHeight="1"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</row>
    <row r="64" spans="2:13" ht="15" customHeight="1">
      <c r="B64" s="303"/>
      <c r="C64" s="303"/>
      <c r="D64" s="303"/>
      <c r="E64" s="303"/>
      <c r="F64" s="303"/>
      <c r="G64" s="303"/>
      <c r="H64" s="303"/>
      <c r="L64" s="303"/>
      <c r="M64" s="303"/>
    </row>
    <row r="65" spans="2:2" ht="15" customHeight="1">
      <c r="B65" s="303"/>
    </row>
    <row r="66" spans="2:2" ht="15" customHeight="1">
      <c r="B66" s="303"/>
    </row>
    <row r="67" spans="2:2" ht="15" customHeight="1">
      <c r="B67" s="303"/>
    </row>
    <row r="68" spans="2:2" ht="15" customHeight="1">
      <c r="B68" s="303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78740157480314998" right="0.47244094488188998" top="0.74803149606299202" bottom="0.511811023622047" header="0.43307086614173201" footer="0.23622047244094499"/>
  <pageSetup paperSize="9" scale="95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AED3-64FB-40FA-8305-20205AA073FB}">
  <sheetPr>
    <pageSetUpPr fitToPage="1"/>
  </sheetPr>
  <dimension ref="A1:N86"/>
  <sheetViews>
    <sheetView workbookViewId="0">
      <selection activeCell="F11" sqref="F11"/>
    </sheetView>
  </sheetViews>
  <sheetFormatPr defaultColWidth="9.140625" defaultRowHeight="15"/>
  <cols>
    <col min="1" max="1" width="1.42578125" style="319" customWidth="1"/>
    <col min="2" max="2" width="35.42578125" style="323" customWidth="1"/>
    <col min="3" max="3" width="6.28515625" style="319" bestFit="1" customWidth="1"/>
    <col min="4" max="4" width="6" style="319" bestFit="1" customWidth="1"/>
    <col min="5" max="5" width="0.5703125" style="319" customWidth="1"/>
    <col min="6" max="6" width="7" style="319" customWidth="1"/>
    <col min="7" max="7" width="7" style="319" bestFit="1" customWidth="1"/>
    <col min="8" max="8" width="0.5703125" style="319" customWidth="1"/>
    <col min="9" max="10" width="8.42578125" style="319" customWidth="1"/>
    <col min="11" max="11" width="0.42578125" style="319" customWidth="1"/>
    <col min="12" max="12" width="6.28515625" style="319" bestFit="1" customWidth="1"/>
    <col min="13" max="13" width="6.42578125" style="319" customWidth="1"/>
    <col min="14" max="16384" width="9.140625" style="319"/>
  </cols>
  <sheetData>
    <row r="1" spans="1:14" s="271" customFormat="1" ht="16.5">
      <c r="A1" s="269" t="s">
        <v>359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</row>
    <row r="2" spans="1:14" s="271" customFormat="1" ht="6" customHeight="1"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4" s="274" customFormat="1" ht="12.75" customHeight="1">
      <c r="B3" s="273"/>
      <c r="G3" s="275"/>
      <c r="H3" s="275"/>
      <c r="I3" s="275"/>
      <c r="J3" s="275"/>
      <c r="K3" s="275"/>
      <c r="L3" s="276"/>
      <c r="M3" s="277" t="s">
        <v>277</v>
      </c>
    </row>
    <row r="4" spans="1:14" s="274" customFormat="1" ht="13.5" customHeight="1">
      <c r="A4" s="304"/>
      <c r="B4" s="279"/>
      <c r="C4" s="491" t="s">
        <v>202</v>
      </c>
      <c r="D4" s="491"/>
      <c r="E4" s="491"/>
      <c r="F4" s="491"/>
      <c r="G4" s="491"/>
      <c r="H4" s="280"/>
      <c r="I4" s="491" t="s">
        <v>278</v>
      </c>
      <c r="J4" s="491"/>
      <c r="K4" s="491"/>
      <c r="L4" s="491"/>
      <c r="M4" s="491"/>
    </row>
    <row r="5" spans="1:14" s="274" customFormat="1" ht="13.5" customHeight="1">
      <c r="B5" s="281"/>
      <c r="C5" s="492" t="s">
        <v>279</v>
      </c>
      <c r="D5" s="492"/>
      <c r="E5" s="282"/>
      <c r="F5" s="492" t="s">
        <v>203</v>
      </c>
      <c r="G5" s="492"/>
      <c r="H5" s="282"/>
      <c r="I5" s="492" t="s">
        <v>279</v>
      </c>
      <c r="J5" s="492"/>
      <c r="K5" s="282"/>
      <c r="L5" s="492" t="s">
        <v>203</v>
      </c>
      <c r="M5" s="492"/>
    </row>
    <row r="6" spans="1:14" s="274" customFormat="1" ht="13.5" customHeight="1">
      <c r="B6" s="281"/>
      <c r="C6" s="490" t="s">
        <v>25</v>
      </c>
      <c r="D6" s="490"/>
      <c r="E6" s="283"/>
      <c r="F6" s="490" t="s">
        <v>25</v>
      </c>
      <c r="G6" s="490"/>
      <c r="H6" s="283"/>
      <c r="I6" s="490" t="s">
        <v>25</v>
      </c>
      <c r="J6" s="490"/>
      <c r="K6" s="283"/>
      <c r="L6" s="490" t="s">
        <v>25</v>
      </c>
      <c r="M6" s="490"/>
    </row>
    <row r="7" spans="1:14" s="274" customFormat="1" ht="13.5" customHeight="1">
      <c r="B7" s="281"/>
      <c r="C7" s="284" t="s">
        <v>280</v>
      </c>
      <c r="D7" s="284" t="s">
        <v>281</v>
      </c>
      <c r="E7" s="284"/>
      <c r="F7" s="285" t="s">
        <v>280</v>
      </c>
      <c r="G7" s="284" t="s">
        <v>281</v>
      </c>
      <c r="H7" s="284"/>
      <c r="I7" s="305" t="s">
        <v>280</v>
      </c>
      <c r="J7" s="306" t="s">
        <v>281</v>
      </c>
      <c r="K7" s="306"/>
      <c r="L7" s="307" t="s">
        <v>280</v>
      </c>
      <c r="M7" s="307" t="s">
        <v>281</v>
      </c>
    </row>
    <row r="8" spans="1:14" s="274" customFormat="1" ht="13.5" customHeight="1">
      <c r="B8" s="281"/>
      <c r="D8" s="287"/>
      <c r="E8" s="287"/>
    </row>
    <row r="9" spans="1:14" s="274" customFormat="1" ht="13.5" customHeight="1">
      <c r="A9" s="308" t="s">
        <v>282</v>
      </c>
      <c r="C9" s="309"/>
      <c r="D9" s="310">
        <v>39998.519049000002</v>
      </c>
      <c r="E9" s="310"/>
      <c r="F9" s="310"/>
      <c r="G9" s="310">
        <v>252255.11550300001</v>
      </c>
      <c r="H9" s="310"/>
      <c r="I9" s="311"/>
      <c r="J9" s="311">
        <v>117.77244480254816</v>
      </c>
      <c r="K9" s="311"/>
      <c r="L9" s="311"/>
      <c r="M9" s="311">
        <v>117.92815198668715</v>
      </c>
      <c r="N9" s="312"/>
    </row>
    <row r="10" spans="1:14" s="274" customFormat="1" ht="13.5" customHeight="1">
      <c r="B10" s="294" t="s">
        <v>283</v>
      </c>
      <c r="C10" s="309"/>
      <c r="D10" s="310">
        <v>11285.117402000003</v>
      </c>
      <c r="E10" s="310"/>
      <c r="F10" s="310"/>
      <c r="G10" s="310">
        <v>84070.506932000018</v>
      </c>
      <c r="H10" s="310"/>
      <c r="I10" s="311"/>
      <c r="J10" s="311">
        <v>94.976922756226756</v>
      </c>
      <c r="K10" s="311"/>
      <c r="L10" s="311"/>
      <c r="M10" s="311">
        <v>107.98510576225627</v>
      </c>
      <c r="N10" s="313"/>
    </row>
    <row r="11" spans="1:14" s="274" customFormat="1" ht="13.5" customHeight="1">
      <c r="B11" s="294" t="s">
        <v>284</v>
      </c>
      <c r="C11" s="309"/>
      <c r="D11" s="310">
        <v>28714</v>
      </c>
      <c r="E11" s="310"/>
      <c r="F11" s="310"/>
      <c r="G11" s="310">
        <v>168184</v>
      </c>
      <c r="H11" s="310"/>
      <c r="I11" s="311"/>
      <c r="J11" s="311">
        <v>130.03912123574955</v>
      </c>
      <c r="K11" s="311"/>
      <c r="L11" s="311"/>
      <c r="M11" s="311">
        <v>123.61791849262409</v>
      </c>
      <c r="N11" s="313"/>
    </row>
    <row r="12" spans="1:14" s="274" customFormat="1" ht="13.5" customHeight="1">
      <c r="A12" s="298" t="s">
        <v>287</v>
      </c>
      <c r="B12" s="273"/>
      <c r="C12" s="309"/>
      <c r="D12" s="309"/>
      <c r="E12" s="309"/>
      <c r="F12" s="309"/>
      <c r="G12" s="309"/>
      <c r="H12" s="309"/>
      <c r="I12" s="314"/>
      <c r="J12" s="315"/>
      <c r="K12" s="315"/>
      <c r="L12" s="314"/>
      <c r="M12" s="315"/>
    </row>
    <row r="13" spans="1:14" s="274" customFormat="1" ht="13.5" customHeight="1">
      <c r="B13" s="297" t="s">
        <v>326</v>
      </c>
      <c r="C13" s="309"/>
      <c r="D13" s="309">
        <v>295.31026900000001</v>
      </c>
      <c r="E13" s="309"/>
      <c r="F13" s="309"/>
      <c r="G13" s="309">
        <v>1876.764236</v>
      </c>
      <c r="H13" s="309"/>
      <c r="I13" s="314"/>
      <c r="J13" s="314">
        <v>128.62628813082026</v>
      </c>
      <c r="K13" s="314"/>
      <c r="L13" s="314"/>
      <c r="M13" s="314">
        <v>130.75797363965302</v>
      </c>
    </row>
    <row r="14" spans="1:14" s="274" customFormat="1" ht="13.5" customHeight="1">
      <c r="B14" s="297" t="s">
        <v>327</v>
      </c>
      <c r="C14" s="309"/>
      <c r="D14" s="309">
        <v>129.21053699999999</v>
      </c>
      <c r="E14" s="309"/>
      <c r="F14" s="309"/>
      <c r="G14" s="309">
        <v>858.08167900000001</v>
      </c>
      <c r="H14" s="309"/>
      <c r="I14" s="314"/>
      <c r="J14" s="314">
        <v>127.40646653019114</v>
      </c>
      <c r="K14" s="314"/>
      <c r="L14" s="314"/>
      <c r="M14" s="314">
        <v>134.9208689818424</v>
      </c>
    </row>
    <row r="15" spans="1:14" s="274" customFormat="1" ht="13.5" customHeight="1">
      <c r="B15" s="297" t="s">
        <v>289</v>
      </c>
      <c r="C15" s="309"/>
      <c r="D15" s="309">
        <v>248.28145599999999</v>
      </c>
      <c r="E15" s="309"/>
      <c r="F15" s="309"/>
      <c r="G15" s="309">
        <v>1449.2108330000001</v>
      </c>
      <c r="H15" s="309"/>
      <c r="I15" s="314"/>
      <c r="J15" s="314">
        <v>120.72534344585793</v>
      </c>
      <c r="K15" s="314"/>
      <c r="L15" s="314"/>
      <c r="M15" s="314">
        <v>118.03704991587361</v>
      </c>
    </row>
    <row r="16" spans="1:14" s="274" customFormat="1" ht="13.5" customHeight="1">
      <c r="B16" s="297" t="s">
        <v>290</v>
      </c>
      <c r="C16" s="309">
        <v>297.83094760978759</v>
      </c>
      <c r="D16" s="309">
        <v>436.742817</v>
      </c>
      <c r="E16" s="309"/>
      <c r="F16" s="309">
        <v>1899.4139476097876</v>
      </c>
      <c r="G16" s="309">
        <v>2928.2362579999999</v>
      </c>
      <c r="H16" s="309"/>
      <c r="I16" s="314">
        <v>102.51685693871575</v>
      </c>
      <c r="J16" s="314">
        <v>126.47060864194498</v>
      </c>
      <c r="K16" s="314"/>
      <c r="L16" s="314">
        <v>106.35963378653462</v>
      </c>
      <c r="M16" s="314">
        <v>136.11636256976533</v>
      </c>
    </row>
    <row r="17" spans="2:13" s="274" customFormat="1" ht="13.5" customHeight="1">
      <c r="B17" s="297" t="s">
        <v>328</v>
      </c>
      <c r="C17" s="309">
        <v>218.06573467633149</v>
      </c>
      <c r="D17" s="309">
        <v>60.561540000000001</v>
      </c>
      <c r="E17" s="309"/>
      <c r="F17" s="309">
        <v>3281.7867346763314</v>
      </c>
      <c r="G17" s="309">
        <v>877.21020299999998</v>
      </c>
      <c r="H17" s="309"/>
      <c r="I17" s="314">
        <v>73.375618600944009</v>
      </c>
      <c r="J17" s="314">
        <v>69.890951077289799</v>
      </c>
      <c r="K17" s="314"/>
      <c r="L17" s="314">
        <v>95.925775594403788</v>
      </c>
      <c r="M17" s="314">
        <v>92.437554253084485</v>
      </c>
    </row>
    <row r="18" spans="2:13" s="274" customFormat="1" ht="13.5" customHeight="1">
      <c r="B18" s="297" t="s">
        <v>13</v>
      </c>
      <c r="C18" s="309">
        <v>1013.730452978329</v>
      </c>
      <c r="D18" s="309">
        <v>260.74068</v>
      </c>
      <c r="E18" s="309"/>
      <c r="F18" s="309">
        <v>5463.0324529783284</v>
      </c>
      <c r="G18" s="309">
        <v>1413.5371110000001</v>
      </c>
      <c r="H18" s="309"/>
      <c r="I18" s="314">
        <v>113.62767659043469</v>
      </c>
      <c r="J18" s="314">
        <v>121.39747733217405</v>
      </c>
      <c r="K18" s="314"/>
      <c r="L18" s="314">
        <v>95.061122093537435</v>
      </c>
      <c r="M18" s="314">
        <v>98.740324204347203</v>
      </c>
    </row>
    <row r="19" spans="2:13" s="274" customFormat="1" ht="13.5" customHeight="1">
      <c r="B19" s="297" t="s">
        <v>15</v>
      </c>
      <c r="C19" s="309">
        <v>287.73362431751116</v>
      </c>
      <c r="D19" s="309">
        <v>138.66298900000001</v>
      </c>
      <c r="E19" s="309"/>
      <c r="F19" s="309">
        <v>1508.9986243175113</v>
      </c>
      <c r="G19" s="309">
        <v>695.91629499999999</v>
      </c>
      <c r="H19" s="309"/>
      <c r="I19" s="314">
        <v>117.05767755640086</v>
      </c>
      <c r="J19" s="314">
        <v>111.13056579842781</v>
      </c>
      <c r="K19" s="314"/>
      <c r="L19" s="314">
        <v>114.76016505382563</v>
      </c>
      <c r="M19" s="314">
        <v>101.07071700048864</v>
      </c>
    </row>
    <row r="20" spans="2:13" s="274" customFormat="1" ht="13.5" customHeight="1">
      <c r="B20" s="297" t="s">
        <v>329</v>
      </c>
      <c r="C20" s="309"/>
      <c r="D20" s="309">
        <v>123.04709800000001</v>
      </c>
      <c r="E20" s="309"/>
      <c r="F20" s="309"/>
      <c r="G20" s="309">
        <v>864.74054799999999</v>
      </c>
      <c r="H20" s="309"/>
      <c r="I20" s="314"/>
      <c r="J20" s="314">
        <v>109.36637502915767</v>
      </c>
      <c r="K20" s="314"/>
      <c r="L20" s="314"/>
      <c r="M20" s="314">
        <v>127.22509250579105</v>
      </c>
    </row>
    <row r="21" spans="2:13" s="274" customFormat="1" ht="13.5" customHeight="1">
      <c r="B21" s="297" t="s">
        <v>330</v>
      </c>
      <c r="C21" s="309"/>
      <c r="D21" s="309">
        <v>107.437974</v>
      </c>
      <c r="E21" s="309"/>
      <c r="F21" s="309"/>
      <c r="G21" s="309">
        <v>785.75054699999998</v>
      </c>
      <c r="H21" s="309"/>
      <c r="I21" s="314"/>
      <c r="J21" s="314">
        <v>79.197708837253984</v>
      </c>
      <c r="K21" s="314"/>
      <c r="L21" s="314"/>
      <c r="M21" s="314">
        <v>108.48493714791647</v>
      </c>
    </row>
    <row r="22" spans="2:13" s="274" customFormat="1" ht="13.5" customHeight="1">
      <c r="B22" s="297" t="s">
        <v>331</v>
      </c>
      <c r="C22" s="309"/>
      <c r="D22" s="309">
        <v>346.37984599999999</v>
      </c>
      <c r="E22" s="309"/>
      <c r="F22" s="309"/>
      <c r="G22" s="309">
        <v>2671.798796</v>
      </c>
      <c r="H22" s="309"/>
      <c r="I22" s="314"/>
      <c r="J22" s="314">
        <v>98.84373693424287</v>
      </c>
      <c r="K22" s="314"/>
      <c r="L22" s="314"/>
      <c r="M22" s="314">
        <v>92.977848450532775</v>
      </c>
    </row>
    <row r="23" spans="2:13" s="274" customFormat="1" ht="13.5" customHeight="1">
      <c r="B23" s="297" t="s">
        <v>332</v>
      </c>
      <c r="C23" s="309">
        <v>2859.1654966049136</v>
      </c>
      <c r="D23" s="309">
        <v>275.37429400000002</v>
      </c>
      <c r="E23" s="309"/>
      <c r="F23" s="309">
        <v>18029.712496604916</v>
      </c>
      <c r="G23" s="309">
        <v>1820.284159</v>
      </c>
      <c r="H23" s="309"/>
      <c r="I23" s="314">
        <v>112.27718633733332</v>
      </c>
      <c r="J23" s="314">
        <v>100.01281329495863</v>
      </c>
      <c r="K23" s="314"/>
      <c r="L23" s="314">
        <v>118.84214200725347</v>
      </c>
      <c r="M23" s="314">
        <v>108.22216804084252</v>
      </c>
    </row>
    <row r="24" spans="2:13" s="274" customFormat="1" ht="13.5" customHeight="1">
      <c r="B24" s="297" t="s">
        <v>333</v>
      </c>
      <c r="C24" s="309">
        <v>5406.5679028684935</v>
      </c>
      <c r="D24" s="309">
        <v>491.34207700000002</v>
      </c>
      <c r="E24" s="309"/>
      <c r="F24" s="309">
        <v>43432.390902868487</v>
      </c>
      <c r="G24" s="309">
        <v>4333.3507890000001</v>
      </c>
      <c r="H24" s="309"/>
      <c r="I24" s="314">
        <v>76.68031387785615</v>
      </c>
      <c r="J24" s="314">
        <v>58.656326456616249</v>
      </c>
      <c r="K24" s="314"/>
      <c r="L24" s="314">
        <v>106.90804541736554</v>
      </c>
      <c r="M24" s="314">
        <v>85.687540865747863</v>
      </c>
    </row>
    <row r="25" spans="2:13" s="274" customFormat="1" ht="13.5" customHeight="1">
      <c r="B25" s="297" t="s">
        <v>285</v>
      </c>
      <c r="C25" s="309">
        <v>999.45019954468842</v>
      </c>
      <c r="D25" s="309">
        <v>552.73739399999999</v>
      </c>
      <c r="E25" s="309"/>
      <c r="F25" s="309">
        <v>8069.0111995446878</v>
      </c>
      <c r="G25" s="309">
        <v>4542.5741209999996</v>
      </c>
      <c r="H25" s="309"/>
      <c r="I25" s="314">
        <v>81.439053707204749</v>
      </c>
      <c r="J25" s="314">
        <v>70.701669384493144</v>
      </c>
      <c r="K25" s="314"/>
      <c r="L25" s="314">
        <v>100.39295157038654</v>
      </c>
      <c r="M25" s="314">
        <v>89.602623366569958</v>
      </c>
    </row>
    <row r="26" spans="2:13" s="274" customFormat="1" ht="13.5" customHeight="1">
      <c r="B26" s="297" t="s">
        <v>334</v>
      </c>
      <c r="C26" s="309">
        <v>1097.7093502878568</v>
      </c>
      <c r="D26" s="309">
        <v>758.10926300000006</v>
      </c>
      <c r="E26" s="309"/>
      <c r="F26" s="309">
        <v>6063.017350287857</v>
      </c>
      <c r="G26" s="309">
        <v>4139.4868239999996</v>
      </c>
      <c r="H26" s="309"/>
      <c r="I26" s="314">
        <v>146.1068260186737</v>
      </c>
      <c r="J26" s="314">
        <v>127.98915699105393</v>
      </c>
      <c r="K26" s="314"/>
      <c r="L26" s="314">
        <v>98.014581551646671</v>
      </c>
      <c r="M26" s="314">
        <v>83.039674740436425</v>
      </c>
    </row>
    <row r="27" spans="2:13" s="274" customFormat="1" ht="13.5" customHeight="1">
      <c r="B27" s="297" t="s">
        <v>335</v>
      </c>
      <c r="C27" s="309">
        <v>291.39069805703974</v>
      </c>
      <c r="D27" s="309">
        <v>173.37557899999999</v>
      </c>
      <c r="E27" s="309"/>
      <c r="F27" s="309">
        <v>1809.9486980570398</v>
      </c>
      <c r="G27" s="309">
        <v>1157.446803</v>
      </c>
      <c r="H27" s="309"/>
      <c r="I27" s="314">
        <v>99.693689761753816</v>
      </c>
      <c r="J27" s="314">
        <v>92.821019090704922</v>
      </c>
      <c r="K27" s="314"/>
      <c r="L27" s="314">
        <v>97.762561930127475</v>
      </c>
      <c r="M27" s="314">
        <v>97.104434496553992</v>
      </c>
    </row>
    <row r="28" spans="2:13" s="274" customFormat="1" ht="13.5" customHeight="1">
      <c r="B28" s="297" t="s">
        <v>336</v>
      </c>
      <c r="C28" s="309"/>
      <c r="D28" s="309">
        <v>195.842781</v>
      </c>
      <c r="E28" s="309"/>
      <c r="F28" s="309"/>
      <c r="G28" s="309">
        <v>1050.059019</v>
      </c>
      <c r="H28" s="309"/>
      <c r="I28" s="314"/>
      <c r="J28" s="314">
        <v>173.62326547089302</v>
      </c>
      <c r="K28" s="314"/>
      <c r="L28" s="314"/>
      <c r="M28" s="314">
        <v>105.31574873144909</v>
      </c>
    </row>
    <row r="29" spans="2:13" s="274" customFormat="1" ht="13.5" customHeight="1">
      <c r="B29" s="297" t="s">
        <v>337</v>
      </c>
      <c r="C29" s="309"/>
      <c r="D29" s="309">
        <v>693.44779100000005</v>
      </c>
      <c r="E29" s="309"/>
      <c r="F29" s="309"/>
      <c r="G29" s="309">
        <v>4611.0746369999997</v>
      </c>
      <c r="H29" s="309"/>
      <c r="I29" s="314"/>
      <c r="J29" s="314">
        <v>95.7377968632034</v>
      </c>
      <c r="K29" s="314"/>
      <c r="L29" s="314"/>
      <c r="M29" s="314">
        <v>94.000978527212126</v>
      </c>
    </row>
    <row r="30" spans="2:13" s="274" customFormat="1" ht="13.5" customHeight="1">
      <c r="B30" s="297" t="s">
        <v>338</v>
      </c>
      <c r="C30" s="309"/>
      <c r="D30" s="309">
        <v>703.54246799999999</v>
      </c>
      <c r="E30" s="309"/>
      <c r="F30" s="309"/>
      <c r="G30" s="309">
        <v>4504.6454540000004</v>
      </c>
      <c r="H30" s="309"/>
      <c r="I30" s="314"/>
      <c r="J30" s="314">
        <v>100.50101682462029</v>
      </c>
      <c r="K30" s="314"/>
      <c r="L30" s="314"/>
      <c r="M30" s="314">
        <v>101.04814564683211</v>
      </c>
    </row>
    <row r="31" spans="2:13" s="274" customFormat="1" ht="13.5" customHeight="1">
      <c r="B31" s="297" t="s">
        <v>339</v>
      </c>
      <c r="C31" s="309"/>
      <c r="D31" s="309">
        <v>366.12247300000001</v>
      </c>
      <c r="E31" s="309"/>
      <c r="F31" s="309"/>
      <c r="G31" s="309">
        <v>2496.582105</v>
      </c>
      <c r="H31" s="309"/>
      <c r="I31" s="314"/>
      <c r="J31" s="314">
        <v>93.346879451751064</v>
      </c>
      <c r="K31" s="314"/>
      <c r="L31" s="314"/>
      <c r="M31" s="314">
        <v>103.24537150744237</v>
      </c>
    </row>
    <row r="32" spans="2:13" s="274" customFormat="1" ht="13.5" customHeight="1">
      <c r="B32" s="297" t="s">
        <v>340</v>
      </c>
      <c r="C32" s="309">
        <v>536.08851283762499</v>
      </c>
      <c r="D32" s="309">
        <v>242.54199499999999</v>
      </c>
      <c r="E32" s="309"/>
      <c r="F32" s="309">
        <v>3714.5565128376247</v>
      </c>
      <c r="G32" s="309">
        <v>1292.358033</v>
      </c>
      <c r="H32" s="309"/>
      <c r="I32" s="314">
        <v>127.62644784192764</v>
      </c>
      <c r="J32" s="314">
        <v>178.77690770635868</v>
      </c>
      <c r="K32" s="314"/>
      <c r="L32" s="314">
        <v>122.77885904948975</v>
      </c>
      <c r="M32" s="314">
        <v>131.56932446981747</v>
      </c>
    </row>
    <row r="33" spans="2:14" s="274" customFormat="1" ht="13.5" customHeight="1">
      <c r="B33" s="297" t="s">
        <v>341</v>
      </c>
      <c r="C33" s="309"/>
      <c r="D33" s="309">
        <v>132.10775100000001</v>
      </c>
      <c r="E33" s="309"/>
      <c r="F33" s="309"/>
      <c r="G33" s="309">
        <v>857.04869599999995</v>
      </c>
      <c r="H33" s="309"/>
      <c r="I33" s="314"/>
      <c r="J33" s="314">
        <v>109.80804883842453</v>
      </c>
      <c r="K33" s="314"/>
      <c r="L33" s="314"/>
      <c r="M33" s="314">
        <v>106.35731889252607</v>
      </c>
    </row>
    <row r="34" spans="2:14" s="274" customFormat="1" ht="13.5" customHeight="1">
      <c r="B34" s="297" t="s">
        <v>342</v>
      </c>
      <c r="C34" s="309">
        <v>840.5639101777723</v>
      </c>
      <c r="D34" s="309">
        <v>1084.7785759999999</v>
      </c>
      <c r="E34" s="309"/>
      <c r="F34" s="309">
        <v>5549.8749101777721</v>
      </c>
      <c r="G34" s="309">
        <v>7324.9181550000003</v>
      </c>
      <c r="H34" s="309"/>
      <c r="I34" s="314">
        <v>116.53457787020274</v>
      </c>
      <c r="J34" s="314">
        <v>104.80105470587455</v>
      </c>
      <c r="K34" s="314"/>
      <c r="L34" s="314">
        <v>118.73132421522756</v>
      </c>
      <c r="M34" s="314">
        <v>111.63265272867879</v>
      </c>
    </row>
    <row r="35" spans="2:14" s="274" customFormat="1" ht="13.5" customHeight="1">
      <c r="B35" s="297" t="s">
        <v>304</v>
      </c>
      <c r="C35" s="309"/>
      <c r="D35" s="309">
        <v>979.49304400000005</v>
      </c>
      <c r="E35" s="309"/>
      <c r="F35" s="309"/>
      <c r="G35" s="309">
        <v>5933.3096699999996</v>
      </c>
      <c r="H35" s="309"/>
      <c r="I35" s="314"/>
      <c r="J35" s="314">
        <v>120.89852799325256</v>
      </c>
      <c r="K35" s="314"/>
      <c r="L35" s="314"/>
      <c r="M35" s="314">
        <v>119.69950635512185</v>
      </c>
    </row>
    <row r="36" spans="2:14" s="274" customFormat="1" ht="13.5" customHeight="1">
      <c r="B36" s="297" t="s">
        <v>305</v>
      </c>
      <c r="C36" s="309">
        <v>174.56858247982908</v>
      </c>
      <c r="D36" s="309">
        <v>274.09630299999998</v>
      </c>
      <c r="E36" s="309"/>
      <c r="F36" s="309">
        <v>1012.950582479829</v>
      </c>
      <c r="G36" s="309">
        <v>1699.4581310000001</v>
      </c>
      <c r="H36" s="309"/>
      <c r="I36" s="314">
        <v>110.48644460748676</v>
      </c>
      <c r="J36" s="314">
        <v>109.61108949029979</v>
      </c>
      <c r="K36" s="314"/>
      <c r="L36" s="314">
        <v>107.27567725494616</v>
      </c>
      <c r="M36" s="314">
        <v>118.72006516730423</v>
      </c>
    </row>
    <row r="37" spans="2:14" s="274" customFormat="1" ht="13.5" customHeight="1">
      <c r="B37" s="297" t="s">
        <v>306</v>
      </c>
      <c r="C37" s="309"/>
      <c r="D37" s="309">
        <v>113.02802</v>
      </c>
      <c r="E37" s="309"/>
      <c r="F37" s="309"/>
      <c r="G37" s="309">
        <v>706.42568300000005</v>
      </c>
      <c r="H37" s="309"/>
      <c r="I37" s="314"/>
      <c r="J37" s="314">
        <v>116.44361155131794</v>
      </c>
      <c r="K37" s="314"/>
      <c r="L37" s="314"/>
      <c r="M37" s="314">
        <v>117.98510982171339</v>
      </c>
    </row>
    <row r="38" spans="2:14" s="274" customFormat="1" ht="13.5" customHeight="1">
      <c r="B38" s="297" t="s">
        <v>308</v>
      </c>
      <c r="C38" s="309"/>
      <c r="D38" s="309">
        <v>309.47382599999997</v>
      </c>
      <c r="E38" s="309"/>
      <c r="F38" s="309"/>
      <c r="G38" s="309">
        <v>1822.000274</v>
      </c>
      <c r="H38" s="309"/>
      <c r="I38" s="314"/>
      <c r="J38" s="314">
        <v>116.84034700750074</v>
      </c>
      <c r="K38" s="314"/>
      <c r="L38" s="314"/>
      <c r="M38" s="314">
        <v>119.1042889201545</v>
      </c>
    </row>
    <row r="39" spans="2:14" s="274" customFormat="1" ht="13.5" customHeight="1">
      <c r="B39" s="297" t="s">
        <v>343</v>
      </c>
      <c r="C39" s="309">
        <v>278.79284105674014</v>
      </c>
      <c r="D39" s="309">
        <v>226.04349400000001</v>
      </c>
      <c r="E39" s="309"/>
      <c r="F39" s="309">
        <v>1698.2718410567402</v>
      </c>
      <c r="G39" s="309">
        <v>1398.6314629999999</v>
      </c>
      <c r="H39" s="309"/>
      <c r="I39" s="314">
        <v>119.36004634813962</v>
      </c>
      <c r="J39" s="314">
        <v>110.2596184140609</v>
      </c>
      <c r="K39" s="314"/>
      <c r="L39" s="314">
        <v>119.95732527083132</v>
      </c>
      <c r="M39" s="314">
        <v>111.17788989080107</v>
      </c>
      <c r="N39" s="316"/>
    </row>
    <row r="40" spans="2:14" s="274" customFormat="1" ht="13.5" customHeight="1">
      <c r="B40" s="297" t="s">
        <v>344</v>
      </c>
      <c r="C40" s="309"/>
      <c r="D40" s="309">
        <v>116.92240700000001</v>
      </c>
      <c r="E40" s="309"/>
      <c r="F40" s="309"/>
      <c r="G40" s="309">
        <v>708.25103000000001</v>
      </c>
      <c r="H40" s="309"/>
      <c r="I40" s="314"/>
      <c r="J40" s="314">
        <v>121.22693167774403</v>
      </c>
      <c r="K40" s="314"/>
      <c r="L40" s="314"/>
      <c r="M40" s="314">
        <v>121.51231615391305</v>
      </c>
    </row>
    <row r="41" spans="2:14" s="274" customFormat="1" ht="13.5" customHeight="1">
      <c r="B41" s="297" t="s">
        <v>345</v>
      </c>
      <c r="C41" s="309">
        <v>143.65465082344014</v>
      </c>
      <c r="D41" s="309">
        <v>244.26234600000001</v>
      </c>
      <c r="E41" s="309"/>
      <c r="F41" s="309">
        <v>1090.1446508234401</v>
      </c>
      <c r="G41" s="309">
        <v>1865.5941</v>
      </c>
      <c r="H41" s="309"/>
      <c r="I41" s="314">
        <v>129.8878387900796</v>
      </c>
      <c r="J41" s="314">
        <v>111.3749663361386</v>
      </c>
      <c r="K41" s="314"/>
      <c r="L41" s="314">
        <v>127.01932777514271</v>
      </c>
      <c r="M41" s="314">
        <v>108.62227960299755</v>
      </c>
    </row>
    <row r="42" spans="2:14" s="274" customFormat="1" ht="13.5" customHeight="1">
      <c r="B42" s="297" t="s">
        <v>346</v>
      </c>
      <c r="C42" s="309">
        <v>108.58191421493355</v>
      </c>
      <c r="D42" s="309">
        <v>242.222758</v>
      </c>
      <c r="E42" s="309"/>
      <c r="F42" s="309">
        <v>735.41491421493356</v>
      </c>
      <c r="G42" s="309">
        <v>1637.1227819999999</v>
      </c>
      <c r="H42" s="309"/>
      <c r="I42" s="314">
        <v>102.40871676814949</v>
      </c>
      <c r="J42" s="314">
        <v>99.42409590931311</v>
      </c>
      <c r="K42" s="314"/>
      <c r="L42" s="314">
        <v>106.18130649375379</v>
      </c>
      <c r="M42" s="314">
        <v>107.55655006184972</v>
      </c>
    </row>
    <row r="43" spans="2:14" s="274" customFormat="1" ht="13.5" customHeight="1">
      <c r="B43" s="297" t="s">
        <v>347</v>
      </c>
      <c r="C43" s="309"/>
      <c r="D43" s="309">
        <v>1212.987308</v>
      </c>
      <c r="E43" s="309"/>
      <c r="F43" s="309"/>
      <c r="G43" s="309">
        <v>8754.4463610000003</v>
      </c>
      <c r="H43" s="309"/>
      <c r="I43" s="314"/>
      <c r="J43" s="314">
        <v>101.53567807571682</v>
      </c>
      <c r="K43" s="314"/>
      <c r="L43" s="314"/>
      <c r="M43" s="314">
        <v>103.2233424931876</v>
      </c>
    </row>
    <row r="44" spans="2:14" s="274" customFormat="1" ht="13.5" customHeight="1">
      <c r="B44" s="297" t="s">
        <v>348</v>
      </c>
      <c r="C44" s="309"/>
      <c r="D44" s="309">
        <v>587.94013800000005</v>
      </c>
      <c r="E44" s="309"/>
      <c r="F44" s="309"/>
      <c r="G44" s="309">
        <v>4161.5268740000001</v>
      </c>
      <c r="H44" s="309"/>
      <c r="I44" s="314"/>
      <c r="J44" s="314">
        <v>101.96824844350303</v>
      </c>
      <c r="K44" s="314"/>
      <c r="L44" s="314"/>
      <c r="M44" s="314">
        <v>103.75713475601418</v>
      </c>
    </row>
    <row r="45" spans="2:14" s="274" customFormat="1" ht="13.5" customHeight="1">
      <c r="B45" s="297" t="s">
        <v>314</v>
      </c>
      <c r="C45" s="309"/>
      <c r="D45" s="309">
        <v>114.91086900000001</v>
      </c>
      <c r="E45" s="309"/>
      <c r="F45" s="309"/>
      <c r="G45" s="309">
        <v>780.63508100000001</v>
      </c>
      <c r="H45" s="309"/>
      <c r="I45" s="314"/>
      <c r="J45" s="314">
        <v>93.477925803395038</v>
      </c>
      <c r="K45" s="314"/>
      <c r="L45" s="314"/>
      <c r="M45" s="314">
        <v>80.411616726120513</v>
      </c>
    </row>
    <row r="46" spans="2:14" s="274" customFormat="1" ht="13.5" customHeight="1">
      <c r="B46" s="297" t="s">
        <v>349</v>
      </c>
      <c r="C46" s="309">
        <v>532.20751307708179</v>
      </c>
      <c r="D46" s="309">
        <v>164.652894</v>
      </c>
      <c r="E46" s="309"/>
      <c r="F46" s="309">
        <v>3566.8765130770817</v>
      </c>
      <c r="G46" s="309">
        <v>1144.3159450000001</v>
      </c>
      <c r="H46" s="309"/>
      <c r="I46" s="314">
        <v>144.29928612639208</v>
      </c>
      <c r="J46" s="314">
        <v>119.37335981874593</v>
      </c>
      <c r="K46" s="314"/>
      <c r="L46" s="314">
        <v>126.81095884694669</v>
      </c>
      <c r="M46" s="314">
        <v>107.79119246416775</v>
      </c>
    </row>
    <row r="47" spans="2:14" s="274" customFormat="1" ht="13.5" customHeight="1">
      <c r="B47" s="297" t="s">
        <v>350</v>
      </c>
      <c r="C47" s="309">
        <v>1128.9433054486351</v>
      </c>
      <c r="D47" s="309">
        <v>852.179802</v>
      </c>
      <c r="E47" s="309"/>
      <c r="F47" s="309">
        <v>8701.7643054486343</v>
      </c>
      <c r="G47" s="309">
        <v>6229.7273050000003</v>
      </c>
      <c r="H47" s="309"/>
      <c r="I47" s="314">
        <v>95.275989789060262</v>
      </c>
      <c r="J47" s="314">
        <v>92.835632030708481</v>
      </c>
      <c r="K47" s="314"/>
      <c r="L47" s="314">
        <v>92.48984152420239</v>
      </c>
      <c r="M47" s="314">
        <v>90.443144525283998</v>
      </c>
    </row>
    <row r="48" spans="2:14" s="274" customFormat="1" ht="13.5" customHeight="1">
      <c r="B48" s="297" t="s">
        <v>316</v>
      </c>
      <c r="C48" s="309"/>
      <c r="D48" s="309">
        <v>784.90889900000002</v>
      </c>
      <c r="E48" s="309"/>
      <c r="F48" s="309"/>
      <c r="G48" s="309">
        <v>4461.1912119999997</v>
      </c>
      <c r="H48" s="309"/>
      <c r="I48" s="314"/>
      <c r="J48" s="314">
        <v>133.07492715692641</v>
      </c>
      <c r="K48" s="314"/>
      <c r="L48" s="314"/>
      <c r="M48" s="314">
        <v>122.56017540436308</v>
      </c>
    </row>
    <row r="49" spans="1:13" s="274" customFormat="1" ht="13.5" customHeight="1">
      <c r="B49" s="297" t="s">
        <v>351</v>
      </c>
      <c r="C49" s="309">
        <v>198.05680604830536</v>
      </c>
      <c r="D49" s="309">
        <v>945.48442599999998</v>
      </c>
      <c r="E49" s="309"/>
      <c r="F49" s="309">
        <v>1335.4318060483054</v>
      </c>
      <c r="G49" s="309">
        <v>6376.8832469999998</v>
      </c>
      <c r="H49" s="309"/>
      <c r="I49" s="314">
        <v>104.10289882749912</v>
      </c>
      <c r="J49" s="314">
        <v>109.46574984239305</v>
      </c>
      <c r="K49" s="314"/>
      <c r="L49" s="314">
        <v>107.6869947341802</v>
      </c>
      <c r="M49" s="314">
        <v>117.43260702565796</v>
      </c>
    </row>
    <row r="50" spans="1:13" s="274" customFormat="1" ht="13.5" customHeight="1">
      <c r="B50" s="297" t="s">
        <v>352</v>
      </c>
      <c r="C50" s="309"/>
      <c r="D50" s="309">
        <v>461.70396899999997</v>
      </c>
      <c r="E50" s="309"/>
      <c r="F50" s="309"/>
      <c r="G50" s="309">
        <v>2626.6549169999998</v>
      </c>
      <c r="H50" s="309"/>
      <c r="I50" s="314"/>
      <c r="J50" s="314">
        <v>153.23862672407364</v>
      </c>
      <c r="K50" s="314"/>
      <c r="L50" s="314"/>
      <c r="M50" s="314">
        <v>146.1119372545067</v>
      </c>
    </row>
    <row r="51" spans="1:13" s="274" customFormat="1" ht="13.5" customHeight="1">
      <c r="B51" s="297" t="s">
        <v>318</v>
      </c>
      <c r="C51" s="309"/>
      <c r="D51" s="309">
        <v>13839.054361</v>
      </c>
      <c r="E51" s="309"/>
      <c r="F51" s="309"/>
      <c r="G51" s="309">
        <v>81784.545845000001</v>
      </c>
      <c r="H51" s="309"/>
      <c r="I51" s="314"/>
      <c r="J51" s="314">
        <v>136.85310557740706</v>
      </c>
      <c r="K51" s="314"/>
      <c r="L51" s="314"/>
      <c r="M51" s="314">
        <v>137.20101932761963</v>
      </c>
    </row>
    <row r="52" spans="1:13" s="274" customFormat="1" ht="13.5" customHeight="1">
      <c r="B52" s="297" t="s">
        <v>353</v>
      </c>
      <c r="C52" s="309"/>
      <c r="D52" s="309">
        <v>166.26704899999999</v>
      </c>
      <c r="E52" s="309"/>
      <c r="F52" s="309"/>
      <c r="G52" s="309">
        <v>1604.310792</v>
      </c>
      <c r="H52" s="309"/>
      <c r="I52" s="314"/>
      <c r="J52" s="314">
        <v>102.42170240247744</v>
      </c>
      <c r="K52" s="314"/>
      <c r="L52" s="314"/>
      <c r="M52" s="314">
        <v>113.41287673816605</v>
      </c>
    </row>
    <row r="53" spans="1:13" s="274" customFormat="1" ht="13.5" customHeight="1">
      <c r="B53" s="297" t="s">
        <v>319</v>
      </c>
      <c r="C53" s="309"/>
      <c r="D53" s="309">
        <v>921.72162000000003</v>
      </c>
      <c r="E53" s="309"/>
      <c r="F53" s="309"/>
      <c r="G53" s="309">
        <v>5877.4251519999998</v>
      </c>
      <c r="H53" s="309"/>
      <c r="I53" s="314"/>
      <c r="J53" s="314">
        <v>99.838568169010472</v>
      </c>
      <c r="K53" s="314"/>
      <c r="L53" s="314"/>
      <c r="M53" s="314">
        <v>108.16222368761098</v>
      </c>
    </row>
    <row r="54" spans="1:13" s="274" customFormat="1" ht="13.5" customHeight="1">
      <c r="B54" s="297" t="s">
        <v>320</v>
      </c>
      <c r="C54" s="309"/>
      <c r="D54" s="309">
        <v>226.49763899999999</v>
      </c>
      <c r="E54" s="309"/>
      <c r="F54" s="309"/>
      <c r="G54" s="309">
        <v>1365.166896</v>
      </c>
      <c r="H54" s="309"/>
      <c r="I54" s="314"/>
      <c r="J54" s="314">
        <v>120.02781335740131</v>
      </c>
      <c r="K54" s="314"/>
      <c r="L54" s="314"/>
      <c r="M54" s="314">
        <v>106.4629422923397</v>
      </c>
    </row>
    <row r="55" spans="1:13" s="274" customFormat="1" ht="13.5" customHeight="1">
      <c r="B55" s="302" t="s">
        <v>321</v>
      </c>
      <c r="C55" s="309"/>
      <c r="D55" s="309">
        <v>5498.6930830000001</v>
      </c>
      <c r="E55" s="309"/>
      <c r="F55" s="309"/>
      <c r="G55" s="309">
        <v>33487.917985</v>
      </c>
      <c r="H55" s="309"/>
      <c r="I55" s="314"/>
      <c r="J55" s="314">
        <v>124.77619888890476</v>
      </c>
      <c r="K55" s="314"/>
      <c r="L55" s="314"/>
      <c r="M55" s="314">
        <v>124.46740801169982</v>
      </c>
    </row>
    <row r="56" spans="1:13" s="274" customFormat="1" ht="13.5" customHeight="1">
      <c r="B56" s="297" t="s">
        <v>322</v>
      </c>
      <c r="C56" s="309"/>
      <c r="D56" s="309">
        <v>411.487076</v>
      </c>
      <c r="E56" s="309"/>
      <c r="F56" s="309"/>
      <c r="G56" s="309">
        <v>2583.8974539999999</v>
      </c>
      <c r="H56" s="309"/>
      <c r="I56" s="314"/>
      <c r="J56" s="314">
        <v>134.54181640145288</v>
      </c>
      <c r="K56" s="314"/>
      <c r="L56" s="314"/>
      <c r="M56" s="314">
        <v>140.5994536937248</v>
      </c>
    </row>
    <row r="57" spans="1:13" s="274" customFormat="1" ht="13.5" customHeight="1">
      <c r="B57" s="297" t="s">
        <v>119</v>
      </c>
      <c r="C57" s="309"/>
      <c r="D57" s="309">
        <v>950.40423299999998</v>
      </c>
      <c r="E57" s="309"/>
      <c r="F57" s="309"/>
      <c r="G57" s="309">
        <v>5818.6448060000002</v>
      </c>
      <c r="H57" s="309"/>
      <c r="I57" s="314"/>
      <c r="J57" s="314">
        <v>121.02647051183378</v>
      </c>
      <c r="K57" s="314"/>
      <c r="L57" s="314"/>
      <c r="M57" s="314">
        <v>132.50357085731599</v>
      </c>
    </row>
    <row r="58" spans="1:13" s="274" customFormat="1" ht="13.5" customHeight="1">
      <c r="B58" s="297" t="s">
        <v>354</v>
      </c>
      <c r="C58" s="309">
        <v>18393.134661506901</v>
      </c>
      <c r="D58" s="309">
        <v>429.02529399999997</v>
      </c>
      <c r="E58" s="309"/>
      <c r="F58" s="309">
        <v>121210.13466150691</v>
      </c>
      <c r="G58" s="309">
        <v>2658.3585849999999</v>
      </c>
      <c r="H58" s="309"/>
      <c r="I58" s="314">
        <v>107.03639816984929</v>
      </c>
      <c r="J58" s="314">
        <v>125.02824888986122</v>
      </c>
      <c r="K58" s="314"/>
      <c r="L58" s="314">
        <v>132.40208271325866</v>
      </c>
      <c r="M58" s="314">
        <v>140.75150008324954</v>
      </c>
    </row>
    <row r="59" spans="1:13" s="274" customFormat="1" ht="13.5" customHeight="1">
      <c r="B59" s="297" t="s">
        <v>355</v>
      </c>
      <c r="C59" s="309"/>
      <c r="D59" s="309">
        <v>153.98055299999999</v>
      </c>
      <c r="E59" s="309"/>
      <c r="F59" s="309"/>
      <c r="G59" s="309">
        <v>843.08454099999994</v>
      </c>
      <c r="H59" s="309"/>
      <c r="I59" s="314"/>
      <c r="J59" s="314">
        <v>140.12757205473477</v>
      </c>
      <c r="K59" s="314"/>
      <c r="L59" s="314"/>
      <c r="M59" s="314">
        <v>102.6223665073249</v>
      </c>
    </row>
    <row r="60" spans="1:13" s="318" customFormat="1" ht="13.5" customHeight="1">
      <c r="A60" s="274"/>
      <c r="B60" s="317" t="s">
        <v>356</v>
      </c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</row>
    <row r="61" spans="1:13">
      <c r="B61" s="273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</row>
    <row r="62" spans="1:13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</row>
    <row r="63" spans="1:13">
      <c r="B63" s="322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</row>
    <row r="64" spans="1:13">
      <c r="B64" s="322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</row>
    <row r="65" spans="2:13"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</row>
    <row r="66" spans="2:13"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</row>
    <row r="67" spans="2:13"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</row>
    <row r="68" spans="2:13"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</row>
    <row r="69" spans="2:13"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</row>
    <row r="70" spans="2:13"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</row>
    <row r="71" spans="2:13"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</row>
    <row r="72" spans="2:13"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</row>
    <row r="73" spans="2:13"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</row>
    <row r="74" spans="2:13"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</row>
    <row r="75" spans="2:13"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</row>
    <row r="76" spans="2:13"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</row>
    <row r="77" spans="2:13"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</row>
    <row r="78" spans="2:13"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</row>
    <row r="79" spans="2:13">
      <c r="B79" s="319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</row>
    <row r="80" spans="2:13">
      <c r="B80" s="319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</row>
    <row r="81" spans="2:13">
      <c r="B81" s="319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</row>
    <row r="82" spans="2:13">
      <c r="B82" s="319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</row>
    <row r="83" spans="2:13">
      <c r="B83" s="319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</row>
    <row r="84" spans="2:13">
      <c r="B84" s="319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</row>
    <row r="85" spans="2:13">
      <c r="B85" s="319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</row>
    <row r="86" spans="2:13">
      <c r="B86" s="319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78740157480314998" right="0.47244094488188998" top="0.74803149606299202" bottom="0.511811023622047" header="0.43307086614173201" footer="0.23622047244094499"/>
  <pageSetup paperSize="9" scale="94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A7EB-CB33-4D3F-91AD-3C0A8C211B16}">
  <sheetPr>
    <pageSetUpPr fitToPage="1"/>
  </sheetPr>
  <dimension ref="A1:L60"/>
  <sheetViews>
    <sheetView workbookViewId="0">
      <selection activeCell="F11" sqref="F11"/>
    </sheetView>
  </sheetViews>
  <sheetFormatPr defaultColWidth="9.140625" defaultRowHeight="12.75"/>
  <cols>
    <col min="1" max="1" width="2.42578125" style="327" customWidth="1"/>
    <col min="2" max="2" width="11.140625" style="327" customWidth="1"/>
    <col min="3" max="3" width="22.140625" style="327" customWidth="1"/>
    <col min="4" max="4" width="8.5703125" style="327" customWidth="1"/>
    <col min="5" max="5" width="9.140625" style="327" customWidth="1"/>
    <col min="6" max="6" width="9.42578125" style="327" customWidth="1"/>
    <col min="7" max="7" width="9.140625" style="327" customWidth="1"/>
    <col min="8" max="8" width="17.28515625" style="327" customWidth="1"/>
    <col min="9" max="16384" width="9.140625" style="327"/>
  </cols>
  <sheetData>
    <row r="1" spans="1:10" ht="19.5" customHeight="1">
      <c r="A1" s="324" t="s">
        <v>360</v>
      </c>
      <c r="B1" s="325"/>
      <c r="C1" s="325"/>
      <c r="D1" s="325"/>
      <c r="E1" s="325"/>
      <c r="F1" s="326"/>
    </row>
    <row r="2" spans="1:10" ht="18" customHeight="1">
      <c r="A2" s="324" t="s">
        <v>361</v>
      </c>
      <c r="B2" s="325"/>
      <c r="C2" s="325"/>
      <c r="D2" s="325"/>
      <c r="E2" s="325"/>
      <c r="F2" s="326"/>
    </row>
    <row r="3" spans="1:10" ht="15">
      <c r="A3" s="328"/>
      <c r="B3" s="329"/>
      <c r="C3" s="329"/>
      <c r="D3" s="329"/>
      <c r="E3" s="329"/>
      <c r="F3" s="329"/>
      <c r="G3" s="330"/>
    </row>
    <row r="4" spans="1:10" ht="15">
      <c r="A4" s="328"/>
      <c r="B4" s="329"/>
      <c r="C4" s="329"/>
      <c r="D4" s="329"/>
      <c r="E4" s="329"/>
      <c r="F4" s="330"/>
      <c r="G4" s="330"/>
      <c r="H4" s="331" t="s">
        <v>21</v>
      </c>
    </row>
    <row r="5" spans="1:10" ht="19.5" customHeight="1">
      <c r="A5" s="332"/>
      <c r="B5" s="333"/>
      <c r="C5" s="333"/>
      <c r="D5" s="493" t="s">
        <v>362</v>
      </c>
      <c r="E5" s="493"/>
      <c r="F5" s="493"/>
      <c r="G5" s="493"/>
      <c r="H5" s="334" t="s">
        <v>363</v>
      </c>
    </row>
    <row r="6" spans="1:10" ht="18" customHeight="1">
      <c r="A6" s="328"/>
      <c r="B6" s="329"/>
      <c r="C6" s="329"/>
      <c r="D6" s="335" t="s">
        <v>364</v>
      </c>
      <c r="E6" s="335" t="s">
        <v>23</v>
      </c>
      <c r="F6" s="335" t="s">
        <v>365</v>
      </c>
      <c r="G6" s="335" t="s">
        <v>22</v>
      </c>
      <c r="H6" s="335" t="s">
        <v>366</v>
      </c>
    </row>
    <row r="7" spans="1:10" ht="19.5" customHeight="1">
      <c r="A7" s="328"/>
      <c r="B7" s="329"/>
      <c r="C7" s="329"/>
      <c r="D7" s="336" t="s">
        <v>367</v>
      </c>
      <c r="E7" s="337" t="s">
        <v>368</v>
      </c>
      <c r="F7" s="337" t="s">
        <v>368</v>
      </c>
      <c r="G7" s="337" t="s">
        <v>25</v>
      </c>
      <c r="H7" s="337" t="s">
        <v>369</v>
      </c>
    </row>
    <row r="8" spans="1:10" ht="11.25" customHeight="1">
      <c r="A8" s="326"/>
      <c r="B8" s="338"/>
      <c r="C8" s="338"/>
      <c r="D8" s="339"/>
      <c r="E8" s="339"/>
      <c r="F8" s="340"/>
      <c r="G8" s="340"/>
      <c r="H8" s="339"/>
    </row>
    <row r="9" spans="1:10" ht="20.100000000000001" customHeight="1">
      <c r="A9" s="341" t="s">
        <v>370</v>
      </c>
      <c r="B9" s="328"/>
      <c r="C9" s="328"/>
      <c r="D9" s="342">
        <v>119.63318569144276</v>
      </c>
      <c r="E9" s="342">
        <v>103.18912390246209</v>
      </c>
      <c r="F9" s="342">
        <v>102.13127250647069</v>
      </c>
      <c r="G9" s="342">
        <v>100.1091</v>
      </c>
      <c r="H9" s="343">
        <v>103.25552902160815</v>
      </c>
      <c r="I9" s="339"/>
      <c r="J9" s="339"/>
    </row>
    <row r="10" spans="1:10" ht="20.100000000000001" customHeight="1">
      <c r="A10" s="344"/>
      <c r="B10" s="344" t="s">
        <v>371</v>
      </c>
      <c r="C10" s="344"/>
      <c r="D10" s="340">
        <v>124.42705218763585</v>
      </c>
      <c r="E10" s="340">
        <v>102.92075490678539</v>
      </c>
      <c r="F10" s="340">
        <v>101.50109752841303</v>
      </c>
      <c r="G10" s="340">
        <v>100.17529999999999</v>
      </c>
      <c r="H10" s="345">
        <v>103.58299175849778</v>
      </c>
      <c r="I10" s="339"/>
    </row>
    <row r="11" spans="1:10" ht="20.100000000000001" customHeight="1">
      <c r="A11" s="344"/>
      <c r="B11" s="346" t="s">
        <v>186</v>
      </c>
      <c r="C11" s="344" t="s">
        <v>372</v>
      </c>
      <c r="D11" s="340">
        <v>132.45074171576948</v>
      </c>
      <c r="E11" s="340">
        <v>100.24297122223717</v>
      </c>
      <c r="F11" s="340">
        <v>97.953355787307984</v>
      </c>
      <c r="G11" s="340">
        <v>99.837500000000006</v>
      </c>
      <c r="H11" s="345">
        <v>100.98227128661705</v>
      </c>
      <c r="I11" s="339"/>
    </row>
    <row r="12" spans="1:10" ht="20.100000000000001" customHeight="1">
      <c r="A12" s="344"/>
      <c r="B12" s="344"/>
      <c r="C12" s="344" t="s">
        <v>373</v>
      </c>
      <c r="D12" s="340">
        <v>121.11595646495691</v>
      </c>
      <c r="E12" s="340">
        <v>102.99400316140532</v>
      </c>
      <c r="F12" s="340">
        <v>101.77695202699462</v>
      </c>
      <c r="G12" s="340">
        <v>100.1481</v>
      </c>
      <c r="H12" s="345">
        <v>103.98182017419823</v>
      </c>
      <c r="I12" s="339"/>
    </row>
    <row r="13" spans="1:10" ht="20.100000000000001" customHeight="1">
      <c r="A13" s="344"/>
      <c r="B13" s="344"/>
      <c r="C13" s="344" t="s">
        <v>374</v>
      </c>
      <c r="D13" s="340">
        <v>129.51017942841708</v>
      </c>
      <c r="E13" s="340">
        <v>103.90178359650439</v>
      </c>
      <c r="F13" s="340">
        <v>102.36405158464505</v>
      </c>
      <c r="G13" s="340">
        <v>100.38720000000001</v>
      </c>
      <c r="H13" s="345">
        <v>103.72220864953341</v>
      </c>
      <c r="I13" s="339"/>
    </row>
    <row r="14" spans="1:10" ht="20.100000000000001" customHeight="1">
      <c r="A14" s="344"/>
      <c r="B14" s="344" t="s">
        <v>375</v>
      </c>
      <c r="C14" s="344"/>
      <c r="D14" s="340">
        <v>115.63289271983628</v>
      </c>
      <c r="E14" s="340">
        <v>102.23703689706628</v>
      </c>
      <c r="F14" s="340">
        <v>101.47517734456721</v>
      </c>
      <c r="G14" s="340">
        <v>100.2517</v>
      </c>
      <c r="H14" s="345">
        <v>102.17866951003691</v>
      </c>
      <c r="I14" s="339"/>
    </row>
    <row r="15" spans="1:10" ht="20.100000000000001" customHeight="1">
      <c r="A15" s="344"/>
      <c r="B15" s="344" t="s">
        <v>376</v>
      </c>
      <c r="C15" s="344"/>
      <c r="D15" s="340">
        <v>109.13681780367233</v>
      </c>
      <c r="E15" s="340">
        <v>101.37116800571995</v>
      </c>
      <c r="F15" s="340">
        <v>100.58011243777693</v>
      </c>
      <c r="G15" s="340">
        <v>100.0585</v>
      </c>
      <c r="H15" s="345">
        <v>101.21014203582483</v>
      </c>
      <c r="I15" s="339"/>
    </row>
    <row r="16" spans="1:10" ht="20.100000000000001" customHeight="1">
      <c r="A16" s="344"/>
      <c r="B16" s="473" t="s">
        <v>460</v>
      </c>
      <c r="C16" s="344"/>
      <c r="D16" s="340">
        <v>128.88344384189935</v>
      </c>
      <c r="E16" s="340">
        <v>107.0748840324468</v>
      </c>
      <c r="F16" s="340">
        <v>104.62434701877739</v>
      </c>
      <c r="G16" s="340">
        <v>100.355</v>
      </c>
      <c r="H16" s="345">
        <v>105.91867336926119</v>
      </c>
      <c r="I16" s="339"/>
    </row>
    <row r="17" spans="1:12" ht="20.100000000000001" customHeight="1">
      <c r="A17" s="344"/>
      <c r="B17" s="344" t="s">
        <v>377</v>
      </c>
      <c r="C17" s="344"/>
      <c r="D17" s="340">
        <v>109.7059837323843</v>
      </c>
      <c r="E17" s="340">
        <v>101.70501285086809</v>
      </c>
      <c r="F17" s="340">
        <v>101.01668271223785</v>
      </c>
      <c r="G17" s="340">
        <v>100.10039999999999</v>
      </c>
      <c r="H17" s="345">
        <v>101.61285273723965</v>
      </c>
      <c r="I17" s="339"/>
    </row>
    <row r="18" spans="1:12" ht="20.100000000000001" customHeight="1">
      <c r="A18" s="344"/>
      <c r="B18" s="344" t="s">
        <v>378</v>
      </c>
      <c r="C18" s="344"/>
      <c r="D18" s="340">
        <v>126.13222018403724</v>
      </c>
      <c r="E18" s="340">
        <v>112.81292950414203</v>
      </c>
      <c r="F18" s="340">
        <v>110.06102800853996</v>
      </c>
      <c r="G18" s="340">
        <v>100.0348</v>
      </c>
      <c r="H18" s="345">
        <v>113.72257126470457</v>
      </c>
      <c r="I18" s="339"/>
    </row>
    <row r="19" spans="1:12" ht="20.100000000000001" customHeight="1">
      <c r="A19" s="344"/>
      <c r="B19" s="346" t="s">
        <v>186</v>
      </c>
      <c r="C19" s="344" t="s">
        <v>379</v>
      </c>
      <c r="D19" s="340">
        <v>132.07165420429709</v>
      </c>
      <c r="E19" s="340">
        <v>116.61061237936683</v>
      </c>
      <c r="F19" s="340">
        <v>113.14812802428349</v>
      </c>
      <c r="G19" s="340">
        <v>100</v>
      </c>
      <c r="H19" s="345">
        <v>117.86212854132621</v>
      </c>
      <c r="I19" s="339"/>
    </row>
    <row r="20" spans="1:12" ht="20.100000000000001" customHeight="1">
      <c r="A20" s="344"/>
      <c r="B20" s="344" t="s">
        <v>380</v>
      </c>
      <c r="C20" s="344"/>
      <c r="D20" s="340">
        <v>107.5193873463957</v>
      </c>
      <c r="E20" s="340">
        <v>96.25573979034472</v>
      </c>
      <c r="F20" s="340">
        <v>99.828199794257969</v>
      </c>
      <c r="G20" s="340">
        <v>99.515900000000002</v>
      </c>
      <c r="H20" s="345">
        <v>96.35652450127661</v>
      </c>
      <c r="I20" s="339"/>
    </row>
    <row r="21" spans="1:12" ht="20.100000000000001" customHeight="1">
      <c r="A21" s="344"/>
      <c r="B21" s="344" t="s">
        <v>381</v>
      </c>
      <c r="C21" s="344"/>
      <c r="D21" s="340">
        <v>95.586280714058063</v>
      </c>
      <c r="E21" s="340">
        <v>99.620758854768511</v>
      </c>
      <c r="F21" s="340">
        <v>99.764447463554774</v>
      </c>
      <c r="G21" s="340">
        <v>99.853499999999997</v>
      </c>
      <c r="H21" s="345">
        <v>99.561607446344155</v>
      </c>
      <c r="I21" s="339"/>
    </row>
    <row r="22" spans="1:12" ht="20.100000000000001" customHeight="1">
      <c r="A22" s="344"/>
      <c r="B22" s="344" t="s">
        <v>382</v>
      </c>
      <c r="C22" s="344"/>
      <c r="D22" s="340">
        <v>123.50993888669979</v>
      </c>
      <c r="E22" s="340">
        <v>103.04501235711483</v>
      </c>
      <c r="F22" s="340">
        <v>100.03719372911934</v>
      </c>
      <c r="G22" s="340">
        <v>100.0077</v>
      </c>
      <c r="H22" s="345">
        <v>101.42429345296884</v>
      </c>
      <c r="I22" s="339"/>
    </row>
    <row r="23" spans="1:12" ht="20.100000000000001" customHeight="1">
      <c r="A23" s="344"/>
      <c r="B23" s="346" t="s">
        <v>186</v>
      </c>
      <c r="C23" s="344" t="s">
        <v>383</v>
      </c>
      <c r="D23" s="347">
        <v>124.34010248692385</v>
      </c>
      <c r="E23" s="340">
        <v>103.24165483358189</v>
      </c>
      <c r="F23" s="340">
        <v>99.953497039220196</v>
      </c>
      <c r="G23" s="340">
        <v>100.00409999999999</v>
      </c>
      <c r="H23" s="345">
        <v>101.41402464276031</v>
      </c>
      <c r="I23" s="339"/>
      <c r="J23" s="348"/>
      <c r="L23" s="348"/>
    </row>
    <row r="24" spans="1:12" ht="20.100000000000001" customHeight="1">
      <c r="A24" s="344"/>
      <c r="B24" s="344" t="s">
        <v>384</v>
      </c>
      <c r="C24" s="344"/>
      <c r="D24" s="347">
        <v>108.86972524328503</v>
      </c>
      <c r="E24" s="340">
        <v>101.76161949225006</v>
      </c>
      <c r="F24" s="340">
        <v>101.39165518737036</v>
      </c>
      <c r="G24" s="340">
        <v>100.2012</v>
      </c>
      <c r="H24" s="345">
        <v>102.02906236056442</v>
      </c>
      <c r="I24" s="339"/>
    </row>
    <row r="25" spans="1:12" ht="20.100000000000001" customHeight="1">
      <c r="A25" s="344"/>
      <c r="B25" s="344" t="s">
        <v>385</v>
      </c>
      <c r="C25" s="344"/>
      <c r="D25" s="347">
        <v>125.50497249544564</v>
      </c>
      <c r="E25" s="340">
        <v>103.00053697695166</v>
      </c>
      <c r="F25" s="340">
        <v>101.76030978251971</v>
      </c>
      <c r="G25" s="340">
        <v>100.18940000000001</v>
      </c>
      <c r="H25" s="345">
        <v>106.08223884097737</v>
      </c>
      <c r="I25" s="339"/>
    </row>
    <row r="26" spans="1:12" ht="20.100000000000001" customHeight="1">
      <c r="A26" s="341" t="s">
        <v>386</v>
      </c>
      <c r="B26" s="349"/>
      <c r="C26" s="349"/>
      <c r="D26" s="342">
        <v>291.52131625325495</v>
      </c>
      <c r="E26" s="342">
        <v>149.7016539116527</v>
      </c>
      <c r="F26" s="342">
        <v>134.89723136742217</v>
      </c>
      <c r="G26" s="342">
        <v>101.01860000000001</v>
      </c>
      <c r="H26" s="343">
        <v>139.09454456779414</v>
      </c>
      <c r="I26" s="339"/>
    </row>
    <row r="27" spans="1:12" ht="20.100000000000001" customHeight="1">
      <c r="A27" s="341" t="s">
        <v>387</v>
      </c>
      <c r="B27" s="349"/>
      <c r="C27" s="349"/>
      <c r="D27" s="342">
        <v>113.2419399609289</v>
      </c>
      <c r="E27" s="342">
        <v>103.39130646149704</v>
      </c>
      <c r="F27" s="342">
        <v>103.30344326120986</v>
      </c>
      <c r="G27" s="342">
        <v>100.3728</v>
      </c>
      <c r="H27" s="343">
        <v>103.31642032131658</v>
      </c>
      <c r="I27" s="339"/>
      <c r="J27" s="339"/>
    </row>
    <row r="28" spans="1:12" ht="20.100000000000001" customHeight="1">
      <c r="A28" s="341" t="s">
        <v>388</v>
      </c>
      <c r="B28" s="349"/>
      <c r="C28" s="349"/>
      <c r="D28" s="350"/>
      <c r="E28" s="342">
        <v>3.3036253098967183</v>
      </c>
      <c r="F28" s="342"/>
      <c r="G28" s="342">
        <v>0.20942144087114922</v>
      </c>
      <c r="H28" s="343">
        <v>3.1823804523237698</v>
      </c>
      <c r="I28" s="339"/>
    </row>
    <row r="29" spans="1:12" ht="9" customHeight="1">
      <c r="A29" s="474"/>
      <c r="B29" s="474"/>
      <c r="C29" s="474"/>
    </row>
    <row r="30" spans="1:12" ht="24.75" customHeight="1">
      <c r="A30" s="475" t="s">
        <v>461</v>
      </c>
    </row>
    <row r="52" spans="1:8">
      <c r="A52" s="351"/>
      <c r="B52" s="351"/>
      <c r="C52" s="351"/>
      <c r="D52" s="351"/>
      <c r="E52" s="351"/>
      <c r="F52" s="351"/>
      <c r="G52" s="351"/>
      <c r="H52" s="351"/>
    </row>
    <row r="53" spans="1:8">
      <c r="A53" s="351"/>
      <c r="B53" s="351"/>
      <c r="C53" s="351"/>
      <c r="D53" s="351"/>
      <c r="E53" s="351"/>
      <c r="F53" s="351"/>
      <c r="G53" s="351"/>
      <c r="H53" s="351"/>
    </row>
    <row r="54" spans="1:8">
      <c r="A54" s="351"/>
      <c r="B54" s="351"/>
      <c r="C54" s="351"/>
      <c r="D54" s="351"/>
      <c r="E54" s="351"/>
      <c r="F54" s="351"/>
      <c r="G54" s="351"/>
      <c r="H54" s="351"/>
    </row>
    <row r="55" spans="1:8">
      <c r="A55" s="351"/>
      <c r="B55" s="351"/>
      <c r="C55" s="351"/>
      <c r="D55" s="351"/>
      <c r="E55" s="351"/>
      <c r="F55" s="351"/>
      <c r="G55" s="351"/>
      <c r="H55" s="351"/>
    </row>
    <row r="56" spans="1:8">
      <c r="A56" s="351"/>
      <c r="B56" s="351"/>
      <c r="C56" s="351"/>
      <c r="D56" s="351"/>
      <c r="E56" s="351"/>
      <c r="F56" s="351"/>
      <c r="G56" s="351"/>
      <c r="H56" s="351"/>
    </row>
    <row r="57" spans="1:8">
      <c r="A57" s="351"/>
      <c r="B57" s="351"/>
      <c r="C57" s="351"/>
      <c r="D57" s="351"/>
      <c r="E57" s="351"/>
      <c r="F57" s="351"/>
      <c r="G57" s="351"/>
      <c r="H57" s="351"/>
    </row>
    <row r="58" spans="1:8">
      <c r="A58" s="351"/>
      <c r="B58" s="351"/>
      <c r="C58" s="351"/>
      <c r="D58" s="351"/>
      <c r="E58" s="351"/>
      <c r="F58" s="351"/>
      <c r="G58" s="351"/>
      <c r="H58" s="351"/>
    </row>
    <row r="59" spans="1:8">
      <c r="A59" s="351"/>
      <c r="B59" s="351"/>
      <c r="C59" s="351"/>
      <c r="D59" s="351"/>
      <c r="E59" s="351"/>
      <c r="F59" s="351"/>
      <c r="G59" s="351"/>
      <c r="H59" s="351"/>
    </row>
    <row r="60" spans="1:8">
      <c r="A60" s="351"/>
      <c r="B60" s="351"/>
      <c r="C60" s="351"/>
      <c r="D60" s="351"/>
      <c r="E60" s="351"/>
      <c r="F60" s="351"/>
      <c r="G60" s="351"/>
      <c r="H60" s="351"/>
    </row>
  </sheetData>
  <mergeCells count="1">
    <mergeCell ref="D5:G5"/>
  </mergeCells>
  <pageMargins left="0.78740157480314998" right="0.47244094488188998" top="0.74803149606299202" bottom="0.47244094488188998" header="0.43307086614173201" footer="0.31496062992126"/>
  <pageSetup paperSize="9" firstPageNumber="29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7474-93BA-4A72-9B19-9DCCFC797789}">
  <sheetPr>
    <pageSetUpPr fitToPage="1"/>
  </sheetPr>
  <dimension ref="A1:I198"/>
  <sheetViews>
    <sheetView topLeftCell="A7" zoomScale="145" zoomScaleNormal="145" workbookViewId="0">
      <selection activeCell="F11" sqref="F11"/>
    </sheetView>
  </sheetViews>
  <sheetFormatPr defaultColWidth="9" defaultRowHeight="15"/>
  <cols>
    <col min="1" max="1" width="29.42578125" style="184" customWidth="1"/>
    <col min="2" max="2" width="10.140625" style="184" customWidth="1"/>
    <col min="3" max="3" width="11.140625" style="184" customWidth="1"/>
    <col min="4" max="4" width="12.140625" style="184" customWidth="1"/>
    <col min="5" max="5" width="12.42578125" style="184" customWidth="1"/>
    <col min="6" max="6" width="12.5703125" style="184" customWidth="1"/>
    <col min="7" max="7" width="9" style="184"/>
    <col min="8" max="8" width="18" style="184" customWidth="1"/>
    <col min="9" max="9" width="19.85546875" style="184" customWidth="1"/>
    <col min="10" max="16384" width="9" style="184"/>
  </cols>
  <sheetData>
    <row r="1" spans="1:8" ht="20.100000000000001" customHeight="1">
      <c r="A1" s="181" t="s">
        <v>215</v>
      </c>
      <c r="B1" s="182"/>
      <c r="C1" s="182"/>
      <c r="D1" s="182"/>
      <c r="E1" s="182"/>
      <c r="F1" s="182"/>
      <c r="G1" s="183"/>
    </row>
    <row r="2" spans="1:8" ht="20.100000000000001" customHeight="1">
      <c r="A2" s="185" t="s">
        <v>216</v>
      </c>
      <c r="B2" s="186"/>
      <c r="C2" s="186"/>
      <c r="D2" s="186"/>
      <c r="E2" s="186"/>
      <c r="F2" s="186"/>
      <c r="G2" s="183"/>
    </row>
    <row r="3" spans="1:8" ht="20.100000000000001" customHeight="1">
      <c r="A3" s="187"/>
      <c r="B3" s="188"/>
      <c r="C3" s="188"/>
      <c r="D3" s="188"/>
      <c r="E3" s="188"/>
      <c r="F3" s="189"/>
      <c r="G3" s="183"/>
    </row>
    <row r="4" spans="1:8" ht="15.95" customHeight="1">
      <c r="A4" s="190"/>
      <c r="B4" s="191" t="s">
        <v>72</v>
      </c>
      <c r="C4" s="191" t="s">
        <v>72</v>
      </c>
      <c r="D4" s="191" t="s">
        <v>217</v>
      </c>
      <c r="E4" s="191" t="s">
        <v>217</v>
      </c>
      <c r="F4" s="191" t="s">
        <v>180</v>
      </c>
      <c r="G4" s="183"/>
    </row>
    <row r="5" spans="1:8" ht="15.95" customHeight="1">
      <c r="A5" s="192"/>
      <c r="B5" s="193" t="s">
        <v>76</v>
      </c>
      <c r="C5" s="193" t="s">
        <v>203</v>
      </c>
      <c r="D5" s="193" t="s">
        <v>181</v>
      </c>
      <c r="E5" s="193" t="s">
        <v>181</v>
      </c>
      <c r="F5" s="193" t="s">
        <v>181</v>
      </c>
      <c r="G5" s="183"/>
    </row>
    <row r="6" spans="1:8" ht="15.95" customHeight="1">
      <c r="A6" s="192"/>
      <c r="B6" s="194" t="s">
        <v>77</v>
      </c>
      <c r="C6" s="194" t="s">
        <v>77</v>
      </c>
      <c r="D6" s="194" t="s">
        <v>130</v>
      </c>
      <c r="E6" s="194" t="s">
        <v>218</v>
      </c>
      <c r="F6" s="194" t="s">
        <v>218</v>
      </c>
      <c r="G6" s="183"/>
    </row>
    <row r="7" spans="1:8" ht="15.95" customHeight="1">
      <c r="A7" s="192"/>
      <c r="B7" s="195">
        <v>2025</v>
      </c>
      <c r="C7" s="195">
        <v>2025</v>
      </c>
      <c r="D7" s="195" t="s">
        <v>209</v>
      </c>
      <c r="E7" s="195" t="s">
        <v>210</v>
      </c>
      <c r="F7" s="195" t="s">
        <v>210</v>
      </c>
      <c r="G7" s="183"/>
    </row>
    <row r="8" spans="1:8" ht="20.100000000000001" customHeight="1">
      <c r="A8" s="192"/>
      <c r="G8" s="183"/>
    </row>
    <row r="9" spans="1:8" ht="20.100000000000001" customHeight="1">
      <c r="A9" s="196" t="s">
        <v>219</v>
      </c>
      <c r="B9" s="352">
        <v>537938.08749499265</v>
      </c>
      <c r="C9" s="352">
        <v>3401663.7320267456</v>
      </c>
      <c r="D9" s="353">
        <v>102.08023796421844</v>
      </c>
      <c r="E9" s="353">
        <v>123.79350704206793</v>
      </c>
      <c r="F9" s="353">
        <v>121.54563212231184</v>
      </c>
      <c r="G9" s="183"/>
    </row>
    <row r="10" spans="1:8" ht="20.100000000000001" customHeight="1">
      <c r="A10" s="199" t="s">
        <v>220</v>
      </c>
      <c r="B10" s="197"/>
      <c r="C10" s="197"/>
      <c r="D10" s="198"/>
      <c r="E10" s="198"/>
      <c r="F10" s="198"/>
      <c r="G10" s="183"/>
    </row>
    <row r="11" spans="1:8" ht="20.100000000000001" customHeight="1">
      <c r="A11" s="200" t="s">
        <v>221</v>
      </c>
      <c r="B11" s="201">
        <v>536289.76719499263</v>
      </c>
      <c r="C11" s="201">
        <v>3390431.0977267455</v>
      </c>
      <c r="D11" s="202">
        <v>102.07297340562229</v>
      </c>
      <c r="E11" s="202">
        <v>123.84424822841152</v>
      </c>
      <c r="F11" s="202">
        <v>121.59549729588078</v>
      </c>
      <c r="G11" s="183"/>
    </row>
    <row r="12" spans="1:8" ht="20.100000000000001" customHeight="1">
      <c r="A12" s="200" t="s">
        <v>222</v>
      </c>
      <c r="B12" s="201">
        <v>1648.3202999999999</v>
      </c>
      <c r="C12" s="201">
        <v>11232.6343</v>
      </c>
      <c r="D12" s="202">
        <v>104.5</v>
      </c>
      <c r="E12" s="202">
        <v>109.23240709263003</v>
      </c>
      <c r="F12" s="202">
        <v>108.15777992501982</v>
      </c>
      <c r="G12" s="183"/>
    </row>
    <row r="13" spans="1:8" ht="20.100000000000001" customHeight="1">
      <c r="A13" s="199" t="s">
        <v>223</v>
      </c>
      <c r="B13" s="197"/>
      <c r="C13" s="197"/>
      <c r="D13" s="198"/>
      <c r="E13" s="198"/>
      <c r="F13" s="198"/>
      <c r="G13" s="183"/>
      <c r="H13" s="203"/>
    </row>
    <row r="14" spans="1:8" ht="20.100000000000001" customHeight="1">
      <c r="A14" s="200" t="s">
        <v>224</v>
      </c>
      <c r="B14" s="201">
        <v>3360.0259999999998</v>
      </c>
      <c r="C14" s="201">
        <v>23739.294999999998</v>
      </c>
      <c r="D14" s="202">
        <v>112.27883162749912</v>
      </c>
      <c r="E14" s="202">
        <v>191.78351005628457</v>
      </c>
      <c r="F14" s="202">
        <v>215.31302945540691</v>
      </c>
      <c r="G14" s="183"/>
      <c r="H14" s="203"/>
    </row>
    <row r="15" spans="1:8" ht="20.100000000000001" customHeight="1">
      <c r="A15" s="200" t="s">
        <v>225</v>
      </c>
      <c r="B15" s="201">
        <v>1102.5213402812797</v>
      </c>
      <c r="C15" s="201">
        <v>7428.8598766391606</v>
      </c>
      <c r="D15" s="202">
        <v>100.35870434641872</v>
      </c>
      <c r="E15" s="202">
        <v>108.53401925265038</v>
      </c>
      <c r="F15" s="204">
        <v>91.726067704139666</v>
      </c>
      <c r="G15" s="183"/>
      <c r="H15" s="203"/>
    </row>
    <row r="16" spans="1:8" ht="20.100000000000001" customHeight="1">
      <c r="A16" s="200" t="s">
        <v>226</v>
      </c>
      <c r="B16" s="201">
        <v>31716.726965029906</v>
      </c>
      <c r="C16" s="201">
        <v>245609.04831091611</v>
      </c>
      <c r="D16" s="202">
        <v>103.32386415033629</v>
      </c>
      <c r="E16" s="202">
        <v>118.35072704783258</v>
      </c>
      <c r="F16" s="202">
        <v>115.81411359355862</v>
      </c>
      <c r="G16" s="183"/>
      <c r="H16" s="203"/>
    </row>
    <row r="17" spans="1:9" ht="20.100000000000001" customHeight="1">
      <c r="A17" s="200" t="s">
        <v>227</v>
      </c>
      <c r="B17" s="201">
        <v>496416.86408168147</v>
      </c>
      <c r="C17" s="201">
        <v>3091269.7342311898</v>
      </c>
      <c r="D17" s="202">
        <v>101.91276897920807</v>
      </c>
      <c r="E17" s="202">
        <v>124.16599099907086</v>
      </c>
      <c r="F17" s="202">
        <v>121.8852003878597</v>
      </c>
      <c r="G17" s="183"/>
      <c r="H17" s="203"/>
    </row>
    <row r="18" spans="1:9" ht="20.100000000000001" customHeight="1">
      <c r="A18" s="200" t="s">
        <v>228</v>
      </c>
      <c r="B18" s="201">
        <v>5341.95</v>
      </c>
      <c r="C18" s="201">
        <v>33616.794608000004</v>
      </c>
      <c r="D18" s="202">
        <v>104.98300854847325</v>
      </c>
      <c r="E18" s="202">
        <v>103.18757626744264</v>
      </c>
      <c r="F18" s="202">
        <v>107.53337087966057</v>
      </c>
      <c r="G18" s="183"/>
      <c r="H18" s="203"/>
    </row>
    <row r="19" spans="1:9" ht="20.100000000000001" customHeight="1">
      <c r="A19" s="200"/>
      <c r="B19" s="205"/>
      <c r="C19" s="205"/>
      <c r="D19" s="206"/>
      <c r="E19" s="206"/>
      <c r="F19" s="206"/>
      <c r="G19" s="183"/>
    </row>
    <row r="20" spans="1:9" ht="20.100000000000001" customHeight="1">
      <c r="A20" s="196" t="s">
        <v>229</v>
      </c>
      <c r="B20" s="352">
        <v>27552.153683811794</v>
      </c>
      <c r="C20" s="352">
        <v>179772.79888374216</v>
      </c>
      <c r="D20" s="353">
        <v>102.92399665186325</v>
      </c>
      <c r="E20" s="353">
        <v>113.30056588566163</v>
      </c>
      <c r="F20" s="353">
        <v>113.71322588486021</v>
      </c>
      <c r="G20" s="183"/>
    </row>
    <row r="21" spans="1:9" ht="20.100000000000001" customHeight="1">
      <c r="A21" s="199" t="s">
        <v>220</v>
      </c>
      <c r="B21" s="197"/>
      <c r="C21" s="197"/>
      <c r="D21" s="198"/>
      <c r="E21" s="198"/>
      <c r="F21" s="198"/>
      <c r="G21" s="183"/>
    </row>
    <row r="22" spans="1:9" ht="20.100000000000001" customHeight="1">
      <c r="A22" s="200" t="s">
        <v>221</v>
      </c>
      <c r="B22" s="201">
        <v>22364.469137371791</v>
      </c>
      <c r="C22" s="201">
        <v>143998.48170830216</v>
      </c>
      <c r="D22" s="202">
        <v>102.56519385781991</v>
      </c>
      <c r="E22" s="202">
        <v>114.84079227316477</v>
      </c>
      <c r="F22" s="202">
        <v>115.44502892169753</v>
      </c>
      <c r="G22" s="183"/>
      <c r="H22" s="203"/>
    </row>
    <row r="23" spans="1:9" ht="20.100000000000001" customHeight="1">
      <c r="A23" s="200" t="s">
        <v>222</v>
      </c>
      <c r="B23" s="201">
        <v>5187.684546440003</v>
      </c>
      <c r="C23" s="201">
        <v>35774.317175440003</v>
      </c>
      <c r="D23" s="202">
        <v>104.5</v>
      </c>
      <c r="E23" s="202">
        <v>107.10766721045432</v>
      </c>
      <c r="F23" s="202">
        <v>107.23794934646769</v>
      </c>
      <c r="G23" s="183"/>
      <c r="H23" s="203"/>
    </row>
    <row r="24" spans="1:9" ht="20.100000000000001" customHeight="1">
      <c r="A24" s="199" t="s">
        <v>223</v>
      </c>
      <c r="B24" s="197"/>
      <c r="C24" s="197"/>
      <c r="D24" s="198"/>
      <c r="E24" s="198"/>
      <c r="F24" s="198"/>
      <c r="G24" s="207"/>
      <c r="H24" s="207"/>
    </row>
    <row r="25" spans="1:9" ht="20.100000000000001" customHeight="1">
      <c r="A25" s="200" t="s">
        <v>224</v>
      </c>
      <c r="B25" s="201">
        <v>452.792305</v>
      </c>
      <c r="C25" s="201">
        <v>2189.9901880000002</v>
      </c>
      <c r="D25" s="202">
        <v>112.62785269459255</v>
      </c>
      <c r="E25" s="202">
        <v>119.79202845638153</v>
      </c>
      <c r="F25" s="202">
        <v>116.20087177574301</v>
      </c>
      <c r="G25" s="203"/>
      <c r="H25" s="203"/>
      <c r="I25" s="203"/>
    </row>
    <row r="26" spans="1:9" ht="20.100000000000001" customHeight="1">
      <c r="A26" s="200" t="s">
        <v>225</v>
      </c>
      <c r="B26" s="201">
        <v>103.42618010902478</v>
      </c>
      <c r="C26" s="201">
        <v>556.43491821782595</v>
      </c>
      <c r="D26" s="202">
        <v>101.96405428517734</v>
      </c>
      <c r="E26" s="202">
        <v>122.50146717235555</v>
      </c>
      <c r="F26" s="202">
        <v>110.29065220152583</v>
      </c>
      <c r="G26" s="203"/>
      <c r="H26" s="203"/>
      <c r="I26" s="203"/>
    </row>
    <row r="27" spans="1:9" ht="20.100000000000001" customHeight="1">
      <c r="A27" s="200" t="s">
        <v>226</v>
      </c>
      <c r="B27" s="201">
        <v>1014.65</v>
      </c>
      <c r="C27" s="201">
        <v>5488.1190482781312</v>
      </c>
      <c r="D27" s="202">
        <v>102.4873556004295</v>
      </c>
      <c r="E27" s="202">
        <v>130.95957498442445</v>
      </c>
      <c r="F27" s="202">
        <v>126.05838832284573</v>
      </c>
      <c r="G27" s="203"/>
      <c r="H27" s="203"/>
      <c r="I27" s="203"/>
    </row>
    <row r="28" spans="1:9" ht="20.100000000000001" customHeight="1">
      <c r="A28" s="200" t="s">
        <v>227</v>
      </c>
      <c r="B28" s="201">
        <v>17572.585730025214</v>
      </c>
      <c r="C28" s="201">
        <v>116171.06637851021</v>
      </c>
      <c r="D28" s="202">
        <v>101.87100212451534</v>
      </c>
      <c r="E28" s="202">
        <v>117.18741303536116</v>
      </c>
      <c r="F28" s="202">
        <v>116.77606783132588</v>
      </c>
      <c r="G28" s="203"/>
      <c r="H28" s="203"/>
      <c r="I28" s="203"/>
    </row>
    <row r="29" spans="1:9" ht="20.100000000000001" customHeight="1">
      <c r="A29" s="200" t="s">
        <v>228</v>
      </c>
      <c r="B29" s="201">
        <v>8408.7149237360063</v>
      </c>
      <c r="C29" s="201">
        <v>55367.188350736003</v>
      </c>
      <c r="D29" s="202">
        <v>104.76703743946172</v>
      </c>
      <c r="E29" s="202">
        <v>104.00015682770851</v>
      </c>
      <c r="F29" s="202">
        <v>106.74549154505542</v>
      </c>
      <c r="G29" s="203"/>
      <c r="H29" s="203"/>
      <c r="I29" s="203"/>
    </row>
    <row r="30" spans="1:9" ht="20.100000000000001" customHeight="1">
      <c r="A30" s="208"/>
      <c r="B30" s="208"/>
      <c r="C30" s="208"/>
      <c r="D30" s="208"/>
      <c r="E30" s="208"/>
      <c r="F30" s="208"/>
      <c r="G30" s="183"/>
    </row>
    <row r="31" spans="1:9" ht="20.100000000000001" customHeight="1">
      <c r="A31" s="208"/>
      <c r="B31" s="208"/>
      <c r="C31" s="208"/>
      <c r="D31" s="208"/>
      <c r="E31" s="208"/>
      <c r="F31" s="208"/>
      <c r="G31" s="183"/>
    </row>
    <row r="32" spans="1:9" ht="20.100000000000001" customHeight="1">
      <c r="A32" s="208"/>
      <c r="B32" s="208"/>
      <c r="C32" s="208"/>
      <c r="D32" s="208"/>
      <c r="E32" s="208"/>
      <c r="F32" s="208"/>
      <c r="G32" s="183"/>
    </row>
    <row r="33" spans="1:7" ht="20.100000000000001" customHeight="1">
      <c r="A33" s="208"/>
      <c r="B33" s="208"/>
      <c r="C33" s="208"/>
      <c r="D33" s="208"/>
      <c r="E33" s="208"/>
      <c r="F33" s="208"/>
      <c r="G33" s="183"/>
    </row>
    <row r="34" spans="1:7" ht="20.100000000000001" customHeight="1">
      <c r="A34" s="208"/>
      <c r="B34" s="208"/>
      <c r="C34" s="208"/>
      <c r="D34" s="208"/>
      <c r="E34" s="208"/>
      <c r="F34" s="208"/>
      <c r="G34" s="183"/>
    </row>
    <row r="35" spans="1:7" ht="20.100000000000001" customHeight="1">
      <c r="A35" s="209"/>
      <c r="B35" s="209"/>
      <c r="C35" s="210"/>
      <c r="D35" s="210"/>
      <c r="E35" s="210"/>
      <c r="F35" s="209"/>
      <c r="G35" s="183"/>
    </row>
    <row r="36" spans="1:7" ht="20.100000000000001" customHeight="1">
      <c r="A36" s="209"/>
      <c r="B36" s="209"/>
      <c r="C36" s="210"/>
      <c r="D36" s="210"/>
      <c r="E36" s="210"/>
      <c r="F36" s="209"/>
      <c r="G36" s="183"/>
    </row>
    <row r="37" spans="1:7" ht="20.100000000000001" customHeight="1">
      <c r="A37" s="209"/>
      <c r="B37" s="209"/>
      <c r="C37" s="210"/>
      <c r="D37" s="210"/>
      <c r="E37" s="210"/>
      <c r="F37" s="209"/>
    </row>
    <row r="38" spans="1:7" ht="20.100000000000001" customHeight="1">
      <c r="A38" s="209"/>
      <c r="B38" s="209"/>
      <c r="C38" s="210"/>
      <c r="D38" s="210"/>
      <c r="E38" s="210"/>
      <c r="F38" s="209"/>
    </row>
    <row r="39" spans="1:7" ht="20.100000000000001" customHeight="1">
      <c r="A39" s="209"/>
      <c r="B39" s="209"/>
      <c r="C39" s="210"/>
      <c r="D39" s="210"/>
      <c r="E39" s="210"/>
      <c r="F39" s="209"/>
    </row>
    <row r="40" spans="1:7" ht="20.100000000000001" customHeight="1">
      <c r="A40" s="209"/>
      <c r="B40" s="209"/>
      <c r="C40" s="210"/>
      <c r="D40" s="210"/>
      <c r="E40" s="210"/>
      <c r="F40" s="209"/>
    </row>
    <row r="41" spans="1:7" ht="20.100000000000001" customHeight="1">
      <c r="A41" s="209"/>
      <c r="B41" s="209"/>
      <c r="C41" s="210"/>
      <c r="D41" s="210"/>
      <c r="E41" s="210"/>
      <c r="F41" s="209"/>
    </row>
    <row r="42" spans="1:7" ht="20.100000000000001" customHeight="1">
      <c r="A42" s="209"/>
      <c r="B42" s="209"/>
      <c r="C42" s="210"/>
      <c r="D42" s="210"/>
      <c r="E42" s="210"/>
      <c r="F42" s="209"/>
    </row>
    <row r="43" spans="1:7" ht="20.100000000000001" customHeight="1">
      <c r="A43" s="209"/>
      <c r="B43" s="209"/>
      <c r="C43" s="210"/>
      <c r="D43" s="210"/>
      <c r="E43" s="210"/>
      <c r="F43" s="209"/>
    </row>
    <row r="44" spans="1:7" ht="20.100000000000001" customHeight="1">
      <c r="A44" s="209"/>
      <c r="B44" s="209"/>
      <c r="C44" s="210"/>
      <c r="D44" s="210"/>
      <c r="E44" s="210"/>
      <c r="F44" s="209"/>
    </row>
    <row r="45" spans="1:7" ht="20.100000000000001" customHeight="1">
      <c r="A45" s="209"/>
      <c r="B45" s="209"/>
      <c r="C45" s="210"/>
      <c r="D45" s="210"/>
      <c r="E45" s="210"/>
      <c r="F45" s="209"/>
    </row>
    <row r="46" spans="1:7" ht="20.100000000000001" customHeight="1">
      <c r="A46" s="209"/>
      <c r="B46" s="209"/>
      <c r="C46" s="210"/>
      <c r="D46" s="210"/>
      <c r="E46" s="210"/>
      <c r="F46" s="209"/>
    </row>
    <row r="47" spans="1:7" ht="20.100000000000001" customHeight="1">
      <c r="A47" s="209"/>
      <c r="B47" s="209"/>
      <c r="C47" s="210"/>
      <c r="D47" s="210"/>
      <c r="E47" s="210"/>
      <c r="F47" s="209"/>
    </row>
    <row r="48" spans="1:7" ht="14.1" customHeight="1">
      <c r="A48" s="209"/>
      <c r="B48" s="209"/>
      <c r="C48" s="210"/>
      <c r="D48" s="210"/>
      <c r="E48" s="210"/>
      <c r="F48" s="209"/>
    </row>
    <row r="49" spans="1:6" ht="14.1" customHeight="1">
      <c r="A49" s="209"/>
      <c r="B49" s="209"/>
      <c r="C49" s="210"/>
      <c r="D49" s="210"/>
      <c r="E49" s="210"/>
      <c r="F49" s="209"/>
    </row>
    <row r="50" spans="1:6" ht="14.1" customHeight="1">
      <c r="A50" s="209"/>
      <c r="B50" s="209"/>
      <c r="C50" s="210"/>
      <c r="D50" s="210"/>
      <c r="E50" s="210"/>
      <c r="F50" s="209"/>
    </row>
    <row r="51" spans="1:6" ht="14.1" customHeight="1">
      <c r="A51" s="209"/>
      <c r="B51" s="209"/>
      <c r="C51" s="210"/>
      <c r="D51" s="210"/>
      <c r="E51" s="210"/>
      <c r="F51" s="209"/>
    </row>
    <row r="52" spans="1:6" ht="14.1" customHeight="1">
      <c r="A52" s="209"/>
      <c r="B52" s="209"/>
      <c r="C52" s="210"/>
      <c r="D52" s="210"/>
      <c r="E52" s="210"/>
      <c r="F52" s="209"/>
    </row>
    <row r="53" spans="1:6" ht="14.1" customHeight="1">
      <c r="A53" s="209"/>
      <c r="B53" s="209"/>
      <c r="C53" s="210"/>
      <c r="D53" s="210"/>
      <c r="E53" s="210"/>
      <c r="F53" s="209"/>
    </row>
    <row r="54" spans="1:6" ht="14.1" customHeight="1">
      <c r="A54" s="209"/>
      <c r="B54" s="209"/>
      <c r="C54" s="210"/>
      <c r="D54" s="210"/>
      <c r="E54" s="210"/>
      <c r="F54" s="209"/>
    </row>
    <row r="55" spans="1:6" ht="18" customHeight="1">
      <c r="A55" s="209"/>
      <c r="B55" s="209"/>
      <c r="C55" s="210"/>
      <c r="D55" s="210"/>
      <c r="E55" s="210"/>
      <c r="F55" s="209"/>
    </row>
    <row r="56" spans="1:6" ht="18" customHeight="1">
      <c r="A56" s="209"/>
      <c r="B56" s="209"/>
      <c r="C56" s="210"/>
      <c r="D56" s="210"/>
      <c r="E56" s="210"/>
      <c r="F56" s="209"/>
    </row>
    <row r="57" spans="1:6" ht="18" customHeight="1">
      <c r="A57" s="209"/>
      <c r="B57" s="209"/>
      <c r="C57" s="210"/>
      <c r="D57" s="210"/>
      <c r="E57" s="210"/>
      <c r="F57" s="209"/>
    </row>
    <row r="58" spans="1:6" ht="18" customHeight="1">
      <c r="A58" s="209"/>
      <c r="B58" s="209"/>
      <c r="C58" s="210"/>
      <c r="D58" s="210"/>
      <c r="E58" s="210"/>
      <c r="F58" s="209"/>
    </row>
    <row r="59" spans="1:6" ht="18" customHeight="1">
      <c r="A59" s="209"/>
      <c r="B59" s="209"/>
      <c r="C59" s="210"/>
      <c r="D59" s="210"/>
      <c r="E59" s="210"/>
      <c r="F59" s="209"/>
    </row>
    <row r="60" spans="1:6">
      <c r="A60" s="209"/>
      <c r="B60" s="209"/>
      <c r="C60" s="210"/>
      <c r="D60" s="210"/>
      <c r="E60" s="210"/>
      <c r="F60" s="209"/>
    </row>
    <row r="61" spans="1:6">
      <c r="A61" s="209"/>
      <c r="B61" s="209"/>
      <c r="C61" s="210"/>
      <c r="D61" s="210"/>
      <c r="E61" s="210"/>
      <c r="F61" s="209"/>
    </row>
    <row r="62" spans="1:6">
      <c r="A62" s="209"/>
      <c r="B62" s="209"/>
      <c r="C62" s="210"/>
      <c r="D62" s="210"/>
      <c r="E62" s="210"/>
      <c r="F62" s="209"/>
    </row>
    <row r="63" spans="1:6">
      <c r="A63" s="209"/>
      <c r="B63" s="209"/>
      <c r="C63" s="210"/>
      <c r="D63" s="210"/>
      <c r="E63" s="210"/>
      <c r="F63" s="209"/>
    </row>
    <row r="64" spans="1:6">
      <c r="A64" s="209"/>
      <c r="B64" s="209"/>
      <c r="C64" s="210"/>
      <c r="D64" s="210"/>
      <c r="E64" s="210"/>
      <c r="F64" s="209"/>
    </row>
    <row r="65" spans="1:6">
      <c r="A65" s="209"/>
      <c r="B65" s="209"/>
      <c r="C65" s="210"/>
      <c r="D65" s="210"/>
      <c r="E65" s="210"/>
      <c r="F65" s="209"/>
    </row>
    <row r="66" spans="1:6">
      <c r="A66" s="209"/>
      <c r="B66" s="209"/>
      <c r="C66" s="210"/>
      <c r="D66" s="210"/>
      <c r="E66" s="210"/>
      <c r="F66" s="209"/>
    </row>
    <row r="67" spans="1:6">
      <c r="A67" s="209"/>
      <c r="B67" s="209"/>
      <c r="C67" s="210"/>
      <c r="D67" s="210"/>
      <c r="E67" s="210"/>
      <c r="F67" s="209"/>
    </row>
    <row r="68" spans="1:6">
      <c r="A68" s="209"/>
      <c r="B68" s="209"/>
      <c r="C68" s="210"/>
      <c r="D68" s="210"/>
      <c r="E68" s="210"/>
      <c r="F68" s="209"/>
    </row>
    <row r="69" spans="1:6">
      <c r="A69" s="209"/>
      <c r="B69" s="209"/>
      <c r="C69" s="210"/>
      <c r="D69" s="210"/>
      <c r="E69" s="210"/>
      <c r="F69" s="209"/>
    </row>
    <row r="70" spans="1:6">
      <c r="A70" s="209"/>
      <c r="B70" s="209"/>
      <c r="C70" s="210"/>
      <c r="D70" s="210"/>
      <c r="E70" s="210"/>
      <c r="F70" s="209"/>
    </row>
    <row r="71" spans="1:6">
      <c r="A71" s="209"/>
      <c r="B71" s="209"/>
      <c r="C71" s="210"/>
      <c r="D71" s="210"/>
      <c r="E71" s="210"/>
      <c r="F71" s="209"/>
    </row>
    <row r="72" spans="1:6">
      <c r="A72" s="209"/>
      <c r="B72" s="209"/>
      <c r="C72" s="210"/>
      <c r="D72" s="210"/>
      <c r="E72" s="210"/>
      <c r="F72" s="209"/>
    </row>
    <row r="73" spans="1:6">
      <c r="A73" s="209"/>
      <c r="B73" s="209"/>
      <c r="C73" s="210"/>
      <c r="D73" s="210"/>
      <c r="E73" s="210"/>
      <c r="F73" s="209"/>
    </row>
    <row r="74" spans="1:6">
      <c r="A74" s="209"/>
      <c r="B74" s="209"/>
      <c r="C74" s="210"/>
      <c r="D74" s="210"/>
      <c r="E74" s="210"/>
      <c r="F74" s="209"/>
    </row>
    <row r="75" spans="1:6">
      <c r="A75" s="209"/>
      <c r="B75" s="209"/>
      <c r="C75" s="210"/>
      <c r="D75" s="210"/>
      <c r="E75" s="210"/>
      <c r="F75" s="209"/>
    </row>
    <row r="76" spans="1:6">
      <c r="A76" s="209"/>
      <c r="B76" s="209"/>
      <c r="C76" s="210"/>
      <c r="D76" s="210"/>
      <c r="E76" s="210"/>
      <c r="F76" s="209"/>
    </row>
    <row r="77" spans="1:6">
      <c r="A77" s="209"/>
      <c r="B77" s="209"/>
      <c r="C77" s="210"/>
      <c r="D77" s="210"/>
      <c r="E77" s="210"/>
      <c r="F77" s="209"/>
    </row>
    <row r="78" spans="1:6">
      <c r="A78" s="209"/>
      <c r="B78" s="209"/>
      <c r="C78" s="210"/>
      <c r="D78" s="210"/>
      <c r="E78" s="210"/>
      <c r="F78" s="209"/>
    </row>
    <row r="79" spans="1:6">
      <c r="A79" s="209"/>
      <c r="B79" s="209"/>
      <c r="C79" s="210"/>
      <c r="D79" s="210"/>
      <c r="E79" s="210"/>
      <c r="F79" s="209"/>
    </row>
    <row r="80" spans="1:6">
      <c r="A80" s="209"/>
      <c r="B80" s="209"/>
      <c r="C80" s="210"/>
      <c r="D80" s="210"/>
      <c r="E80" s="210"/>
      <c r="F80" s="209"/>
    </row>
    <row r="81" spans="1:6">
      <c r="A81" s="209"/>
      <c r="B81" s="209"/>
      <c r="C81" s="210"/>
      <c r="D81" s="210"/>
      <c r="E81" s="210"/>
      <c r="F81" s="209"/>
    </row>
    <row r="82" spans="1:6">
      <c r="A82" s="209"/>
      <c r="B82" s="209"/>
      <c r="C82" s="210"/>
      <c r="D82" s="210"/>
      <c r="E82" s="210"/>
      <c r="F82" s="209"/>
    </row>
    <row r="83" spans="1:6">
      <c r="A83" s="209"/>
      <c r="B83" s="209"/>
      <c r="C83" s="210"/>
      <c r="D83" s="210"/>
      <c r="E83" s="210"/>
      <c r="F83" s="209"/>
    </row>
    <row r="84" spans="1:6">
      <c r="A84" s="209"/>
      <c r="B84" s="209"/>
      <c r="C84" s="210"/>
      <c r="D84" s="210"/>
      <c r="E84" s="210"/>
      <c r="F84" s="209"/>
    </row>
    <row r="85" spans="1:6">
      <c r="A85" s="209"/>
      <c r="B85" s="209"/>
      <c r="C85" s="210"/>
      <c r="D85" s="210"/>
      <c r="E85" s="210"/>
      <c r="F85" s="209"/>
    </row>
    <row r="86" spans="1:6">
      <c r="A86" s="209"/>
      <c r="B86" s="209"/>
      <c r="C86" s="210"/>
      <c r="D86" s="210"/>
      <c r="E86" s="210"/>
      <c r="F86" s="209"/>
    </row>
    <row r="87" spans="1:6">
      <c r="A87" s="209"/>
      <c r="B87" s="209"/>
      <c r="C87" s="210"/>
      <c r="D87" s="210"/>
      <c r="E87" s="210"/>
      <c r="F87" s="209"/>
    </row>
    <row r="88" spans="1:6">
      <c r="A88" s="209"/>
      <c r="B88" s="209"/>
      <c r="C88" s="210"/>
      <c r="D88" s="210"/>
      <c r="E88" s="210"/>
      <c r="F88" s="209"/>
    </row>
    <row r="89" spans="1:6">
      <c r="A89" s="209"/>
      <c r="B89" s="209"/>
      <c r="C89" s="210"/>
      <c r="D89" s="210"/>
      <c r="E89" s="210"/>
      <c r="F89" s="209"/>
    </row>
    <row r="90" spans="1:6">
      <c r="A90" s="209"/>
      <c r="B90" s="209"/>
      <c r="C90" s="210"/>
      <c r="D90" s="210"/>
      <c r="E90" s="210"/>
      <c r="F90" s="209"/>
    </row>
    <row r="91" spans="1:6">
      <c r="A91" s="209"/>
      <c r="B91" s="209"/>
      <c r="C91" s="210"/>
      <c r="D91" s="210"/>
      <c r="E91" s="210"/>
      <c r="F91" s="209"/>
    </row>
    <row r="92" spans="1:6">
      <c r="A92" s="209"/>
      <c r="B92" s="209"/>
      <c r="C92" s="210"/>
      <c r="D92" s="210"/>
      <c r="E92" s="210"/>
      <c r="F92" s="209"/>
    </row>
    <row r="93" spans="1:6">
      <c r="A93" s="209"/>
      <c r="B93" s="209"/>
      <c r="C93" s="210"/>
      <c r="D93" s="210"/>
      <c r="E93" s="210"/>
      <c r="F93" s="209"/>
    </row>
    <row r="94" spans="1:6">
      <c r="A94" s="209"/>
      <c r="B94" s="209"/>
      <c r="C94" s="210"/>
      <c r="D94" s="210"/>
      <c r="E94" s="210"/>
      <c r="F94" s="209"/>
    </row>
    <row r="95" spans="1:6">
      <c r="A95" s="209"/>
      <c r="B95" s="209"/>
      <c r="C95" s="210"/>
      <c r="D95" s="210"/>
      <c r="E95" s="210"/>
      <c r="F95" s="209"/>
    </row>
    <row r="96" spans="1:6">
      <c r="A96" s="209"/>
      <c r="B96" s="209"/>
      <c r="C96" s="210"/>
      <c r="D96" s="210"/>
      <c r="E96" s="210"/>
      <c r="F96" s="209"/>
    </row>
    <row r="97" spans="1:6">
      <c r="A97" s="209"/>
      <c r="B97" s="209"/>
      <c r="C97" s="210"/>
      <c r="D97" s="210"/>
      <c r="E97" s="210"/>
      <c r="F97" s="209"/>
    </row>
    <row r="98" spans="1:6">
      <c r="A98" s="209"/>
      <c r="B98" s="209"/>
      <c r="C98" s="210"/>
      <c r="D98" s="210"/>
      <c r="E98" s="210"/>
      <c r="F98" s="209"/>
    </row>
    <row r="99" spans="1:6">
      <c r="A99" s="209"/>
      <c r="B99" s="209"/>
      <c r="C99" s="210"/>
      <c r="D99" s="210"/>
      <c r="E99" s="210"/>
      <c r="F99" s="209"/>
    </row>
    <row r="100" spans="1:6">
      <c r="A100" s="209"/>
      <c r="B100" s="209"/>
      <c r="C100" s="210"/>
      <c r="D100" s="210"/>
      <c r="E100" s="210"/>
      <c r="F100" s="209"/>
    </row>
    <row r="101" spans="1:6">
      <c r="A101" s="209"/>
      <c r="B101" s="209"/>
      <c r="C101" s="210"/>
      <c r="D101" s="210"/>
      <c r="E101" s="210"/>
      <c r="F101" s="209"/>
    </row>
    <row r="102" spans="1:6">
      <c r="A102" s="209"/>
      <c r="B102" s="209"/>
      <c r="C102" s="210"/>
      <c r="D102" s="210"/>
      <c r="E102" s="210"/>
      <c r="F102" s="209"/>
    </row>
    <row r="103" spans="1:6">
      <c r="A103" s="209"/>
      <c r="B103" s="209"/>
      <c r="C103" s="210"/>
      <c r="D103" s="210"/>
      <c r="E103" s="210"/>
      <c r="F103" s="209"/>
    </row>
    <row r="104" spans="1:6">
      <c r="A104" s="209"/>
      <c r="B104" s="209"/>
      <c r="C104" s="210"/>
      <c r="D104" s="210"/>
      <c r="E104" s="210"/>
      <c r="F104" s="209"/>
    </row>
    <row r="105" spans="1:6">
      <c r="A105" s="209"/>
      <c r="B105" s="209"/>
      <c r="C105" s="210"/>
      <c r="D105" s="210"/>
      <c r="E105" s="210"/>
      <c r="F105" s="209"/>
    </row>
    <row r="106" spans="1:6">
      <c r="A106" s="209"/>
      <c r="B106" s="209"/>
      <c r="C106" s="210"/>
      <c r="D106" s="210"/>
      <c r="E106" s="210"/>
      <c r="F106" s="209"/>
    </row>
    <row r="107" spans="1:6">
      <c r="A107" s="209"/>
      <c r="B107" s="209"/>
      <c r="C107" s="210"/>
      <c r="D107" s="210"/>
      <c r="E107" s="210"/>
      <c r="F107" s="209"/>
    </row>
    <row r="108" spans="1:6">
      <c r="A108" s="209"/>
      <c r="B108" s="209"/>
      <c r="C108" s="210"/>
      <c r="D108" s="210"/>
      <c r="E108" s="210"/>
      <c r="F108" s="209"/>
    </row>
    <row r="109" spans="1:6">
      <c r="A109" s="209"/>
      <c r="B109" s="209"/>
      <c r="C109" s="210"/>
      <c r="D109" s="210"/>
      <c r="E109" s="210"/>
      <c r="F109" s="209"/>
    </row>
    <row r="110" spans="1:6">
      <c r="A110" s="209"/>
      <c r="B110" s="209"/>
      <c r="C110" s="210"/>
      <c r="D110" s="210"/>
      <c r="E110" s="210"/>
      <c r="F110" s="209"/>
    </row>
    <row r="111" spans="1:6">
      <c r="A111" s="209"/>
      <c r="B111" s="209"/>
      <c r="C111" s="210"/>
      <c r="D111" s="210"/>
      <c r="E111" s="210"/>
      <c r="F111" s="209"/>
    </row>
    <row r="112" spans="1:6">
      <c r="A112" s="209"/>
      <c r="B112" s="209"/>
      <c r="C112" s="210"/>
      <c r="D112" s="210"/>
      <c r="E112" s="210"/>
      <c r="F112" s="209"/>
    </row>
    <row r="113" spans="1:6">
      <c r="A113" s="209"/>
      <c r="B113" s="209"/>
      <c r="C113" s="210"/>
      <c r="D113" s="210"/>
      <c r="E113" s="210"/>
      <c r="F113" s="209"/>
    </row>
    <row r="114" spans="1:6">
      <c r="A114" s="209"/>
      <c r="B114" s="209"/>
      <c r="C114" s="210"/>
      <c r="D114" s="210"/>
      <c r="E114" s="210"/>
      <c r="F114" s="209"/>
    </row>
    <row r="115" spans="1:6">
      <c r="A115" s="209"/>
      <c r="B115" s="209"/>
      <c r="C115" s="210"/>
      <c r="D115" s="210"/>
      <c r="E115" s="210"/>
      <c r="F115" s="209"/>
    </row>
    <row r="116" spans="1:6">
      <c r="A116" s="209"/>
      <c r="B116" s="209"/>
      <c r="C116" s="210"/>
      <c r="D116" s="210"/>
      <c r="E116" s="210"/>
      <c r="F116" s="209"/>
    </row>
    <row r="117" spans="1:6">
      <c r="A117" s="209"/>
      <c r="B117" s="209"/>
      <c r="C117" s="210"/>
      <c r="D117" s="210"/>
      <c r="E117" s="210"/>
      <c r="F117" s="209"/>
    </row>
    <row r="118" spans="1:6">
      <c r="A118" s="209"/>
      <c r="B118" s="209"/>
      <c r="C118" s="210"/>
      <c r="D118" s="210"/>
      <c r="E118" s="210"/>
      <c r="F118" s="209"/>
    </row>
    <row r="119" spans="1:6">
      <c r="A119" s="209"/>
      <c r="B119" s="209"/>
      <c r="C119" s="210"/>
      <c r="D119" s="210"/>
      <c r="E119" s="210"/>
      <c r="F119" s="209"/>
    </row>
    <row r="120" spans="1:6">
      <c r="A120" s="209"/>
      <c r="B120" s="209"/>
      <c r="C120" s="210"/>
      <c r="D120" s="210"/>
      <c r="E120" s="210"/>
      <c r="F120" s="209"/>
    </row>
    <row r="121" spans="1:6">
      <c r="A121" s="209"/>
      <c r="B121" s="209"/>
      <c r="C121" s="210"/>
      <c r="D121" s="210"/>
      <c r="E121" s="210"/>
      <c r="F121" s="209"/>
    </row>
    <row r="122" spans="1:6">
      <c r="A122" s="209"/>
      <c r="B122" s="209"/>
      <c r="C122" s="210"/>
      <c r="D122" s="210"/>
      <c r="E122" s="210"/>
      <c r="F122" s="209"/>
    </row>
    <row r="123" spans="1:6">
      <c r="A123" s="209"/>
      <c r="B123" s="209"/>
      <c r="C123" s="210"/>
      <c r="D123" s="210"/>
      <c r="E123" s="210"/>
      <c r="F123" s="209"/>
    </row>
    <row r="124" spans="1:6">
      <c r="A124" s="209"/>
      <c r="B124" s="209"/>
      <c r="C124" s="210"/>
      <c r="D124" s="210"/>
      <c r="E124" s="210"/>
      <c r="F124" s="209"/>
    </row>
    <row r="125" spans="1:6">
      <c r="A125" s="209"/>
      <c r="B125" s="209"/>
      <c r="C125" s="210"/>
      <c r="D125" s="210"/>
      <c r="E125" s="210"/>
      <c r="F125" s="209"/>
    </row>
    <row r="126" spans="1:6">
      <c r="A126" s="209"/>
      <c r="B126" s="209"/>
      <c r="C126" s="210"/>
      <c r="D126" s="210"/>
      <c r="E126" s="210"/>
      <c r="F126" s="209"/>
    </row>
    <row r="127" spans="1:6">
      <c r="A127" s="209"/>
      <c r="B127" s="209"/>
      <c r="C127" s="210"/>
      <c r="D127" s="210"/>
      <c r="E127" s="210"/>
      <c r="F127" s="209"/>
    </row>
    <row r="128" spans="1:6">
      <c r="A128" s="209"/>
      <c r="B128" s="209"/>
      <c r="C128" s="210"/>
      <c r="D128" s="210"/>
      <c r="E128" s="210"/>
      <c r="F128" s="209"/>
    </row>
    <row r="129" spans="1:6">
      <c r="A129" s="209"/>
      <c r="B129" s="209"/>
      <c r="C129" s="210"/>
      <c r="D129" s="210"/>
      <c r="E129" s="210"/>
      <c r="F129" s="209"/>
    </row>
    <row r="130" spans="1:6">
      <c r="A130" s="209"/>
      <c r="B130" s="209"/>
      <c r="C130" s="210"/>
      <c r="D130" s="210"/>
      <c r="E130" s="210"/>
      <c r="F130" s="209"/>
    </row>
    <row r="131" spans="1:6">
      <c r="A131" s="209"/>
      <c r="B131" s="209"/>
      <c r="C131" s="210"/>
      <c r="D131" s="210"/>
      <c r="E131" s="210"/>
      <c r="F131" s="209"/>
    </row>
    <row r="132" spans="1:6">
      <c r="A132" s="209"/>
      <c r="B132" s="209"/>
      <c r="C132" s="210"/>
      <c r="D132" s="210"/>
      <c r="E132" s="210"/>
      <c r="F132" s="209"/>
    </row>
    <row r="133" spans="1:6">
      <c r="A133" s="209"/>
      <c r="B133" s="209"/>
      <c r="C133" s="210"/>
      <c r="D133" s="210"/>
      <c r="E133" s="210"/>
      <c r="F133" s="209"/>
    </row>
    <row r="134" spans="1:6">
      <c r="A134" s="209"/>
      <c r="B134" s="209"/>
      <c r="C134" s="210"/>
      <c r="D134" s="210"/>
      <c r="E134" s="210"/>
      <c r="F134" s="209"/>
    </row>
    <row r="135" spans="1:6">
      <c r="A135" s="209"/>
      <c r="B135" s="209"/>
      <c r="C135" s="210"/>
      <c r="D135" s="210"/>
      <c r="E135" s="210"/>
      <c r="F135" s="209"/>
    </row>
    <row r="136" spans="1:6">
      <c r="A136" s="209"/>
      <c r="B136" s="209"/>
      <c r="C136" s="210"/>
      <c r="D136" s="210"/>
      <c r="E136" s="210"/>
      <c r="F136" s="209"/>
    </row>
    <row r="137" spans="1:6">
      <c r="A137" s="209"/>
      <c r="B137" s="209"/>
      <c r="C137" s="210"/>
      <c r="D137" s="210"/>
      <c r="E137" s="210"/>
      <c r="F137" s="209"/>
    </row>
    <row r="138" spans="1:6">
      <c r="A138" s="209"/>
      <c r="B138" s="209"/>
      <c r="C138" s="210"/>
      <c r="D138" s="210"/>
      <c r="E138" s="210"/>
      <c r="F138" s="209"/>
    </row>
    <row r="139" spans="1:6">
      <c r="A139" s="209"/>
      <c r="B139" s="209"/>
      <c r="C139" s="210"/>
      <c r="D139" s="210"/>
      <c r="E139" s="210"/>
      <c r="F139" s="209"/>
    </row>
    <row r="140" spans="1:6">
      <c r="A140" s="209"/>
      <c r="B140" s="209"/>
      <c r="C140" s="210"/>
      <c r="D140" s="210"/>
      <c r="E140" s="210"/>
      <c r="F140" s="209"/>
    </row>
    <row r="141" spans="1:6">
      <c r="A141" s="209"/>
      <c r="B141" s="209"/>
      <c r="C141" s="210"/>
      <c r="D141" s="210"/>
      <c r="E141" s="210"/>
      <c r="F141" s="209"/>
    </row>
    <row r="142" spans="1:6">
      <c r="A142" s="209"/>
      <c r="B142" s="209"/>
      <c r="C142" s="210"/>
      <c r="D142" s="210"/>
      <c r="E142" s="210"/>
      <c r="F142" s="209"/>
    </row>
    <row r="143" spans="1:6">
      <c r="A143" s="209"/>
      <c r="B143" s="209"/>
      <c r="C143" s="210"/>
      <c r="D143" s="210"/>
      <c r="E143" s="210"/>
      <c r="F143" s="209"/>
    </row>
    <row r="144" spans="1:6">
      <c r="A144" s="209"/>
      <c r="B144" s="209"/>
      <c r="C144" s="210"/>
      <c r="D144" s="210"/>
      <c r="E144" s="210"/>
      <c r="F144" s="209"/>
    </row>
    <row r="145" spans="1:6">
      <c r="A145" s="209"/>
      <c r="B145" s="209"/>
      <c r="C145" s="210"/>
      <c r="D145" s="210"/>
      <c r="E145" s="210"/>
      <c r="F145" s="209"/>
    </row>
    <row r="146" spans="1:6">
      <c r="A146" s="209"/>
      <c r="B146" s="209"/>
      <c r="C146" s="210"/>
      <c r="D146" s="210"/>
      <c r="E146" s="210"/>
      <c r="F146" s="209"/>
    </row>
    <row r="147" spans="1:6">
      <c r="A147" s="209"/>
      <c r="B147" s="209"/>
      <c r="C147" s="210"/>
      <c r="D147" s="210"/>
      <c r="E147" s="210"/>
      <c r="F147" s="209"/>
    </row>
    <row r="148" spans="1:6">
      <c r="A148" s="209"/>
      <c r="B148" s="209"/>
      <c r="C148" s="210"/>
      <c r="D148" s="210"/>
      <c r="E148" s="210"/>
      <c r="F148" s="209"/>
    </row>
    <row r="149" spans="1:6">
      <c r="A149" s="209"/>
      <c r="B149" s="209"/>
      <c r="C149" s="210"/>
      <c r="D149" s="210"/>
      <c r="E149" s="210"/>
      <c r="F149" s="209"/>
    </row>
    <row r="150" spans="1:6" ht="18.75">
      <c r="A150" s="209"/>
      <c r="B150" s="209"/>
      <c r="C150" s="210"/>
      <c r="D150" s="210"/>
      <c r="E150" s="210"/>
      <c r="F150" s="211"/>
    </row>
    <row r="151" spans="1:6" ht="18.75">
      <c r="A151" s="211"/>
      <c r="B151" s="211"/>
      <c r="C151" s="212"/>
      <c r="D151" s="212"/>
      <c r="E151" s="212"/>
      <c r="F151" s="211"/>
    </row>
    <row r="152" spans="1:6" ht="18.75">
      <c r="A152" s="211"/>
      <c r="B152" s="211"/>
      <c r="C152" s="212"/>
      <c r="D152" s="212"/>
      <c r="E152" s="212"/>
      <c r="F152" s="211"/>
    </row>
    <row r="153" spans="1:6">
      <c r="C153" s="212"/>
      <c r="D153" s="212"/>
      <c r="E153" s="212"/>
    </row>
    <row r="154" spans="1:6">
      <c r="C154" s="212"/>
      <c r="D154" s="212"/>
      <c r="E154" s="212"/>
    </row>
    <row r="155" spans="1:6">
      <c r="C155" s="212"/>
      <c r="D155" s="212"/>
      <c r="E155" s="212"/>
    </row>
    <row r="156" spans="1:6">
      <c r="C156" s="212"/>
      <c r="D156" s="212"/>
      <c r="E156" s="212"/>
    </row>
    <row r="157" spans="1:6">
      <c r="C157" s="212"/>
      <c r="D157" s="212"/>
      <c r="E157" s="212"/>
    </row>
    <row r="158" spans="1:6">
      <c r="C158" s="212"/>
      <c r="D158" s="212"/>
      <c r="E158" s="212"/>
    </row>
    <row r="159" spans="1:6">
      <c r="C159" s="212"/>
      <c r="D159" s="212"/>
      <c r="E159" s="212"/>
    </row>
    <row r="160" spans="1:6">
      <c r="C160" s="212"/>
      <c r="D160" s="212"/>
      <c r="E160" s="212"/>
    </row>
    <row r="161" spans="3:5">
      <c r="C161" s="212"/>
      <c r="D161" s="212"/>
      <c r="E161" s="212"/>
    </row>
    <row r="162" spans="3:5">
      <c r="C162" s="212"/>
      <c r="D162" s="212"/>
      <c r="E162" s="212"/>
    </row>
    <row r="163" spans="3:5">
      <c r="C163" s="212"/>
      <c r="D163" s="212"/>
      <c r="E163" s="212"/>
    </row>
    <row r="164" spans="3:5">
      <c r="C164" s="212"/>
      <c r="D164" s="212"/>
      <c r="E164" s="212"/>
    </row>
    <row r="165" spans="3:5">
      <c r="C165" s="212"/>
      <c r="D165" s="212"/>
      <c r="E165" s="212"/>
    </row>
    <row r="166" spans="3:5">
      <c r="C166" s="212"/>
      <c r="D166" s="212"/>
      <c r="E166" s="212"/>
    </row>
    <row r="167" spans="3:5">
      <c r="C167" s="212"/>
      <c r="D167" s="212"/>
      <c r="E167" s="212"/>
    </row>
    <row r="168" spans="3:5">
      <c r="C168" s="212"/>
      <c r="D168" s="212"/>
      <c r="E168" s="212"/>
    </row>
    <row r="169" spans="3:5">
      <c r="C169" s="212"/>
      <c r="D169" s="212"/>
      <c r="E169" s="212"/>
    </row>
    <row r="170" spans="3:5">
      <c r="C170" s="212"/>
      <c r="D170" s="212"/>
      <c r="E170" s="212"/>
    </row>
    <row r="171" spans="3:5">
      <c r="C171" s="212"/>
      <c r="D171" s="212"/>
      <c r="E171" s="212"/>
    </row>
    <row r="172" spans="3:5">
      <c r="C172" s="212"/>
      <c r="D172" s="212"/>
      <c r="E172" s="212"/>
    </row>
    <row r="173" spans="3:5">
      <c r="C173" s="212"/>
      <c r="D173" s="212"/>
      <c r="E173" s="212"/>
    </row>
    <row r="174" spans="3:5">
      <c r="C174" s="212"/>
      <c r="D174" s="212"/>
      <c r="E174" s="212"/>
    </row>
    <row r="175" spans="3:5">
      <c r="C175" s="212"/>
      <c r="D175" s="212"/>
      <c r="E175" s="212"/>
    </row>
    <row r="176" spans="3:5">
      <c r="C176" s="212"/>
      <c r="D176" s="212"/>
      <c r="E176" s="212"/>
    </row>
    <row r="177" spans="3:5">
      <c r="C177" s="212"/>
      <c r="D177" s="212"/>
      <c r="E177" s="212"/>
    </row>
    <row r="178" spans="3:5">
      <c r="C178" s="212"/>
      <c r="D178" s="212"/>
      <c r="E178" s="212"/>
    </row>
    <row r="179" spans="3:5">
      <c r="C179" s="212"/>
      <c r="D179" s="212"/>
      <c r="E179" s="212"/>
    </row>
    <row r="180" spans="3:5">
      <c r="C180" s="212"/>
      <c r="D180" s="212"/>
      <c r="E180" s="212"/>
    </row>
    <row r="181" spans="3:5">
      <c r="C181" s="212"/>
      <c r="D181" s="212"/>
      <c r="E181" s="212"/>
    </row>
    <row r="182" spans="3:5">
      <c r="C182" s="212"/>
      <c r="D182" s="212"/>
      <c r="E182" s="212"/>
    </row>
    <row r="183" spans="3:5">
      <c r="C183" s="212"/>
      <c r="D183" s="212"/>
      <c r="E183" s="212"/>
    </row>
    <row r="184" spans="3:5">
      <c r="C184" s="212"/>
      <c r="D184" s="212"/>
      <c r="E184" s="212"/>
    </row>
    <row r="185" spans="3:5">
      <c r="C185" s="212"/>
      <c r="D185" s="212"/>
      <c r="E185" s="212"/>
    </row>
    <row r="186" spans="3:5">
      <c r="C186" s="212"/>
      <c r="D186" s="212"/>
      <c r="E186" s="212"/>
    </row>
    <row r="187" spans="3:5">
      <c r="C187" s="212"/>
      <c r="D187" s="212"/>
      <c r="E187" s="212"/>
    </row>
    <row r="188" spans="3:5">
      <c r="C188" s="212"/>
      <c r="D188" s="212"/>
      <c r="E188" s="212"/>
    </row>
    <row r="189" spans="3:5">
      <c r="C189" s="212"/>
      <c r="D189" s="212"/>
      <c r="E189" s="212"/>
    </row>
    <row r="190" spans="3:5">
      <c r="C190" s="212"/>
      <c r="D190" s="212"/>
      <c r="E190" s="212"/>
    </row>
    <row r="191" spans="3:5">
      <c r="C191" s="212"/>
      <c r="D191" s="212"/>
      <c r="E191" s="212"/>
    </row>
    <row r="192" spans="3:5">
      <c r="C192" s="212"/>
      <c r="D192" s="212"/>
      <c r="E192" s="212"/>
    </row>
    <row r="193" spans="3:5">
      <c r="C193" s="212"/>
      <c r="D193" s="212"/>
      <c r="E193" s="212"/>
    </row>
    <row r="194" spans="3:5">
      <c r="C194" s="212"/>
      <c r="D194" s="212"/>
      <c r="E194" s="212"/>
    </row>
    <row r="195" spans="3:5">
      <c r="C195" s="212"/>
      <c r="D195" s="212"/>
      <c r="E195" s="212"/>
    </row>
    <row r="196" spans="3:5">
      <c r="C196" s="212"/>
      <c r="D196" s="212"/>
      <c r="E196" s="212"/>
    </row>
    <row r="197" spans="3:5">
      <c r="C197" s="212"/>
      <c r="D197" s="212"/>
      <c r="E197" s="212"/>
    </row>
    <row r="198" spans="3:5">
      <c r="C198" s="212"/>
      <c r="D198" s="212"/>
      <c r="E198" s="212"/>
    </row>
  </sheetData>
  <pageMargins left="0.78740157480314998" right="0.47244094488188998" top="0.74803149606299202" bottom="0.511811023622047" header="0.43307086614173201" footer="0.23622047244094499"/>
  <pageSetup paperSize="9" firstPageNumber="19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ACAF-4DB8-4AF7-871C-AC6F0BDEF4E1}">
  <sheetPr>
    <pageSetUpPr fitToPage="1"/>
  </sheetPr>
  <dimension ref="A1:F76"/>
  <sheetViews>
    <sheetView topLeftCell="A15" zoomScale="160" zoomScaleNormal="160" workbookViewId="0">
      <selection activeCell="F11" sqref="F11"/>
    </sheetView>
  </sheetViews>
  <sheetFormatPr defaultColWidth="10.42578125" defaultRowHeight="12.75"/>
  <cols>
    <col min="1" max="1" width="30" style="213" customWidth="1"/>
    <col min="2" max="2" width="9.5703125" style="213" customWidth="1"/>
    <col min="3" max="3" width="10.42578125" style="213" customWidth="1"/>
    <col min="4" max="4" width="12.85546875" style="213" customWidth="1"/>
    <col min="5" max="5" width="12.42578125" style="213" customWidth="1"/>
    <col min="6" max="6" width="12.5703125" style="213" customWidth="1"/>
    <col min="7" max="16384" width="10.42578125" style="213"/>
  </cols>
  <sheetData>
    <row r="1" spans="1:6" ht="20.100000000000001" customHeight="1">
      <c r="A1" s="181" t="s">
        <v>230</v>
      </c>
      <c r="B1" s="182"/>
      <c r="C1" s="182"/>
      <c r="D1" s="182"/>
      <c r="E1" s="182"/>
      <c r="F1" s="182"/>
    </row>
    <row r="2" spans="1:6" ht="20.100000000000001" customHeight="1">
      <c r="A2" s="186"/>
      <c r="B2" s="186"/>
      <c r="C2" s="186"/>
      <c r="D2" s="186"/>
      <c r="E2" s="186"/>
      <c r="F2" s="186"/>
    </row>
    <row r="3" spans="1:6" ht="20.100000000000001" customHeight="1">
      <c r="A3" s="188"/>
      <c r="B3" s="188"/>
      <c r="C3" s="188"/>
      <c r="D3" s="188"/>
      <c r="E3" s="188"/>
      <c r="F3" s="189"/>
    </row>
    <row r="4" spans="1:6" ht="16.350000000000001" customHeight="1">
      <c r="A4" s="190"/>
      <c r="B4" s="191" t="s">
        <v>72</v>
      </c>
      <c r="C4" s="191" t="s">
        <v>72</v>
      </c>
      <c r="D4" s="191" t="s">
        <v>217</v>
      </c>
      <c r="E4" s="191" t="s">
        <v>217</v>
      </c>
      <c r="F4" s="191" t="s">
        <v>180</v>
      </c>
    </row>
    <row r="5" spans="1:6" ht="16.350000000000001" customHeight="1">
      <c r="A5" s="192"/>
      <c r="B5" s="193" t="s">
        <v>76</v>
      </c>
      <c r="C5" s="193" t="s">
        <v>203</v>
      </c>
      <c r="D5" s="193" t="s">
        <v>181</v>
      </c>
      <c r="E5" s="193" t="s">
        <v>181</v>
      </c>
      <c r="F5" s="193" t="s">
        <v>181</v>
      </c>
    </row>
    <row r="6" spans="1:6" ht="16.350000000000001" customHeight="1">
      <c r="A6" s="192"/>
      <c r="B6" s="194" t="s">
        <v>77</v>
      </c>
      <c r="C6" s="194" t="s">
        <v>77</v>
      </c>
      <c r="D6" s="194" t="s">
        <v>130</v>
      </c>
      <c r="E6" s="194" t="s">
        <v>218</v>
      </c>
      <c r="F6" s="194" t="s">
        <v>218</v>
      </c>
    </row>
    <row r="7" spans="1:6" ht="16.350000000000001" customHeight="1">
      <c r="A7" s="192"/>
      <c r="B7" s="195">
        <v>2025</v>
      </c>
      <c r="C7" s="195">
        <v>2025</v>
      </c>
      <c r="D7" s="195" t="s">
        <v>209</v>
      </c>
      <c r="E7" s="195" t="s">
        <v>210</v>
      </c>
      <c r="F7" s="195" t="s">
        <v>210</v>
      </c>
    </row>
    <row r="8" spans="1:6" ht="9" customHeight="1">
      <c r="A8" s="192"/>
      <c r="B8" s="214"/>
      <c r="C8" s="214"/>
      <c r="D8" s="215"/>
      <c r="E8" s="215"/>
      <c r="F8" s="216"/>
    </row>
    <row r="9" spans="1:6" ht="20.100000000000001" customHeight="1">
      <c r="A9" s="196" t="s">
        <v>231</v>
      </c>
      <c r="B9" s="352">
        <v>242410.0008308056</v>
      </c>
      <c r="C9" s="352">
        <v>1673518.9121282084</v>
      </c>
      <c r="D9" s="354">
        <v>100.90690893488265</v>
      </c>
      <c r="E9" s="354">
        <v>114.11812586502286</v>
      </c>
      <c r="F9" s="354">
        <v>113.7469077974574</v>
      </c>
    </row>
    <row r="10" spans="1:6" ht="20.100000000000001" customHeight="1">
      <c r="A10" s="199" t="s">
        <v>220</v>
      </c>
      <c r="B10" s="197"/>
      <c r="C10" s="197"/>
      <c r="D10" s="217"/>
      <c r="E10" s="217"/>
      <c r="F10" s="217"/>
    </row>
    <row r="11" spans="1:6" ht="20.100000000000001" customHeight="1">
      <c r="A11" s="200" t="s">
        <v>221</v>
      </c>
      <c r="B11" s="201">
        <v>238500.68528358158</v>
      </c>
      <c r="C11" s="201">
        <v>1644546.9351362013</v>
      </c>
      <c r="D11" s="218">
        <v>100.84776809810279</v>
      </c>
      <c r="E11" s="218">
        <v>114.29108552587239</v>
      </c>
      <c r="F11" s="218">
        <v>113.85930664087735</v>
      </c>
    </row>
    <row r="12" spans="1:6" ht="20.100000000000001" customHeight="1">
      <c r="A12" s="200" t="s">
        <v>222</v>
      </c>
      <c r="B12" s="201">
        <v>3909.315547224016</v>
      </c>
      <c r="C12" s="201">
        <v>28971.976992007123</v>
      </c>
      <c r="D12" s="218">
        <v>104.65106310451216</v>
      </c>
      <c r="E12" s="218">
        <v>104.47264340802683</v>
      </c>
      <c r="F12" s="218">
        <v>107.71127755856777</v>
      </c>
    </row>
    <row r="13" spans="1:6" ht="20.100000000000001" customHeight="1">
      <c r="A13" s="199" t="s">
        <v>223</v>
      </c>
      <c r="B13" s="197"/>
      <c r="C13" s="197"/>
      <c r="D13" s="217"/>
      <c r="E13" s="217"/>
      <c r="F13" s="217"/>
    </row>
    <row r="14" spans="1:6" ht="20.100000000000001" customHeight="1">
      <c r="A14" s="200" t="s">
        <v>224</v>
      </c>
      <c r="B14" s="201">
        <v>469</v>
      </c>
      <c r="C14" s="201">
        <v>3147.56</v>
      </c>
      <c r="D14" s="218">
        <v>100.88191008819101</v>
      </c>
      <c r="E14" s="218">
        <v>101.36157337367626</v>
      </c>
      <c r="F14" s="219">
        <v>105.62281879194633</v>
      </c>
    </row>
    <row r="15" spans="1:6" ht="20.100000000000001" customHeight="1">
      <c r="A15" s="200" t="s">
        <v>225</v>
      </c>
      <c r="B15" s="220">
        <v>13379.725841163996</v>
      </c>
      <c r="C15" s="220">
        <v>87937.306988684897</v>
      </c>
      <c r="D15" s="219">
        <v>102.14490082775596</v>
      </c>
      <c r="E15" s="219">
        <v>114.72244131042424</v>
      </c>
      <c r="F15" s="219">
        <v>114.55425345545068</v>
      </c>
    </row>
    <row r="16" spans="1:6" ht="20.100000000000001" customHeight="1">
      <c r="A16" s="200" t="s">
        <v>226</v>
      </c>
      <c r="B16" s="201">
        <v>52580.05</v>
      </c>
      <c r="C16" s="201">
        <v>354677.03586961894</v>
      </c>
      <c r="D16" s="218">
        <v>101.63655399570612</v>
      </c>
      <c r="E16" s="218">
        <v>111.43934778462672</v>
      </c>
      <c r="F16" s="218">
        <v>112.31903549762123</v>
      </c>
    </row>
    <row r="17" spans="1:6" ht="20.100000000000001" customHeight="1">
      <c r="A17" s="200" t="s">
        <v>227</v>
      </c>
      <c r="B17" s="201">
        <v>175941.62394422793</v>
      </c>
      <c r="C17" s="201">
        <v>1227491.7223602626</v>
      </c>
      <c r="D17" s="218">
        <v>100.5983200138098</v>
      </c>
      <c r="E17" s="218">
        <v>114.93887269679691</v>
      </c>
      <c r="F17" s="218">
        <v>114.13265516938876</v>
      </c>
    </row>
    <row r="18" spans="1:6" ht="20.100000000000001" customHeight="1">
      <c r="A18" s="200" t="s">
        <v>228</v>
      </c>
      <c r="B18" s="201">
        <v>39.610183522888001</v>
      </c>
      <c r="C18" s="201">
        <v>265.28690964188797</v>
      </c>
      <c r="D18" s="218">
        <v>101.39717984890544</v>
      </c>
      <c r="E18" s="218">
        <v>103.92030659336133</v>
      </c>
      <c r="F18" s="218">
        <v>106.71865854389002</v>
      </c>
    </row>
    <row r="19" spans="1:6" ht="20.100000000000001" customHeight="1">
      <c r="A19" s="200"/>
      <c r="B19" s="205"/>
      <c r="C19" s="205"/>
      <c r="D19" s="221"/>
      <c r="E19" s="221"/>
      <c r="F19" s="221"/>
    </row>
    <row r="20" spans="1:6" ht="20.100000000000001" customHeight="1">
      <c r="A20" s="196" t="s">
        <v>232</v>
      </c>
      <c r="B20" s="352">
        <v>53352.985372179632</v>
      </c>
      <c r="C20" s="352">
        <v>345409.87453161704</v>
      </c>
      <c r="D20" s="354">
        <v>101.65792005060379</v>
      </c>
      <c r="E20" s="354">
        <v>112.7780990427581</v>
      </c>
      <c r="F20" s="354">
        <v>113.56113865322853</v>
      </c>
    </row>
    <row r="21" spans="1:6" ht="20.100000000000001" customHeight="1">
      <c r="A21" s="199" t="s">
        <v>220</v>
      </c>
      <c r="B21" s="197"/>
      <c r="C21" s="197"/>
      <c r="D21" s="217"/>
      <c r="E21" s="217"/>
      <c r="F21" s="217"/>
    </row>
    <row r="22" spans="1:6" ht="20.100000000000001" customHeight="1">
      <c r="A22" s="200" t="s">
        <v>221</v>
      </c>
      <c r="B22" s="201">
        <v>32827.030146409867</v>
      </c>
      <c r="C22" s="201">
        <v>203541.59839749109</v>
      </c>
      <c r="D22" s="218">
        <v>96.828625046003864</v>
      </c>
      <c r="E22" s="218">
        <v>115.06971494954479</v>
      </c>
      <c r="F22" s="218">
        <v>110.22666570934176</v>
      </c>
    </row>
    <row r="23" spans="1:6" ht="20.100000000000001" customHeight="1">
      <c r="A23" s="200" t="s">
        <v>222</v>
      </c>
      <c r="B23" s="201">
        <v>20525.955225769765</v>
      </c>
      <c r="C23" s="201">
        <v>141868.27613412595</v>
      </c>
      <c r="D23" s="218">
        <v>110.46942922231719</v>
      </c>
      <c r="E23" s="218">
        <v>109.29699324662354</v>
      </c>
      <c r="F23" s="218">
        <v>118.71352743835391</v>
      </c>
    </row>
    <row r="24" spans="1:6" ht="20.100000000000001" customHeight="1">
      <c r="A24" s="199" t="s">
        <v>223</v>
      </c>
      <c r="B24" s="197"/>
      <c r="C24" s="197"/>
      <c r="D24" s="217"/>
      <c r="E24" s="217"/>
      <c r="F24" s="217"/>
    </row>
    <row r="25" spans="1:6" ht="20.100000000000001" customHeight="1">
      <c r="A25" s="200" t="s">
        <v>224</v>
      </c>
      <c r="B25" s="201">
        <v>346.87799999999999</v>
      </c>
      <c r="C25" s="201">
        <v>2284.6750000000002</v>
      </c>
      <c r="D25" s="218">
        <v>106.0516564552225</v>
      </c>
      <c r="E25" s="218">
        <v>101.42157092065867</v>
      </c>
      <c r="F25" s="219">
        <v>105.21479074475499</v>
      </c>
    </row>
    <row r="26" spans="1:6" ht="20.100000000000001" customHeight="1">
      <c r="A26" s="200" t="s">
        <v>225</v>
      </c>
      <c r="B26" s="220">
        <v>27516.81892070597</v>
      </c>
      <c r="C26" s="220">
        <v>183964.28599950753</v>
      </c>
      <c r="D26" s="219">
        <v>101.62949066113065</v>
      </c>
      <c r="E26" s="219">
        <v>114.01408856656117</v>
      </c>
      <c r="F26" s="219">
        <v>116.4260180629652</v>
      </c>
    </row>
    <row r="27" spans="1:6" ht="20.100000000000001" customHeight="1">
      <c r="A27" s="200" t="s">
        <v>226</v>
      </c>
      <c r="B27" s="201">
        <v>13268.738458476151</v>
      </c>
      <c r="C27" s="201">
        <v>77921.195132370602</v>
      </c>
      <c r="D27" s="218">
        <v>101.70206726016977</v>
      </c>
      <c r="E27" s="218">
        <v>112.40410120072593</v>
      </c>
      <c r="F27" s="218">
        <v>113.49662597884193</v>
      </c>
    </row>
    <row r="28" spans="1:6" ht="20.100000000000001" customHeight="1">
      <c r="A28" s="200" t="s">
        <v>227</v>
      </c>
      <c r="B28" s="201">
        <v>11378.25</v>
      </c>
      <c r="C28" s="201">
        <v>75556.936422965242</v>
      </c>
      <c r="D28" s="218">
        <v>101.57026410419878</v>
      </c>
      <c r="E28" s="218">
        <v>112.32555058191424</v>
      </c>
      <c r="F28" s="218">
        <v>108.85436283097425</v>
      </c>
    </row>
    <row r="29" spans="1:6" ht="20.100000000000001" customHeight="1">
      <c r="A29" s="200" t="s">
        <v>228</v>
      </c>
      <c r="B29" s="201">
        <v>842.30022175589966</v>
      </c>
      <c r="C29" s="201">
        <v>5682.7819767736555</v>
      </c>
      <c r="D29" s="218">
        <v>101.3434105995094</v>
      </c>
      <c r="E29" s="218">
        <v>93.887999895888072</v>
      </c>
      <c r="F29" s="218">
        <v>96.075850423522667</v>
      </c>
    </row>
    <row r="30" spans="1:6" ht="20.100000000000001" customHeight="1">
      <c r="A30" s="209"/>
      <c r="B30" s="209"/>
      <c r="C30" s="210"/>
      <c r="D30" s="210"/>
      <c r="E30" s="210"/>
      <c r="F30" s="209"/>
    </row>
    <row r="31" spans="1:6" ht="20.100000000000001" customHeight="1">
      <c r="A31" s="209"/>
      <c r="B31" s="209"/>
      <c r="C31" s="210"/>
      <c r="D31" s="210"/>
      <c r="E31" s="210"/>
      <c r="F31" s="209"/>
    </row>
    <row r="32" spans="1:6" ht="20.100000000000001" customHeight="1">
      <c r="A32" s="209"/>
      <c r="B32" s="209"/>
      <c r="C32" s="210"/>
      <c r="D32" s="210"/>
      <c r="E32" s="210"/>
      <c r="F32" s="209"/>
    </row>
    <row r="33" spans="1:6" ht="20.100000000000001" customHeight="1">
      <c r="A33" s="209"/>
      <c r="B33" s="209"/>
      <c r="C33" s="210"/>
      <c r="D33" s="210"/>
      <c r="E33" s="210"/>
      <c r="F33" s="209"/>
    </row>
    <row r="34" spans="1:6" ht="20.100000000000001" customHeight="1">
      <c r="A34" s="209"/>
      <c r="B34" s="209"/>
      <c r="C34" s="210"/>
      <c r="D34" s="210"/>
      <c r="E34" s="210"/>
      <c r="F34" s="209"/>
    </row>
    <row r="35" spans="1:6" ht="15">
      <c r="A35" s="209"/>
      <c r="B35" s="209"/>
      <c r="C35" s="210"/>
      <c r="D35" s="210"/>
      <c r="E35" s="210"/>
      <c r="F35" s="209"/>
    </row>
    <row r="36" spans="1:6" ht="15">
      <c r="A36" s="209"/>
      <c r="B36" s="209"/>
      <c r="C36" s="210"/>
      <c r="D36" s="210"/>
      <c r="E36" s="210"/>
      <c r="F36" s="209"/>
    </row>
    <row r="37" spans="1:6" ht="15">
      <c r="A37" s="209"/>
      <c r="B37" s="209"/>
      <c r="C37" s="210"/>
      <c r="D37" s="210"/>
      <c r="E37" s="210"/>
      <c r="F37" s="209"/>
    </row>
    <row r="38" spans="1:6" ht="15">
      <c r="A38" s="209"/>
      <c r="B38" s="209"/>
      <c r="C38" s="210"/>
      <c r="D38" s="210"/>
      <c r="E38" s="210"/>
      <c r="F38" s="209"/>
    </row>
    <row r="39" spans="1:6" ht="15">
      <c r="A39" s="209"/>
      <c r="B39" s="209"/>
      <c r="C39" s="210"/>
      <c r="D39" s="210"/>
      <c r="E39" s="210"/>
      <c r="F39" s="209"/>
    </row>
    <row r="40" spans="1:6" ht="15">
      <c r="A40" s="209"/>
      <c r="B40" s="209"/>
      <c r="C40" s="210"/>
      <c r="D40" s="210"/>
      <c r="E40" s="210"/>
      <c r="F40" s="209"/>
    </row>
    <row r="41" spans="1:6" ht="15">
      <c r="A41" s="209"/>
      <c r="B41" s="209"/>
      <c r="C41" s="210"/>
      <c r="D41" s="210"/>
      <c r="E41" s="210"/>
      <c r="F41" s="209"/>
    </row>
    <row r="42" spans="1:6" ht="15">
      <c r="A42" s="209"/>
      <c r="B42" s="209"/>
      <c r="C42" s="210"/>
      <c r="D42" s="210"/>
      <c r="E42" s="210"/>
      <c r="F42" s="209"/>
    </row>
    <row r="43" spans="1:6" ht="15">
      <c r="A43" s="209"/>
      <c r="B43" s="209"/>
      <c r="C43" s="210"/>
      <c r="D43" s="210"/>
      <c r="E43" s="210"/>
      <c r="F43" s="209"/>
    </row>
    <row r="44" spans="1:6" ht="15">
      <c r="A44" s="209"/>
      <c r="B44" s="209"/>
      <c r="C44" s="210"/>
      <c r="D44" s="210"/>
      <c r="E44" s="210"/>
      <c r="F44" s="209"/>
    </row>
    <row r="45" spans="1:6" ht="15">
      <c r="A45" s="209"/>
      <c r="B45" s="209"/>
      <c r="C45" s="210"/>
      <c r="D45" s="210"/>
      <c r="E45" s="210"/>
      <c r="F45" s="209"/>
    </row>
    <row r="46" spans="1:6" ht="15">
      <c r="A46" s="209"/>
      <c r="B46" s="209"/>
      <c r="C46" s="210"/>
      <c r="D46" s="210"/>
      <c r="E46" s="210"/>
      <c r="F46" s="209"/>
    </row>
    <row r="47" spans="1:6" ht="15">
      <c r="A47" s="209"/>
      <c r="B47" s="209"/>
      <c r="C47" s="210"/>
      <c r="D47" s="210"/>
      <c r="E47" s="210"/>
      <c r="F47" s="209"/>
    </row>
    <row r="48" spans="1:6" ht="15">
      <c r="A48" s="209"/>
      <c r="B48" s="209"/>
      <c r="C48" s="210"/>
      <c r="D48" s="210"/>
      <c r="E48" s="210"/>
      <c r="F48" s="209"/>
    </row>
    <row r="49" spans="1:6" ht="15">
      <c r="A49" s="209"/>
      <c r="B49" s="209"/>
      <c r="C49" s="210"/>
      <c r="D49" s="210"/>
      <c r="E49" s="210"/>
      <c r="F49" s="209"/>
    </row>
    <row r="50" spans="1:6" ht="15">
      <c r="A50" s="209"/>
      <c r="B50" s="209"/>
      <c r="C50" s="210"/>
      <c r="D50" s="210"/>
      <c r="E50" s="210"/>
      <c r="F50" s="209"/>
    </row>
    <row r="51" spans="1:6" ht="15">
      <c r="A51" s="209"/>
      <c r="B51" s="209"/>
      <c r="C51" s="210"/>
      <c r="D51" s="210"/>
      <c r="E51" s="210"/>
      <c r="F51" s="209"/>
    </row>
    <row r="52" spans="1:6" ht="15">
      <c r="A52" s="209"/>
      <c r="B52" s="209"/>
      <c r="C52" s="210"/>
      <c r="D52" s="210"/>
      <c r="E52" s="210"/>
      <c r="F52" s="209"/>
    </row>
    <row r="53" spans="1:6" ht="15">
      <c r="A53" s="209"/>
      <c r="B53" s="209"/>
      <c r="C53" s="210"/>
      <c r="D53" s="210"/>
      <c r="E53" s="210"/>
      <c r="F53" s="209"/>
    </row>
    <row r="54" spans="1:6" ht="15">
      <c r="A54" s="209"/>
      <c r="B54" s="209"/>
      <c r="C54" s="210"/>
      <c r="D54" s="210"/>
      <c r="E54" s="210"/>
      <c r="F54" s="209"/>
    </row>
    <row r="55" spans="1:6" ht="15">
      <c r="A55" s="209"/>
      <c r="B55" s="209"/>
      <c r="C55" s="210"/>
      <c r="D55" s="210"/>
      <c r="E55" s="210"/>
      <c r="F55" s="209"/>
    </row>
    <row r="56" spans="1:6" ht="15">
      <c r="A56" s="209"/>
      <c r="B56" s="209"/>
      <c r="C56" s="210"/>
      <c r="D56" s="210"/>
      <c r="E56" s="210"/>
      <c r="F56" s="209"/>
    </row>
    <row r="57" spans="1:6" ht="15">
      <c r="A57" s="209"/>
      <c r="B57" s="209"/>
      <c r="C57" s="210"/>
      <c r="D57" s="210"/>
      <c r="E57" s="210"/>
      <c r="F57" s="209"/>
    </row>
    <row r="58" spans="1:6" ht="15">
      <c r="A58" s="209"/>
      <c r="B58" s="209"/>
      <c r="C58" s="210"/>
      <c r="D58" s="210"/>
      <c r="E58" s="210"/>
      <c r="F58" s="209"/>
    </row>
    <row r="59" spans="1:6" ht="15">
      <c r="A59" s="209"/>
      <c r="B59" s="209"/>
      <c r="C59" s="210"/>
      <c r="D59" s="210"/>
      <c r="E59" s="210"/>
      <c r="F59" s="209"/>
    </row>
    <row r="60" spans="1:6" ht="15">
      <c r="A60" s="209"/>
      <c r="B60" s="209"/>
      <c r="C60" s="210"/>
      <c r="D60" s="210"/>
      <c r="E60" s="210"/>
      <c r="F60" s="209"/>
    </row>
    <row r="61" spans="1:6" ht="15">
      <c r="A61" s="209"/>
      <c r="B61" s="209"/>
      <c r="C61" s="210"/>
      <c r="D61" s="210"/>
      <c r="E61" s="210"/>
      <c r="F61" s="209"/>
    </row>
    <row r="62" spans="1:6" ht="15">
      <c r="A62" s="209"/>
      <c r="B62" s="209"/>
      <c r="C62" s="210"/>
      <c r="D62" s="210"/>
      <c r="E62" s="210"/>
      <c r="F62" s="209"/>
    </row>
    <row r="63" spans="1:6" ht="15">
      <c r="A63" s="209"/>
      <c r="B63" s="209"/>
      <c r="C63" s="210"/>
      <c r="D63" s="210"/>
      <c r="E63" s="210"/>
      <c r="F63" s="209"/>
    </row>
    <row r="64" spans="1:6" ht="15">
      <c r="A64" s="209"/>
      <c r="B64" s="209"/>
      <c r="C64" s="210"/>
      <c r="D64" s="210"/>
      <c r="E64" s="210"/>
      <c r="F64" s="209"/>
    </row>
    <row r="65" spans="1:6" ht="15">
      <c r="A65" s="209"/>
      <c r="B65" s="209"/>
      <c r="C65" s="210"/>
      <c r="D65" s="210"/>
      <c r="E65" s="210"/>
      <c r="F65" s="209"/>
    </row>
    <row r="66" spans="1:6" ht="15">
      <c r="A66" s="209"/>
      <c r="B66" s="209"/>
      <c r="C66" s="210"/>
      <c r="D66" s="210"/>
      <c r="E66" s="210"/>
      <c r="F66" s="209"/>
    </row>
    <row r="67" spans="1:6" ht="15">
      <c r="A67" s="209"/>
      <c r="B67" s="209"/>
      <c r="C67" s="210"/>
      <c r="D67" s="210"/>
      <c r="E67" s="210"/>
      <c r="F67" s="209"/>
    </row>
    <row r="68" spans="1:6" ht="15">
      <c r="A68" s="209"/>
      <c r="B68" s="209"/>
      <c r="C68" s="210"/>
      <c r="D68" s="210"/>
      <c r="E68" s="210"/>
      <c r="F68" s="209"/>
    </row>
    <row r="69" spans="1:6" ht="15">
      <c r="A69" s="209"/>
      <c r="B69" s="209"/>
      <c r="C69" s="210"/>
      <c r="D69" s="210"/>
      <c r="E69" s="210"/>
      <c r="F69" s="209"/>
    </row>
    <row r="70" spans="1:6" ht="15">
      <c r="A70" s="209"/>
      <c r="B70" s="209"/>
      <c r="C70" s="210"/>
      <c r="D70" s="210"/>
      <c r="E70" s="210"/>
      <c r="F70" s="209"/>
    </row>
    <row r="71" spans="1:6" ht="15">
      <c r="A71" s="209"/>
      <c r="B71" s="209"/>
      <c r="C71" s="210"/>
      <c r="D71" s="210"/>
      <c r="E71" s="210"/>
      <c r="F71" s="209"/>
    </row>
    <row r="72" spans="1:6" ht="15">
      <c r="A72" s="209"/>
      <c r="B72" s="209"/>
      <c r="C72" s="210"/>
      <c r="D72" s="210"/>
      <c r="E72" s="210"/>
      <c r="F72" s="209"/>
    </row>
    <row r="73" spans="1:6" ht="15.75">
      <c r="A73" s="183"/>
      <c r="B73" s="183"/>
      <c r="C73" s="183"/>
      <c r="D73" s="183"/>
      <c r="E73" s="183"/>
      <c r="F73" s="183"/>
    </row>
    <row r="74" spans="1:6" ht="15.75">
      <c r="A74" s="183"/>
      <c r="B74" s="183"/>
      <c r="C74" s="183"/>
      <c r="D74" s="183"/>
      <c r="E74" s="183"/>
      <c r="F74" s="183"/>
    </row>
    <row r="75" spans="1:6" ht="15.75">
      <c r="A75" s="183"/>
      <c r="B75" s="183"/>
      <c r="C75" s="183"/>
      <c r="D75" s="183"/>
      <c r="E75" s="183"/>
      <c r="F75" s="183"/>
    </row>
    <row r="76" spans="1:6" ht="15.75">
      <c r="A76" s="183"/>
      <c r="B76" s="183"/>
      <c r="C76" s="183"/>
      <c r="D76" s="183"/>
      <c r="E76" s="183"/>
      <c r="F76" s="183"/>
    </row>
  </sheetData>
  <pageMargins left="0.78740157480314998" right="0.47244094488188998" top="0.74803149606299202" bottom="0.511811023622047" header="0.43307086614173201" footer="0.23622047244094499"/>
  <pageSetup paperSize="9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F1C2-9567-4B07-B1D2-CB38C639C688}">
  <sheetPr>
    <pageSetUpPr fitToPage="1"/>
  </sheetPr>
  <dimension ref="A1:J200"/>
  <sheetViews>
    <sheetView topLeftCell="A19" zoomScale="110" zoomScaleNormal="110" workbookViewId="0">
      <selection activeCell="F11" sqref="F11"/>
    </sheetView>
  </sheetViews>
  <sheetFormatPr defaultColWidth="9" defaultRowHeight="15"/>
  <cols>
    <col min="1" max="1" width="1.5703125" style="184" customWidth="1"/>
    <col min="2" max="2" width="35" style="184" customWidth="1"/>
    <col min="3" max="5" width="9.85546875" style="184" customWidth="1"/>
    <col min="6" max="6" width="13.140625" style="184" customWidth="1"/>
    <col min="7" max="7" width="12.140625" style="184" customWidth="1"/>
    <col min="8" max="16384" width="9" style="184"/>
  </cols>
  <sheetData>
    <row r="1" spans="1:7" ht="20.25" customHeight="1">
      <c r="A1" s="222" t="s">
        <v>233</v>
      </c>
      <c r="B1" s="223"/>
      <c r="C1" s="223"/>
      <c r="D1" s="223"/>
      <c r="E1" s="223"/>
      <c r="F1" s="223"/>
      <c r="G1" s="223"/>
    </row>
    <row r="2" spans="1:7" ht="4.1500000000000004" customHeight="1">
      <c r="A2" s="224"/>
      <c r="B2" s="223"/>
      <c r="C2" s="223"/>
      <c r="D2" s="223"/>
      <c r="E2" s="223"/>
      <c r="F2" s="223"/>
      <c r="G2" s="223"/>
    </row>
    <row r="3" spans="1:7" ht="15" customHeight="1">
      <c r="A3" s="225"/>
      <c r="B3" s="226"/>
      <c r="C3" s="227"/>
      <c r="D3" s="227"/>
      <c r="E3" s="227"/>
      <c r="F3" s="226"/>
      <c r="G3" s="228" t="s">
        <v>234</v>
      </c>
    </row>
    <row r="4" spans="1:7" ht="14.45" customHeight="1">
      <c r="A4" s="229"/>
      <c r="B4" s="229"/>
      <c r="C4" s="230" t="s">
        <v>22</v>
      </c>
      <c r="D4" s="230" t="s">
        <v>23</v>
      </c>
      <c r="E4" s="230" t="s">
        <v>24</v>
      </c>
      <c r="F4" s="231" t="s">
        <v>217</v>
      </c>
      <c r="G4" s="231" t="s">
        <v>180</v>
      </c>
    </row>
    <row r="5" spans="1:7" ht="14.45" customHeight="1">
      <c r="A5" s="232"/>
      <c r="B5" s="232"/>
      <c r="C5" s="233" t="s">
        <v>77</v>
      </c>
      <c r="D5" s="233" t="s">
        <v>77</v>
      </c>
      <c r="E5" s="233" t="s">
        <v>77</v>
      </c>
      <c r="F5" s="230" t="s">
        <v>181</v>
      </c>
      <c r="G5" s="230" t="s">
        <v>181</v>
      </c>
    </row>
    <row r="6" spans="1:7" ht="14.45" customHeight="1">
      <c r="A6" s="232"/>
      <c r="B6" s="232"/>
      <c r="C6" s="233">
        <v>2025</v>
      </c>
      <c r="D6" s="233">
        <v>2025</v>
      </c>
      <c r="E6" s="233">
        <v>2025</v>
      </c>
      <c r="F6" s="233" t="s">
        <v>218</v>
      </c>
      <c r="G6" s="233" t="s">
        <v>218</v>
      </c>
    </row>
    <row r="7" spans="1:7" ht="14.45" customHeight="1">
      <c r="A7" s="232"/>
      <c r="B7" s="232"/>
      <c r="C7" s="234"/>
      <c r="D7" s="234"/>
      <c r="E7" s="234"/>
      <c r="F7" s="234" t="s">
        <v>210</v>
      </c>
      <c r="G7" s="234" t="s">
        <v>210</v>
      </c>
    </row>
    <row r="8" spans="1:7" ht="3.6" customHeight="1">
      <c r="A8" s="232"/>
      <c r="B8" s="232"/>
      <c r="C8" s="235"/>
      <c r="D8" s="235"/>
      <c r="E8" s="235"/>
      <c r="F8" s="236"/>
      <c r="G8" s="237"/>
    </row>
    <row r="9" spans="1:7" ht="15" customHeight="1">
      <c r="A9" s="238" t="s">
        <v>184</v>
      </c>
      <c r="B9" s="225"/>
      <c r="C9" s="239">
        <v>1462867</v>
      </c>
      <c r="D9" s="239">
        <v>1562588</v>
      </c>
      <c r="E9" s="239">
        <v>12227196</v>
      </c>
      <c r="F9" s="240">
        <v>135.70823114174351</v>
      </c>
      <c r="G9" s="240">
        <v>122.47155088647969</v>
      </c>
    </row>
    <row r="10" spans="1:7" ht="15" customHeight="1">
      <c r="A10" s="241" t="s">
        <v>235</v>
      </c>
      <c r="B10" s="241"/>
      <c r="C10" s="242"/>
      <c r="D10" s="242"/>
      <c r="E10" s="242"/>
      <c r="F10" s="243"/>
      <c r="G10" s="243"/>
    </row>
    <row r="11" spans="1:7" ht="15" customHeight="1">
      <c r="A11" s="225"/>
      <c r="B11" s="244" t="s">
        <v>236</v>
      </c>
      <c r="C11" s="245">
        <v>1243812</v>
      </c>
      <c r="D11" s="245">
        <v>1325341</v>
      </c>
      <c r="E11" s="245">
        <v>10410620</v>
      </c>
      <c r="F11" s="246">
        <v>132.26797683061679</v>
      </c>
      <c r="G11" s="246">
        <v>123.80906283072504</v>
      </c>
    </row>
    <row r="12" spans="1:7" ht="15" customHeight="1">
      <c r="A12" s="225"/>
      <c r="B12" s="244" t="s">
        <v>225</v>
      </c>
      <c r="C12" s="245">
        <v>5914</v>
      </c>
      <c r="D12" s="245">
        <v>2518</v>
      </c>
      <c r="E12" s="245">
        <v>183873</v>
      </c>
      <c r="F12" s="246">
        <v>362.82420749279538</v>
      </c>
      <c r="G12" s="246">
        <v>111.07265181856074</v>
      </c>
    </row>
    <row r="13" spans="1:7" ht="15" customHeight="1">
      <c r="A13" s="225"/>
      <c r="B13" s="244" t="s">
        <v>227</v>
      </c>
      <c r="C13" s="245">
        <v>213141</v>
      </c>
      <c r="D13" s="245">
        <v>234729</v>
      </c>
      <c r="E13" s="245">
        <v>1632703</v>
      </c>
      <c r="F13" s="246">
        <v>157.82647284267713</v>
      </c>
      <c r="G13" s="246">
        <v>115.83142433299682</v>
      </c>
    </row>
    <row r="14" spans="1:7" ht="15" customHeight="1">
      <c r="A14" s="247" t="s">
        <v>237</v>
      </c>
      <c r="B14" s="247"/>
      <c r="C14" s="248"/>
      <c r="D14" s="248"/>
      <c r="E14" s="248"/>
      <c r="F14" s="249"/>
      <c r="G14" s="249"/>
    </row>
    <row r="15" spans="1:7" ht="15" customHeight="1">
      <c r="A15" s="225"/>
      <c r="B15" s="250" t="s">
        <v>238</v>
      </c>
      <c r="C15" s="239">
        <v>1195406</v>
      </c>
      <c r="D15" s="239">
        <v>1225257</v>
      </c>
      <c r="E15" s="239">
        <v>9637422.9000000004</v>
      </c>
      <c r="F15" s="240">
        <v>131.9378848278491</v>
      </c>
      <c r="G15" s="240">
        <v>122.41692381306714</v>
      </c>
    </row>
    <row r="16" spans="1:7" ht="15" customHeight="1">
      <c r="A16" s="225"/>
      <c r="B16" s="251" t="s">
        <v>239</v>
      </c>
      <c r="C16" s="245">
        <v>364801</v>
      </c>
      <c r="D16" s="245">
        <v>391051</v>
      </c>
      <c r="E16" s="245">
        <v>3118090.7</v>
      </c>
      <c r="F16" s="246">
        <v>156.88352015148718</v>
      </c>
      <c r="G16" s="246">
        <v>145.68080199667531</v>
      </c>
    </row>
    <row r="17" spans="1:7" ht="15" customHeight="1">
      <c r="A17" s="225"/>
      <c r="B17" s="251" t="s">
        <v>240</v>
      </c>
      <c r="C17" s="252">
        <v>303130</v>
      </c>
      <c r="D17" s="252">
        <v>317070</v>
      </c>
      <c r="E17" s="252">
        <v>2525043</v>
      </c>
      <c r="F17" s="253">
        <v>102.56153141992101</v>
      </c>
      <c r="G17" s="253">
        <v>97.460775118398345</v>
      </c>
    </row>
    <row r="18" spans="1:7" ht="15" customHeight="1">
      <c r="A18" s="225"/>
      <c r="B18" s="251" t="s">
        <v>241</v>
      </c>
      <c r="C18" s="252">
        <v>51162</v>
      </c>
      <c r="D18" s="252">
        <v>55947</v>
      </c>
      <c r="E18" s="252">
        <v>449265</v>
      </c>
      <c r="F18" s="253">
        <v>125.52895510332294</v>
      </c>
      <c r="G18" s="253">
        <v>118.16326369582886</v>
      </c>
    </row>
    <row r="19" spans="1:7" ht="15" customHeight="1">
      <c r="A19" s="225"/>
      <c r="B19" s="251" t="s">
        <v>242</v>
      </c>
      <c r="C19" s="252">
        <v>97089</v>
      </c>
      <c r="D19" s="252">
        <v>106653</v>
      </c>
      <c r="E19" s="252">
        <v>736639</v>
      </c>
      <c r="F19" s="253">
        <v>105.11309318484206</v>
      </c>
      <c r="G19" s="253">
        <v>100.64845544362359</v>
      </c>
    </row>
    <row r="20" spans="1:7" ht="15" customHeight="1">
      <c r="A20" s="225"/>
      <c r="B20" s="251" t="s">
        <v>243</v>
      </c>
      <c r="C20" s="252">
        <v>46352</v>
      </c>
      <c r="D20" s="252">
        <v>36933</v>
      </c>
      <c r="E20" s="252">
        <v>303802</v>
      </c>
      <c r="F20" s="253">
        <v>134.25787923952163</v>
      </c>
      <c r="G20" s="253">
        <v>108.07766741611407</v>
      </c>
    </row>
    <row r="21" spans="1:7" ht="15" customHeight="1">
      <c r="A21" s="225"/>
      <c r="B21" s="251" t="s">
        <v>244</v>
      </c>
      <c r="C21" s="252">
        <v>30154</v>
      </c>
      <c r="D21" s="252">
        <v>29125</v>
      </c>
      <c r="E21" s="252">
        <v>265096</v>
      </c>
      <c r="F21" s="253">
        <v>139.17427247097052</v>
      </c>
      <c r="G21" s="253">
        <v>107.10084033613445</v>
      </c>
    </row>
    <row r="22" spans="1:7" ht="15" customHeight="1">
      <c r="A22" s="225"/>
      <c r="B22" s="251" t="s">
        <v>245</v>
      </c>
      <c r="C22" s="252">
        <v>40364</v>
      </c>
      <c r="D22" s="252">
        <v>26997</v>
      </c>
      <c r="E22" s="252">
        <v>206006</v>
      </c>
      <c r="F22" s="253">
        <v>132.55265871262336</v>
      </c>
      <c r="G22" s="253">
        <v>108.09480582855404</v>
      </c>
    </row>
    <row r="23" spans="1:7" ht="15" customHeight="1">
      <c r="A23" s="225"/>
      <c r="B23" s="251" t="s">
        <v>246</v>
      </c>
      <c r="C23" s="252">
        <v>35753</v>
      </c>
      <c r="D23" s="252">
        <v>41151</v>
      </c>
      <c r="E23" s="252">
        <v>401422.2</v>
      </c>
      <c r="F23" s="253">
        <v>144.22753399691575</v>
      </c>
      <c r="G23" s="253">
        <v>154.37949719832477</v>
      </c>
    </row>
    <row r="24" spans="1:7" ht="15" customHeight="1">
      <c r="A24" s="225"/>
      <c r="B24" s="251" t="s">
        <v>247</v>
      </c>
      <c r="C24" s="252">
        <v>42104</v>
      </c>
      <c r="D24" s="252">
        <v>37034</v>
      </c>
      <c r="E24" s="252">
        <v>254667</v>
      </c>
      <c r="F24" s="253">
        <v>169.95089715937772</v>
      </c>
      <c r="G24" s="253">
        <v>199.14840707549385</v>
      </c>
    </row>
    <row r="25" spans="1:7" ht="15" customHeight="1">
      <c r="A25" s="225"/>
      <c r="B25" s="251" t="s">
        <v>248</v>
      </c>
      <c r="C25" s="252">
        <v>13786</v>
      </c>
      <c r="D25" s="252">
        <v>25906</v>
      </c>
      <c r="E25" s="252">
        <v>114589</v>
      </c>
      <c r="F25" s="253">
        <v>160.39873692031452</v>
      </c>
      <c r="G25" s="253">
        <v>140.70185778661852</v>
      </c>
    </row>
    <row r="26" spans="1:7" ht="15" customHeight="1">
      <c r="A26" s="225"/>
      <c r="B26" s="251" t="s">
        <v>249</v>
      </c>
      <c r="C26" s="252">
        <v>16879</v>
      </c>
      <c r="D26" s="252">
        <v>16784</v>
      </c>
      <c r="E26" s="252">
        <v>123648</v>
      </c>
      <c r="F26" s="253">
        <v>119.29774681924799</v>
      </c>
      <c r="G26" s="253">
        <v>112.22567118662528</v>
      </c>
    </row>
    <row r="27" spans="1:7" ht="15" customHeight="1">
      <c r="A27" s="225"/>
      <c r="B27" s="251" t="s">
        <v>250</v>
      </c>
      <c r="C27" s="254">
        <v>65993</v>
      </c>
      <c r="D27" s="254">
        <v>49599</v>
      </c>
      <c r="E27" s="254">
        <v>387117</v>
      </c>
      <c r="F27" s="255">
        <v>153.33889816360602</v>
      </c>
      <c r="G27" s="255">
        <v>142.45440628817875</v>
      </c>
    </row>
    <row r="28" spans="1:7" ht="15" customHeight="1">
      <c r="A28" s="225"/>
      <c r="B28" s="251" t="s">
        <v>251</v>
      </c>
      <c r="C28" s="245">
        <v>87839</v>
      </c>
      <c r="D28" s="245">
        <v>91007</v>
      </c>
      <c r="E28" s="245">
        <v>752038</v>
      </c>
      <c r="F28" s="246">
        <v>214.01829598099852</v>
      </c>
      <c r="G28" s="246">
        <v>163.88840460956433</v>
      </c>
    </row>
    <row r="29" spans="1:7" ht="15" customHeight="1">
      <c r="A29" s="225"/>
      <c r="B29" s="250" t="s">
        <v>252</v>
      </c>
      <c r="C29" s="256">
        <v>85919</v>
      </c>
      <c r="D29" s="256">
        <v>87242</v>
      </c>
      <c r="E29" s="256">
        <v>670028</v>
      </c>
      <c r="F29" s="257">
        <v>118.84535745422842</v>
      </c>
      <c r="G29" s="257">
        <v>109.79691696586443</v>
      </c>
    </row>
    <row r="30" spans="1:7" ht="15" customHeight="1">
      <c r="A30" s="225"/>
      <c r="B30" s="251" t="s">
        <v>253</v>
      </c>
      <c r="C30" s="252">
        <v>73715</v>
      </c>
      <c r="D30" s="252">
        <v>72509</v>
      </c>
      <c r="E30" s="252">
        <v>521641</v>
      </c>
      <c r="F30" s="253">
        <v>115.27662957074722</v>
      </c>
      <c r="G30" s="253">
        <v>109.12991631799163</v>
      </c>
    </row>
    <row r="31" spans="1:7" ht="15" customHeight="1">
      <c r="A31" s="225"/>
      <c r="B31" s="251" t="s">
        <v>254</v>
      </c>
      <c r="C31" s="252">
        <v>7441</v>
      </c>
      <c r="D31" s="252">
        <v>10003</v>
      </c>
      <c r="E31" s="252">
        <v>103003</v>
      </c>
      <c r="F31" s="253">
        <v>147.9296066252588</v>
      </c>
      <c r="G31" s="253">
        <v>112.34934173929167</v>
      </c>
    </row>
    <row r="32" spans="1:7" ht="15" customHeight="1">
      <c r="A32" s="225"/>
      <c r="B32" s="251" t="s">
        <v>255</v>
      </c>
      <c r="C32" s="245">
        <v>4763</v>
      </c>
      <c r="D32" s="245">
        <v>4730</v>
      </c>
      <c r="E32" s="245">
        <v>45384</v>
      </c>
      <c r="F32" s="246">
        <v>126.26801922050186</v>
      </c>
      <c r="G32" s="246">
        <v>111.88797396578079</v>
      </c>
    </row>
    <row r="33" spans="1:10" ht="15" customHeight="1">
      <c r="A33" s="225"/>
      <c r="B33" s="250" t="s">
        <v>256</v>
      </c>
      <c r="C33" s="256">
        <v>138750</v>
      </c>
      <c r="D33" s="256">
        <v>191942</v>
      </c>
      <c r="E33" s="256">
        <v>1532164</v>
      </c>
      <c r="F33" s="257">
        <v>186.19960420627837</v>
      </c>
      <c r="G33" s="257">
        <v>131.77626922140774</v>
      </c>
      <c r="H33" s="258"/>
      <c r="I33" s="258"/>
      <c r="J33" s="258"/>
    </row>
    <row r="34" spans="1:10" ht="15" customHeight="1">
      <c r="A34" s="225"/>
      <c r="B34" s="251" t="s">
        <v>257</v>
      </c>
      <c r="C34" s="252">
        <v>49718</v>
      </c>
      <c r="D34" s="252">
        <v>55289</v>
      </c>
      <c r="E34" s="252">
        <v>315138</v>
      </c>
      <c r="F34" s="253">
        <v>388.72952260423256</v>
      </c>
      <c r="G34" s="253">
        <v>256.5977820118228</v>
      </c>
    </row>
    <row r="35" spans="1:10" ht="15" customHeight="1">
      <c r="A35" s="225"/>
      <c r="B35" s="251" t="s">
        <v>258</v>
      </c>
      <c r="C35" s="252">
        <v>20319</v>
      </c>
      <c r="D35" s="252">
        <v>26248</v>
      </c>
      <c r="E35" s="252">
        <v>225614</v>
      </c>
      <c r="F35" s="253">
        <v>151.25043217701969</v>
      </c>
      <c r="G35" s="253">
        <v>122.1866588680022</v>
      </c>
    </row>
    <row r="36" spans="1:10" ht="15" customHeight="1">
      <c r="A36" s="225"/>
      <c r="B36" s="251" t="s">
        <v>259</v>
      </c>
      <c r="C36" s="252">
        <v>13590</v>
      </c>
      <c r="D36" s="252">
        <v>24534</v>
      </c>
      <c r="E36" s="252">
        <v>198288</v>
      </c>
      <c r="F36" s="253">
        <v>160.6364172068356</v>
      </c>
      <c r="G36" s="253">
        <v>123.07233963318127</v>
      </c>
    </row>
    <row r="37" spans="1:10" ht="15" customHeight="1">
      <c r="A37" s="225"/>
      <c r="B37" s="251" t="s">
        <v>260</v>
      </c>
      <c r="C37" s="252">
        <v>11396</v>
      </c>
      <c r="D37" s="252">
        <v>16081</v>
      </c>
      <c r="E37" s="252">
        <v>166931</v>
      </c>
      <c r="F37" s="253">
        <v>138.78484508500907</v>
      </c>
      <c r="G37" s="253">
        <v>117.16758380594081</v>
      </c>
    </row>
    <row r="38" spans="1:10" ht="15" customHeight="1">
      <c r="A38" s="225"/>
      <c r="B38" s="251" t="s">
        <v>261</v>
      </c>
      <c r="C38" s="252">
        <v>5152</v>
      </c>
      <c r="D38" s="252">
        <v>8340</v>
      </c>
      <c r="E38" s="252">
        <v>44376</v>
      </c>
      <c r="F38" s="253">
        <v>132.57033857892228</v>
      </c>
      <c r="G38" s="253">
        <v>114.91014552799213</v>
      </c>
    </row>
    <row r="39" spans="1:10" ht="15" customHeight="1">
      <c r="A39" s="225"/>
      <c r="B39" s="251" t="s">
        <v>262</v>
      </c>
      <c r="C39" s="252">
        <v>3878</v>
      </c>
      <c r="D39" s="252">
        <v>11913</v>
      </c>
      <c r="E39" s="252">
        <v>54410</v>
      </c>
      <c r="F39" s="253">
        <v>207.43513842939228</v>
      </c>
      <c r="G39" s="253">
        <v>122.59198341707412</v>
      </c>
    </row>
    <row r="40" spans="1:10" ht="15" customHeight="1">
      <c r="A40" s="225"/>
      <c r="B40" s="251" t="s">
        <v>263</v>
      </c>
      <c r="C40" s="252">
        <v>3866</v>
      </c>
      <c r="D40" s="252">
        <v>5491</v>
      </c>
      <c r="E40" s="252">
        <v>56799</v>
      </c>
      <c r="F40" s="253">
        <v>148.04529522782423</v>
      </c>
      <c r="G40" s="253">
        <v>125.94292556375973</v>
      </c>
    </row>
    <row r="41" spans="1:10" ht="15" customHeight="1">
      <c r="A41" s="225"/>
      <c r="B41" s="251" t="s">
        <v>264</v>
      </c>
      <c r="C41" s="252">
        <v>2236</v>
      </c>
      <c r="D41" s="252">
        <v>2616</v>
      </c>
      <c r="E41" s="252">
        <v>24030</v>
      </c>
      <c r="F41" s="253">
        <v>104.51458250099881</v>
      </c>
      <c r="G41" s="253">
        <v>116.5034422573451</v>
      </c>
    </row>
    <row r="42" spans="1:10" ht="15" customHeight="1">
      <c r="A42" s="225"/>
      <c r="B42" s="251" t="s">
        <v>265</v>
      </c>
      <c r="C42" s="252">
        <v>1301</v>
      </c>
      <c r="D42" s="252">
        <v>4536</v>
      </c>
      <c r="E42" s="252">
        <v>27720</v>
      </c>
      <c r="F42" s="253">
        <v>140.12974976830398</v>
      </c>
      <c r="G42" s="253">
        <v>114.14453366275478</v>
      </c>
    </row>
    <row r="43" spans="1:10" ht="15" customHeight="1">
      <c r="A43" s="225"/>
      <c r="B43" s="251" t="s">
        <v>266</v>
      </c>
      <c r="C43" s="252">
        <v>1441</v>
      </c>
      <c r="D43" s="252">
        <v>3664</v>
      </c>
      <c r="E43" s="252">
        <v>23155</v>
      </c>
      <c r="F43" s="253">
        <v>159.02777777777777</v>
      </c>
      <c r="G43" s="253">
        <v>115.80974292287686</v>
      </c>
    </row>
    <row r="44" spans="1:10" ht="15" customHeight="1">
      <c r="A44" s="225"/>
      <c r="B44" s="251" t="s">
        <v>267</v>
      </c>
      <c r="C44" s="252">
        <v>1290</v>
      </c>
      <c r="D44" s="252">
        <v>4878</v>
      </c>
      <c r="E44" s="252">
        <v>21175</v>
      </c>
      <c r="F44" s="253">
        <v>149.128706817487</v>
      </c>
      <c r="G44" s="253">
        <v>117.97314613627501</v>
      </c>
    </row>
    <row r="45" spans="1:10" ht="15" customHeight="1">
      <c r="A45" s="225"/>
      <c r="B45" s="251" t="s">
        <v>268</v>
      </c>
      <c r="C45" s="252">
        <v>2767</v>
      </c>
      <c r="D45" s="252">
        <v>5197</v>
      </c>
      <c r="E45" s="252">
        <v>22044</v>
      </c>
      <c r="F45" s="253">
        <v>112.1009490940466</v>
      </c>
      <c r="G45" s="253">
        <v>121.06766256590508</v>
      </c>
    </row>
    <row r="46" spans="1:10" ht="15" customHeight="1">
      <c r="A46" s="225"/>
      <c r="B46" s="259" t="s">
        <v>269</v>
      </c>
      <c r="C46" s="248">
        <v>761</v>
      </c>
      <c r="D46" s="248">
        <v>1506</v>
      </c>
      <c r="E46" s="248">
        <v>16522</v>
      </c>
      <c r="F46" s="249">
        <v>139.31544865864939</v>
      </c>
      <c r="G46" s="249">
        <v>93.481950888310521</v>
      </c>
    </row>
    <row r="47" spans="1:10" ht="15" customHeight="1">
      <c r="A47" s="225"/>
      <c r="B47" s="251" t="s">
        <v>270</v>
      </c>
      <c r="C47" s="252">
        <v>1406</v>
      </c>
      <c r="D47" s="252">
        <v>2128</v>
      </c>
      <c r="E47" s="252">
        <v>40441</v>
      </c>
      <c r="F47" s="253">
        <v>153.31412103746399</v>
      </c>
      <c r="G47" s="253">
        <v>144.78894418388171</v>
      </c>
    </row>
    <row r="48" spans="1:10" ht="15" customHeight="1">
      <c r="A48" s="225"/>
      <c r="B48" s="251" t="s">
        <v>271</v>
      </c>
      <c r="C48" s="260">
        <v>19629</v>
      </c>
      <c r="D48" s="260">
        <v>19521</v>
      </c>
      <c r="E48" s="260">
        <v>295521</v>
      </c>
      <c r="F48" s="261">
        <v>186.19801602441817</v>
      </c>
      <c r="G48" s="261">
        <v>106.73020665544664</v>
      </c>
    </row>
    <row r="49" spans="1:7" ht="15" customHeight="1">
      <c r="A49" s="225"/>
      <c r="B49" s="250" t="s">
        <v>272</v>
      </c>
      <c r="C49" s="256">
        <v>39216</v>
      </c>
      <c r="D49" s="256">
        <v>53273</v>
      </c>
      <c r="E49" s="256">
        <v>357517</v>
      </c>
      <c r="F49" s="257">
        <v>125.67350790280727</v>
      </c>
      <c r="G49" s="257">
        <v>115.70766029199018</v>
      </c>
    </row>
    <row r="50" spans="1:7" ht="15" customHeight="1">
      <c r="A50" s="225"/>
      <c r="B50" s="251" t="s">
        <v>273</v>
      </c>
      <c r="C50" s="252">
        <v>34869</v>
      </c>
      <c r="D50" s="252">
        <v>47701</v>
      </c>
      <c r="E50" s="252">
        <v>323666</v>
      </c>
      <c r="F50" s="253">
        <v>126.01643198689668</v>
      </c>
      <c r="G50" s="253">
        <v>115.07306147118427</v>
      </c>
    </row>
    <row r="51" spans="1:7" ht="15" customHeight="1">
      <c r="A51" s="225"/>
      <c r="B51" s="251" t="s">
        <v>274</v>
      </c>
      <c r="C51" s="252">
        <v>4226</v>
      </c>
      <c r="D51" s="252">
        <v>5409</v>
      </c>
      <c r="E51" s="252">
        <v>32899</v>
      </c>
      <c r="F51" s="253">
        <v>121.90669371196753</v>
      </c>
      <c r="G51" s="253">
        <v>121.55551450212452</v>
      </c>
    </row>
    <row r="52" spans="1:7" ht="15" customHeight="1">
      <c r="A52" s="225"/>
      <c r="B52" s="251" t="s">
        <v>275</v>
      </c>
      <c r="C52" s="245">
        <v>121</v>
      </c>
      <c r="D52" s="245">
        <v>163</v>
      </c>
      <c r="E52" s="245">
        <v>952</v>
      </c>
      <c r="F52" s="246">
        <v>163</v>
      </c>
      <c r="G52" s="246">
        <v>146.9135802469136</v>
      </c>
    </row>
    <row r="53" spans="1:7" ht="15" customHeight="1">
      <c r="A53" s="225"/>
      <c r="B53" s="250" t="s">
        <v>276</v>
      </c>
      <c r="C53" s="256">
        <v>3576</v>
      </c>
      <c r="D53" s="256">
        <v>4874</v>
      </c>
      <c r="E53" s="256">
        <v>30064</v>
      </c>
      <c r="F53" s="257">
        <v>125.36008230452676</v>
      </c>
      <c r="G53" s="257">
        <v>103.12489280691524</v>
      </c>
    </row>
    <row r="54" spans="1:7" ht="18" customHeight="1">
      <c r="A54" s="262"/>
      <c r="B54" s="263"/>
      <c r="C54" s="263"/>
      <c r="D54" s="263"/>
      <c r="E54" s="263"/>
      <c r="F54" s="263"/>
      <c r="G54" s="263"/>
    </row>
    <row r="55" spans="1:7" ht="18" customHeight="1">
      <c r="A55" s="262"/>
      <c r="B55" s="262"/>
      <c r="C55" s="262"/>
      <c r="D55" s="262"/>
      <c r="E55" s="262"/>
      <c r="F55" s="262"/>
      <c r="G55" s="262"/>
    </row>
    <row r="56" spans="1:7" ht="18" customHeight="1">
      <c r="A56" s="262"/>
      <c r="B56" s="263"/>
      <c r="C56" s="263"/>
      <c r="D56" s="263"/>
      <c r="E56" s="263"/>
      <c r="F56" s="263"/>
      <c r="G56" s="263"/>
    </row>
    <row r="57" spans="1:7" ht="18" customHeight="1">
      <c r="A57" s="262"/>
      <c r="B57" s="262"/>
      <c r="C57" s="264"/>
      <c r="D57" s="264"/>
      <c r="E57" s="264"/>
      <c r="F57" s="262"/>
      <c r="G57" s="262"/>
    </row>
    <row r="58" spans="1:7" ht="18" customHeight="1">
      <c r="A58" s="262"/>
      <c r="B58" s="262"/>
      <c r="C58" s="262"/>
      <c r="D58" s="262"/>
      <c r="E58" s="262"/>
      <c r="F58" s="262"/>
      <c r="G58" s="262"/>
    </row>
    <row r="59" spans="1:7" ht="18" customHeight="1">
      <c r="A59" s="262"/>
      <c r="B59" s="262"/>
      <c r="C59" s="262"/>
      <c r="D59" s="262"/>
      <c r="E59" s="262"/>
      <c r="F59" s="262"/>
      <c r="G59" s="265"/>
    </row>
    <row r="60" spans="1:7" ht="18" customHeight="1">
      <c r="A60" s="262"/>
      <c r="B60" s="262"/>
      <c r="C60" s="262"/>
      <c r="D60" s="262"/>
      <c r="E60" s="262"/>
      <c r="F60" s="262"/>
      <c r="G60" s="265"/>
    </row>
    <row r="61" spans="1:7" ht="18" customHeight="1">
      <c r="A61" s="262"/>
      <c r="B61" s="262"/>
      <c r="C61" s="262"/>
      <c r="D61" s="262"/>
      <c r="E61" s="262"/>
      <c r="F61" s="262"/>
      <c r="G61" s="265"/>
    </row>
    <row r="62" spans="1:7">
      <c r="A62" s="262"/>
      <c r="B62" s="262"/>
      <c r="C62" s="262"/>
      <c r="D62" s="262"/>
      <c r="E62" s="262"/>
      <c r="F62" s="262"/>
      <c r="G62" s="265"/>
    </row>
    <row r="63" spans="1:7">
      <c r="A63" s="262"/>
      <c r="B63" s="262"/>
      <c r="C63" s="262"/>
      <c r="D63" s="262"/>
      <c r="E63" s="262"/>
      <c r="F63" s="262"/>
      <c r="G63" s="265"/>
    </row>
    <row r="64" spans="1:7">
      <c r="A64" s="262"/>
      <c r="B64" s="262"/>
      <c r="C64" s="262"/>
      <c r="D64" s="262"/>
      <c r="E64" s="262"/>
      <c r="F64" s="262"/>
      <c r="G64" s="265"/>
    </row>
    <row r="65" spans="1:7">
      <c r="A65" s="262"/>
      <c r="B65" s="262"/>
      <c r="C65" s="262"/>
      <c r="D65" s="262"/>
      <c r="E65" s="262"/>
      <c r="F65" s="262"/>
      <c r="G65" s="265"/>
    </row>
    <row r="66" spans="1:7">
      <c r="A66" s="262"/>
      <c r="B66" s="262"/>
      <c r="C66" s="262"/>
      <c r="D66" s="262"/>
      <c r="E66" s="262"/>
      <c r="F66" s="262"/>
      <c r="G66" s="265"/>
    </row>
    <row r="67" spans="1:7">
      <c r="A67" s="262"/>
      <c r="B67" s="262"/>
      <c r="C67" s="262"/>
      <c r="D67" s="262"/>
      <c r="E67" s="262"/>
      <c r="F67" s="262"/>
      <c r="G67" s="265"/>
    </row>
    <row r="68" spans="1:7">
      <c r="A68" s="262"/>
      <c r="B68" s="262"/>
      <c r="C68" s="262"/>
      <c r="D68" s="262"/>
      <c r="E68" s="262"/>
      <c r="F68" s="262"/>
      <c r="G68" s="265"/>
    </row>
    <row r="69" spans="1:7">
      <c r="A69" s="262"/>
      <c r="B69" s="262"/>
      <c r="C69" s="262"/>
      <c r="D69" s="262"/>
      <c r="E69" s="262"/>
      <c r="F69" s="262"/>
      <c r="G69" s="265"/>
    </row>
    <row r="70" spans="1:7">
      <c r="A70" s="262"/>
      <c r="B70" s="262"/>
      <c r="C70" s="262"/>
      <c r="D70" s="262"/>
      <c r="E70" s="262"/>
      <c r="F70" s="262"/>
      <c r="G70" s="262"/>
    </row>
    <row r="71" spans="1:7">
      <c r="A71" s="262"/>
      <c r="B71" s="262"/>
      <c r="C71" s="262"/>
      <c r="D71" s="262"/>
      <c r="E71" s="262"/>
      <c r="F71" s="262"/>
      <c r="G71" s="262"/>
    </row>
    <row r="72" spans="1:7">
      <c r="A72" s="262"/>
      <c r="B72" s="262"/>
      <c r="C72" s="262"/>
      <c r="D72" s="262"/>
      <c r="E72" s="262"/>
      <c r="F72" s="262"/>
      <c r="G72" s="262"/>
    </row>
    <row r="73" spans="1:7">
      <c r="A73" s="262"/>
      <c r="B73" s="262"/>
      <c r="C73" s="262"/>
      <c r="D73" s="262"/>
      <c r="E73" s="262"/>
      <c r="F73" s="262"/>
      <c r="G73" s="262"/>
    </row>
    <row r="74" spans="1:7">
      <c r="A74" s="262"/>
      <c r="B74" s="262"/>
      <c r="C74" s="262"/>
      <c r="D74" s="262"/>
      <c r="E74" s="262"/>
      <c r="F74" s="262"/>
      <c r="G74" s="262"/>
    </row>
    <row r="75" spans="1:7">
      <c r="A75" s="262"/>
      <c r="B75" s="262"/>
      <c r="C75" s="262"/>
      <c r="D75" s="262"/>
      <c r="E75" s="262"/>
      <c r="F75" s="262"/>
      <c r="G75" s="262"/>
    </row>
    <row r="76" spans="1:7">
      <c r="A76" s="262"/>
      <c r="B76" s="262"/>
      <c r="C76" s="262"/>
      <c r="D76" s="262"/>
      <c r="E76" s="262"/>
      <c r="F76" s="262"/>
      <c r="G76" s="262"/>
    </row>
    <row r="77" spans="1:7">
      <c r="A77" s="262"/>
      <c r="B77" s="262"/>
      <c r="C77" s="262"/>
      <c r="D77" s="262"/>
      <c r="E77" s="262"/>
      <c r="F77" s="262"/>
      <c r="G77" s="262"/>
    </row>
    <row r="78" spans="1:7">
      <c r="A78" s="262"/>
      <c r="B78" s="262"/>
      <c r="C78" s="262"/>
      <c r="D78" s="262"/>
      <c r="E78" s="262"/>
      <c r="F78" s="262"/>
      <c r="G78" s="262"/>
    </row>
    <row r="79" spans="1:7">
      <c r="A79" s="262"/>
      <c r="B79" s="262"/>
      <c r="C79" s="262"/>
      <c r="D79" s="262"/>
      <c r="E79" s="262"/>
      <c r="F79" s="262"/>
      <c r="G79" s="262"/>
    </row>
    <row r="80" spans="1:7">
      <c r="A80" s="262"/>
      <c r="B80" s="262"/>
      <c r="C80" s="262"/>
      <c r="D80" s="262"/>
      <c r="E80" s="262"/>
      <c r="F80" s="262"/>
      <c r="G80" s="262"/>
    </row>
    <row r="81" spans="1:7">
      <c r="A81" s="262"/>
      <c r="B81" s="262"/>
      <c r="C81" s="262"/>
      <c r="D81" s="262"/>
      <c r="E81" s="262"/>
      <c r="F81" s="262"/>
      <c r="G81" s="262"/>
    </row>
    <row r="82" spans="1:7">
      <c r="A82" s="262"/>
      <c r="B82" s="262"/>
      <c r="C82" s="262"/>
      <c r="D82" s="262"/>
      <c r="E82" s="262"/>
      <c r="F82" s="262"/>
      <c r="G82" s="262"/>
    </row>
    <row r="83" spans="1:7">
      <c r="A83" s="262"/>
      <c r="B83" s="262"/>
      <c r="C83" s="262"/>
      <c r="D83" s="262"/>
      <c r="E83" s="262"/>
      <c r="F83" s="262"/>
      <c r="G83" s="262"/>
    </row>
    <row r="84" spans="1:7">
      <c r="A84" s="262"/>
      <c r="B84" s="262"/>
      <c r="C84" s="262"/>
      <c r="D84" s="262"/>
      <c r="E84" s="262"/>
      <c r="F84" s="262"/>
      <c r="G84" s="262"/>
    </row>
    <row r="85" spans="1:7">
      <c r="A85" s="262"/>
      <c r="B85" s="262"/>
      <c r="C85" s="262"/>
      <c r="D85" s="262"/>
      <c r="E85" s="262"/>
      <c r="F85" s="262"/>
      <c r="G85" s="262"/>
    </row>
    <row r="86" spans="1:7">
      <c r="A86" s="262"/>
      <c r="B86" s="262"/>
      <c r="C86" s="262"/>
      <c r="D86" s="262"/>
      <c r="E86" s="262"/>
      <c r="F86" s="262"/>
      <c r="G86" s="262"/>
    </row>
    <row r="87" spans="1:7">
      <c r="A87" s="262"/>
      <c r="B87" s="262"/>
      <c r="C87" s="262"/>
      <c r="D87" s="262"/>
      <c r="E87" s="262"/>
      <c r="F87" s="262"/>
      <c r="G87" s="262"/>
    </row>
    <row r="88" spans="1:7">
      <c r="A88" s="262"/>
      <c r="B88" s="262"/>
      <c r="C88" s="262"/>
      <c r="D88" s="262"/>
      <c r="E88" s="262"/>
      <c r="F88" s="262"/>
      <c r="G88" s="262"/>
    </row>
    <row r="89" spans="1:7">
      <c r="A89" s="262"/>
      <c r="B89" s="262"/>
      <c r="C89" s="262"/>
      <c r="D89" s="262"/>
      <c r="E89" s="262"/>
      <c r="F89" s="262"/>
      <c r="G89" s="262"/>
    </row>
    <row r="90" spans="1:7">
      <c r="A90" s="262"/>
      <c r="B90" s="262"/>
      <c r="C90" s="262"/>
      <c r="D90" s="262"/>
      <c r="E90" s="262"/>
      <c r="F90" s="262"/>
      <c r="G90" s="262"/>
    </row>
    <row r="91" spans="1:7">
      <c r="A91" s="262"/>
      <c r="B91" s="262"/>
      <c r="C91" s="262"/>
      <c r="D91" s="262"/>
      <c r="E91" s="262"/>
      <c r="F91" s="262"/>
      <c r="G91" s="262"/>
    </row>
    <row r="92" spans="1:7">
      <c r="A92" s="262"/>
      <c r="B92" s="262"/>
      <c r="C92" s="262"/>
      <c r="D92" s="262"/>
      <c r="E92" s="262"/>
      <c r="F92" s="262"/>
      <c r="G92" s="262"/>
    </row>
    <row r="93" spans="1:7">
      <c r="A93" s="262"/>
      <c r="B93" s="262"/>
      <c r="C93" s="262"/>
      <c r="D93" s="262"/>
      <c r="E93" s="262"/>
      <c r="F93" s="262"/>
      <c r="G93" s="262"/>
    </row>
    <row r="94" spans="1:7">
      <c r="A94" s="262"/>
      <c r="B94" s="262"/>
      <c r="C94" s="262"/>
      <c r="D94" s="262"/>
      <c r="E94" s="262"/>
      <c r="F94" s="262"/>
      <c r="G94" s="262"/>
    </row>
    <row r="95" spans="1:7">
      <c r="A95" s="262"/>
      <c r="B95" s="262"/>
      <c r="C95" s="262"/>
      <c r="D95" s="262"/>
      <c r="E95" s="262"/>
      <c r="F95" s="262"/>
      <c r="G95" s="262"/>
    </row>
    <row r="96" spans="1:7">
      <c r="A96" s="262"/>
      <c r="B96" s="262"/>
      <c r="C96" s="262"/>
      <c r="D96" s="262"/>
      <c r="E96" s="262"/>
      <c r="F96" s="262"/>
      <c r="G96" s="262"/>
    </row>
    <row r="97" spans="1:7">
      <c r="A97" s="262"/>
      <c r="B97" s="262"/>
      <c r="C97" s="262"/>
      <c r="D97" s="262"/>
      <c r="E97" s="262"/>
      <c r="F97" s="262"/>
      <c r="G97" s="262"/>
    </row>
    <row r="98" spans="1:7">
      <c r="A98" s="262"/>
      <c r="B98" s="262"/>
      <c r="C98" s="262"/>
      <c r="D98" s="262"/>
      <c r="E98" s="262"/>
      <c r="F98" s="262"/>
      <c r="G98" s="262"/>
    </row>
    <row r="99" spans="1:7">
      <c r="A99" s="262"/>
      <c r="B99" s="262"/>
      <c r="C99" s="262"/>
      <c r="D99" s="262"/>
      <c r="E99" s="262"/>
      <c r="F99" s="262"/>
      <c r="G99" s="262"/>
    </row>
    <row r="100" spans="1:7">
      <c r="A100" s="262"/>
      <c r="B100" s="262"/>
      <c r="C100" s="262"/>
      <c r="D100" s="262"/>
      <c r="E100" s="262"/>
      <c r="F100" s="262"/>
      <c r="G100" s="262"/>
    </row>
    <row r="101" spans="1:7">
      <c r="A101" s="262"/>
      <c r="B101" s="262"/>
      <c r="C101" s="262"/>
      <c r="D101" s="262"/>
      <c r="E101" s="262"/>
      <c r="F101" s="262"/>
      <c r="G101" s="262"/>
    </row>
    <row r="102" spans="1:7">
      <c r="A102" s="262"/>
      <c r="B102" s="262"/>
      <c r="C102" s="262"/>
      <c r="D102" s="262"/>
      <c r="E102" s="262"/>
      <c r="F102" s="262"/>
      <c r="G102" s="262"/>
    </row>
    <row r="103" spans="1:7">
      <c r="A103" s="262"/>
      <c r="B103" s="262"/>
      <c r="C103" s="262"/>
      <c r="D103" s="262"/>
      <c r="E103" s="262"/>
      <c r="F103" s="262"/>
      <c r="G103" s="262"/>
    </row>
    <row r="104" spans="1:7">
      <c r="A104" s="262"/>
      <c r="B104" s="262"/>
      <c r="C104" s="262"/>
      <c r="D104" s="262"/>
      <c r="E104" s="262"/>
      <c r="F104" s="262"/>
      <c r="G104" s="262"/>
    </row>
    <row r="105" spans="1:7">
      <c r="A105" s="262"/>
      <c r="B105" s="262"/>
      <c r="C105" s="262"/>
      <c r="D105" s="262"/>
      <c r="E105" s="262"/>
      <c r="F105" s="262"/>
      <c r="G105" s="262"/>
    </row>
    <row r="106" spans="1:7">
      <c r="A106" s="262"/>
      <c r="B106" s="262"/>
      <c r="C106" s="262"/>
      <c r="D106" s="262"/>
      <c r="E106" s="262"/>
      <c r="F106" s="262"/>
      <c r="G106" s="262"/>
    </row>
    <row r="107" spans="1:7">
      <c r="A107" s="262"/>
      <c r="B107" s="262"/>
      <c r="C107" s="262"/>
      <c r="D107" s="262"/>
      <c r="E107" s="262"/>
      <c r="F107" s="262"/>
      <c r="G107" s="262"/>
    </row>
    <row r="108" spans="1:7">
      <c r="A108" s="262"/>
      <c r="B108" s="262"/>
      <c r="C108" s="262"/>
      <c r="D108" s="262"/>
      <c r="E108" s="262"/>
      <c r="F108" s="262"/>
      <c r="G108" s="262"/>
    </row>
    <row r="109" spans="1:7">
      <c r="A109" s="262"/>
      <c r="B109" s="262"/>
      <c r="C109" s="262"/>
      <c r="D109" s="262"/>
      <c r="E109" s="262"/>
      <c r="F109" s="262"/>
      <c r="G109" s="262"/>
    </row>
    <row r="110" spans="1:7">
      <c r="A110" s="262"/>
      <c r="B110" s="262"/>
      <c r="C110" s="262"/>
      <c r="D110" s="262"/>
      <c r="E110" s="262"/>
      <c r="F110" s="262"/>
      <c r="G110" s="262"/>
    </row>
    <row r="111" spans="1:7">
      <c r="A111" s="262"/>
      <c r="B111" s="262"/>
      <c r="C111" s="262"/>
      <c r="D111" s="262"/>
      <c r="E111" s="262"/>
      <c r="F111" s="262"/>
      <c r="G111" s="262"/>
    </row>
    <row r="112" spans="1:7">
      <c r="A112" s="262"/>
      <c r="B112" s="262"/>
      <c r="C112" s="262"/>
      <c r="D112" s="262"/>
      <c r="E112" s="262"/>
      <c r="F112" s="262"/>
      <c r="G112" s="262"/>
    </row>
    <row r="113" spans="1:7">
      <c r="A113" s="262"/>
      <c r="B113" s="262"/>
      <c r="C113" s="262"/>
      <c r="D113" s="262"/>
      <c r="E113" s="262"/>
      <c r="F113" s="262"/>
      <c r="G113" s="262"/>
    </row>
    <row r="114" spans="1:7">
      <c r="A114" s="262"/>
      <c r="B114" s="262"/>
      <c r="C114" s="262"/>
      <c r="D114" s="262"/>
      <c r="E114" s="262"/>
      <c r="F114" s="262"/>
      <c r="G114" s="262"/>
    </row>
    <row r="115" spans="1:7">
      <c r="A115" s="262"/>
      <c r="B115" s="262"/>
      <c r="C115" s="262"/>
      <c r="D115" s="262"/>
      <c r="E115" s="262"/>
      <c r="F115" s="262"/>
      <c r="G115" s="262"/>
    </row>
    <row r="116" spans="1:7">
      <c r="A116" s="262"/>
      <c r="B116" s="262"/>
      <c r="C116" s="262"/>
      <c r="D116" s="262"/>
      <c r="E116" s="262"/>
      <c r="F116" s="262"/>
      <c r="G116" s="262"/>
    </row>
    <row r="117" spans="1:7">
      <c r="A117" s="262"/>
      <c r="B117" s="262"/>
      <c r="C117" s="262"/>
      <c r="D117" s="262"/>
      <c r="E117" s="262"/>
      <c r="F117" s="262"/>
      <c r="G117" s="262"/>
    </row>
    <row r="118" spans="1:7">
      <c r="A118" s="262"/>
      <c r="B118" s="262"/>
      <c r="C118" s="262"/>
      <c r="D118" s="262"/>
      <c r="E118" s="262"/>
      <c r="F118" s="262"/>
      <c r="G118" s="262"/>
    </row>
    <row r="119" spans="1:7">
      <c r="A119" s="262"/>
      <c r="B119" s="262"/>
      <c r="C119" s="262"/>
      <c r="D119" s="262"/>
      <c r="E119" s="262"/>
      <c r="F119" s="262"/>
      <c r="G119" s="262"/>
    </row>
    <row r="120" spans="1:7">
      <c r="A120" s="262"/>
      <c r="B120" s="262"/>
      <c r="C120" s="262"/>
      <c r="D120" s="262"/>
      <c r="E120" s="262"/>
      <c r="F120" s="262"/>
      <c r="G120" s="262"/>
    </row>
    <row r="121" spans="1:7">
      <c r="A121" s="262"/>
      <c r="B121" s="262"/>
      <c r="C121" s="262"/>
      <c r="D121" s="262"/>
      <c r="E121" s="262"/>
      <c r="F121" s="262"/>
      <c r="G121" s="262"/>
    </row>
    <row r="122" spans="1:7">
      <c r="A122" s="262"/>
      <c r="B122" s="262"/>
      <c r="C122" s="262"/>
      <c r="D122" s="262"/>
      <c r="E122" s="262"/>
      <c r="F122" s="262"/>
      <c r="G122" s="262"/>
    </row>
    <row r="123" spans="1:7">
      <c r="A123" s="262"/>
      <c r="B123" s="262"/>
      <c r="C123" s="262"/>
      <c r="D123" s="262"/>
      <c r="E123" s="262"/>
      <c r="F123" s="262"/>
      <c r="G123" s="262"/>
    </row>
    <row r="124" spans="1:7">
      <c r="A124" s="262"/>
      <c r="B124" s="262"/>
      <c r="C124" s="262"/>
      <c r="D124" s="262"/>
      <c r="E124" s="262"/>
      <c r="F124" s="262"/>
      <c r="G124" s="262"/>
    </row>
    <row r="125" spans="1:7">
      <c r="A125" s="262"/>
      <c r="B125" s="262"/>
      <c r="C125" s="262"/>
      <c r="D125" s="262"/>
      <c r="E125" s="262"/>
      <c r="F125" s="262"/>
      <c r="G125" s="262"/>
    </row>
    <row r="126" spans="1:7">
      <c r="A126" s="262"/>
      <c r="B126" s="262"/>
      <c r="C126" s="262"/>
      <c r="D126" s="262"/>
      <c r="E126" s="262"/>
      <c r="F126" s="262"/>
      <c r="G126" s="262"/>
    </row>
    <row r="127" spans="1:7">
      <c r="A127" s="262"/>
      <c r="B127" s="262"/>
      <c r="C127" s="262"/>
      <c r="D127" s="262"/>
      <c r="E127" s="262"/>
      <c r="F127" s="262"/>
      <c r="G127" s="262"/>
    </row>
    <row r="128" spans="1:7">
      <c r="A128" s="262"/>
      <c r="B128" s="262"/>
      <c r="C128" s="262"/>
      <c r="D128" s="262"/>
      <c r="E128" s="262"/>
      <c r="F128" s="262"/>
      <c r="G128" s="262"/>
    </row>
    <row r="129" spans="1:7">
      <c r="A129" s="262"/>
      <c r="B129" s="262"/>
      <c r="C129" s="262"/>
      <c r="D129" s="262"/>
      <c r="E129" s="262"/>
      <c r="F129" s="262"/>
      <c r="G129" s="262"/>
    </row>
    <row r="130" spans="1:7">
      <c r="A130" s="262"/>
      <c r="B130" s="262"/>
      <c r="C130" s="262"/>
      <c r="D130" s="262"/>
      <c r="E130" s="262"/>
      <c r="F130" s="262"/>
      <c r="G130" s="262"/>
    </row>
    <row r="131" spans="1:7">
      <c r="A131" s="262"/>
      <c r="B131" s="262"/>
      <c r="C131" s="262"/>
      <c r="D131" s="262"/>
      <c r="E131" s="262"/>
      <c r="F131" s="262"/>
      <c r="G131" s="262"/>
    </row>
    <row r="132" spans="1:7">
      <c r="A132" s="262"/>
      <c r="B132" s="262"/>
      <c r="C132" s="262"/>
      <c r="D132" s="262"/>
      <c r="E132" s="262"/>
      <c r="F132" s="262"/>
      <c r="G132" s="262"/>
    </row>
    <row r="133" spans="1:7">
      <c r="A133" s="262"/>
      <c r="B133" s="262"/>
      <c r="C133" s="262"/>
      <c r="D133" s="262"/>
      <c r="E133" s="262"/>
      <c r="F133" s="262"/>
      <c r="G133" s="262"/>
    </row>
    <row r="134" spans="1:7">
      <c r="A134" s="262"/>
      <c r="B134" s="262"/>
      <c r="C134" s="262"/>
      <c r="D134" s="262"/>
      <c r="E134" s="262"/>
      <c r="F134" s="262"/>
      <c r="G134" s="262"/>
    </row>
    <row r="135" spans="1:7">
      <c r="A135" s="262"/>
      <c r="B135" s="262"/>
      <c r="C135" s="262"/>
      <c r="D135" s="262"/>
      <c r="E135" s="262"/>
      <c r="F135" s="262"/>
      <c r="G135" s="262"/>
    </row>
    <row r="136" spans="1:7">
      <c r="A136" s="262"/>
      <c r="B136" s="262"/>
      <c r="C136" s="262"/>
      <c r="D136" s="262"/>
      <c r="E136" s="262"/>
      <c r="F136" s="262"/>
      <c r="G136" s="262"/>
    </row>
    <row r="137" spans="1:7">
      <c r="A137" s="262"/>
      <c r="B137" s="262"/>
      <c r="C137" s="262"/>
      <c r="D137" s="262"/>
      <c r="E137" s="262"/>
      <c r="F137" s="262"/>
      <c r="G137" s="262"/>
    </row>
    <row r="138" spans="1:7">
      <c r="A138" s="262"/>
      <c r="B138" s="262"/>
      <c r="C138" s="262"/>
      <c r="D138" s="262"/>
      <c r="E138" s="262"/>
      <c r="F138" s="262"/>
      <c r="G138" s="262"/>
    </row>
    <row r="139" spans="1:7">
      <c r="A139" s="262"/>
      <c r="B139" s="262"/>
      <c r="C139" s="262"/>
      <c r="D139" s="262"/>
      <c r="E139" s="262"/>
      <c r="F139" s="262"/>
      <c r="G139" s="262"/>
    </row>
    <row r="140" spans="1:7">
      <c r="A140" s="266"/>
      <c r="B140" s="266"/>
      <c r="C140" s="266"/>
      <c r="D140" s="266"/>
      <c r="E140" s="267"/>
      <c r="F140" s="267"/>
      <c r="G140" s="266"/>
    </row>
    <row r="141" spans="1:7">
      <c r="A141" s="266"/>
      <c r="B141" s="266"/>
      <c r="C141" s="266"/>
      <c r="D141" s="266"/>
      <c r="E141" s="267"/>
      <c r="F141" s="267"/>
      <c r="G141" s="266"/>
    </row>
    <row r="142" spans="1:7">
      <c r="A142" s="266"/>
      <c r="B142" s="266"/>
      <c r="C142" s="266"/>
      <c r="D142" s="266"/>
      <c r="E142" s="267"/>
      <c r="F142" s="267"/>
      <c r="G142" s="266"/>
    </row>
    <row r="143" spans="1:7">
      <c r="A143" s="266"/>
      <c r="B143" s="266"/>
      <c r="C143" s="266"/>
      <c r="D143" s="266"/>
      <c r="E143" s="267"/>
      <c r="F143" s="267"/>
      <c r="G143" s="266"/>
    </row>
    <row r="144" spans="1:7">
      <c r="A144" s="266"/>
      <c r="B144" s="266"/>
      <c r="C144" s="266"/>
      <c r="D144" s="266"/>
      <c r="E144" s="267"/>
      <c r="F144" s="267"/>
      <c r="G144" s="266"/>
    </row>
    <row r="145" spans="1:7">
      <c r="A145" s="266"/>
      <c r="B145" s="266"/>
      <c r="C145" s="266"/>
      <c r="D145" s="266"/>
      <c r="E145" s="267"/>
      <c r="F145" s="267"/>
      <c r="G145" s="266"/>
    </row>
    <row r="146" spans="1:7">
      <c r="A146" s="266"/>
      <c r="B146" s="266"/>
      <c r="C146" s="266"/>
      <c r="D146" s="266"/>
      <c r="E146" s="267"/>
      <c r="F146" s="267"/>
      <c r="G146" s="266"/>
    </row>
    <row r="147" spans="1:7">
      <c r="A147" s="266"/>
      <c r="B147" s="266"/>
      <c r="C147" s="266"/>
      <c r="D147" s="266"/>
      <c r="E147" s="267"/>
      <c r="F147" s="267"/>
      <c r="G147" s="266"/>
    </row>
    <row r="148" spans="1:7">
      <c r="A148" s="266"/>
      <c r="B148" s="266"/>
      <c r="C148" s="266"/>
      <c r="D148" s="266"/>
      <c r="E148" s="267"/>
      <c r="F148" s="267"/>
      <c r="G148" s="266"/>
    </row>
    <row r="149" spans="1:7">
      <c r="A149" s="266"/>
      <c r="B149" s="266"/>
      <c r="C149" s="266"/>
      <c r="D149" s="266"/>
      <c r="E149" s="267"/>
      <c r="F149" s="267"/>
      <c r="G149" s="266"/>
    </row>
    <row r="150" spans="1:7">
      <c r="A150" s="266"/>
      <c r="B150" s="266"/>
      <c r="C150" s="266"/>
      <c r="D150" s="266"/>
      <c r="E150" s="267"/>
      <c r="F150" s="267"/>
      <c r="G150" s="266"/>
    </row>
    <row r="151" spans="1:7">
      <c r="A151" s="266"/>
      <c r="B151" s="266"/>
      <c r="C151" s="266"/>
      <c r="D151" s="266"/>
      <c r="E151" s="267"/>
      <c r="F151" s="267"/>
      <c r="G151" s="266"/>
    </row>
    <row r="152" spans="1:7" ht="18.75">
      <c r="A152" s="266"/>
      <c r="B152" s="266"/>
      <c r="C152" s="266"/>
      <c r="D152" s="266"/>
      <c r="E152" s="267"/>
      <c r="F152" s="267"/>
      <c r="G152" s="211"/>
    </row>
    <row r="153" spans="1:7" ht="18.75">
      <c r="A153" s="211"/>
      <c r="B153" s="211"/>
      <c r="C153" s="211"/>
      <c r="D153" s="211"/>
      <c r="E153" s="268"/>
      <c r="F153" s="268"/>
      <c r="G153" s="211"/>
    </row>
    <row r="154" spans="1:7" ht="18.75">
      <c r="A154" s="211"/>
      <c r="B154" s="211"/>
      <c r="C154" s="211"/>
      <c r="D154" s="211"/>
      <c r="E154" s="268"/>
      <c r="F154" s="268"/>
      <c r="G154" s="211"/>
    </row>
    <row r="155" spans="1:7">
      <c r="E155" s="268"/>
      <c r="F155" s="268"/>
    </row>
    <row r="156" spans="1:7">
      <c r="E156" s="268"/>
      <c r="F156" s="268"/>
    </row>
    <row r="157" spans="1:7">
      <c r="E157" s="268"/>
      <c r="F157" s="268"/>
    </row>
    <row r="158" spans="1:7">
      <c r="E158" s="268"/>
      <c r="F158" s="268"/>
    </row>
    <row r="159" spans="1:7">
      <c r="E159" s="268"/>
      <c r="F159" s="268"/>
    </row>
    <row r="160" spans="1:7">
      <c r="E160" s="268"/>
      <c r="F160" s="268"/>
    </row>
    <row r="161" spans="5:6">
      <c r="E161" s="268"/>
      <c r="F161" s="268"/>
    </row>
    <row r="162" spans="5:6">
      <c r="E162" s="268"/>
      <c r="F162" s="268"/>
    </row>
    <row r="163" spans="5:6">
      <c r="E163" s="268"/>
      <c r="F163" s="268"/>
    </row>
    <row r="164" spans="5:6">
      <c r="E164" s="268"/>
      <c r="F164" s="268"/>
    </row>
    <row r="165" spans="5:6">
      <c r="E165" s="268"/>
      <c r="F165" s="268"/>
    </row>
    <row r="166" spans="5:6">
      <c r="E166" s="268"/>
      <c r="F166" s="268"/>
    </row>
    <row r="167" spans="5:6">
      <c r="E167" s="268"/>
      <c r="F167" s="268"/>
    </row>
    <row r="168" spans="5:6">
      <c r="E168" s="268"/>
      <c r="F168" s="268"/>
    </row>
    <row r="169" spans="5:6">
      <c r="E169" s="268"/>
      <c r="F169" s="268"/>
    </row>
    <row r="170" spans="5:6">
      <c r="E170" s="268"/>
      <c r="F170" s="268"/>
    </row>
    <row r="171" spans="5:6">
      <c r="E171" s="268"/>
      <c r="F171" s="268"/>
    </row>
    <row r="172" spans="5:6">
      <c r="E172" s="268"/>
      <c r="F172" s="268"/>
    </row>
    <row r="173" spans="5:6">
      <c r="E173" s="268"/>
      <c r="F173" s="268"/>
    </row>
    <row r="174" spans="5:6">
      <c r="E174" s="268"/>
      <c r="F174" s="268"/>
    </row>
    <row r="175" spans="5:6">
      <c r="E175" s="268"/>
      <c r="F175" s="268"/>
    </row>
    <row r="176" spans="5:6">
      <c r="E176" s="268"/>
      <c r="F176" s="268"/>
    </row>
    <row r="177" spans="5:6">
      <c r="E177" s="268"/>
      <c r="F177" s="268"/>
    </row>
    <row r="178" spans="5:6">
      <c r="E178" s="268"/>
      <c r="F178" s="268"/>
    </row>
    <row r="179" spans="5:6">
      <c r="E179" s="268"/>
      <c r="F179" s="268"/>
    </row>
    <row r="180" spans="5:6">
      <c r="E180" s="268"/>
      <c r="F180" s="268"/>
    </row>
    <row r="181" spans="5:6">
      <c r="E181" s="268"/>
      <c r="F181" s="268"/>
    </row>
    <row r="182" spans="5:6">
      <c r="E182" s="268"/>
      <c r="F182" s="268"/>
    </row>
    <row r="183" spans="5:6">
      <c r="E183" s="268"/>
      <c r="F183" s="268"/>
    </row>
    <row r="184" spans="5:6">
      <c r="E184" s="268"/>
      <c r="F184" s="268"/>
    </row>
    <row r="185" spans="5:6">
      <c r="E185" s="268"/>
      <c r="F185" s="268"/>
    </row>
    <row r="186" spans="5:6">
      <c r="E186" s="268"/>
      <c r="F186" s="268"/>
    </row>
    <row r="187" spans="5:6">
      <c r="E187" s="268"/>
      <c r="F187" s="268"/>
    </row>
    <row r="188" spans="5:6">
      <c r="E188" s="268"/>
      <c r="F188" s="268"/>
    </row>
    <row r="189" spans="5:6">
      <c r="E189" s="268"/>
      <c r="F189" s="268"/>
    </row>
    <row r="190" spans="5:6">
      <c r="E190" s="268"/>
      <c r="F190" s="268"/>
    </row>
    <row r="191" spans="5:6">
      <c r="E191" s="268"/>
      <c r="F191" s="268"/>
    </row>
    <row r="192" spans="5:6">
      <c r="E192" s="268"/>
      <c r="F192" s="268"/>
    </row>
    <row r="193" spans="5:6">
      <c r="E193" s="268"/>
      <c r="F193" s="268"/>
    </row>
    <row r="194" spans="5:6">
      <c r="E194" s="268"/>
      <c r="F194" s="268"/>
    </row>
    <row r="195" spans="5:6">
      <c r="E195" s="268"/>
      <c r="F195" s="268"/>
    </row>
    <row r="196" spans="5:6">
      <c r="E196" s="268"/>
      <c r="F196" s="268"/>
    </row>
    <row r="197" spans="5:6">
      <c r="E197" s="268"/>
      <c r="F197" s="268"/>
    </row>
    <row r="198" spans="5:6">
      <c r="E198" s="268"/>
      <c r="F198" s="268"/>
    </row>
    <row r="199" spans="5:6">
      <c r="E199" s="268"/>
      <c r="F199" s="268"/>
    </row>
    <row r="200" spans="5:6">
      <c r="E200" s="268"/>
      <c r="F200" s="268"/>
    </row>
  </sheetData>
  <pageMargins left="0.78740157480314998" right="0.47244094488188998" top="0.74803149606299202" bottom="0.511811023622047" header="0.43307086614173201" footer="0.23622047244094499"/>
  <pageSetup paperSize="9" scale="97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 Nong nghiep</vt:lpstr>
      <vt:lpstr>2.IIPthang</vt:lpstr>
      <vt:lpstr>3.SPCNthang</vt:lpstr>
      <vt:lpstr>4.LĐCN</vt:lpstr>
      <vt:lpstr>5. LĐCN_DP</vt:lpstr>
      <vt:lpstr>6. Chỉ tiêu DN</vt:lpstr>
      <vt:lpstr>7. ĐK thành lập mới</vt:lpstr>
      <vt:lpstr>8. Quay trở lại HĐ</vt:lpstr>
      <vt:lpstr>9. Tạm ngừng có thời hạn</vt:lpstr>
      <vt:lpstr>10. Giải thể</vt:lpstr>
      <vt:lpstr>11.VDT</vt:lpstr>
      <vt:lpstr>12.FDI</vt:lpstr>
      <vt:lpstr>13. Tongmuc</vt:lpstr>
      <vt:lpstr>14.XK tháng</vt:lpstr>
      <vt:lpstr>15.NK tháng</vt:lpstr>
      <vt:lpstr>16.CPI</vt:lpstr>
      <vt:lpstr>17. VT HK</vt:lpstr>
      <vt:lpstr>18. VT HH</vt:lpstr>
      <vt:lpstr>19. KQT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GSO.LTANH</cp:lastModifiedBy>
  <cp:lastPrinted>2025-08-05T12:45:04Z</cp:lastPrinted>
  <dcterms:created xsi:type="dcterms:W3CDTF">2025-07-31T10:41:32Z</dcterms:created>
  <dcterms:modified xsi:type="dcterms:W3CDTF">2025-08-05T14:39:30Z</dcterms:modified>
</cp:coreProperties>
</file>