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0CE6474-2130-432F-B6E3-F1D8724BADEF}" xr6:coauthVersionLast="46" xr6:coauthVersionMax="46" xr10:uidLastSave="{00000000-0000-0000-0000-000000000000}"/>
  <bookViews>
    <workbookView xWindow="-120" yWindow="-120" windowWidth="24240" windowHeight="13020" xr2:uid="{00000000-000D-0000-FFFF-FFFF00000000}"/>
  </bookViews>
  <sheets>
    <sheet name="1.SXNN" sheetId="1" r:id="rId1"/>
    <sheet name="2.IIPthang" sheetId="28" r:id="rId2"/>
    <sheet name="3.SPCNthang" sheetId="29" r:id="rId3"/>
    <sheet name="4.LĐCN" sheetId="16" r:id="rId4"/>
    <sheet name="5. LĐCN_DP" sheetId="17" r:id="rId5"/>
    <sheet name="6. Chi tieu DN" sheetId="22" r:id="rId6"/>
    <sheet name="7. DN DK thanh lap" sheetId="23" r:id="rId7"/>
    <sheet name="8. DN quay lai hoat dong" sheetId="24" r:id="rId8"/>
    <sheet name="9. DN Ngừng có thời hạn" sheetId="25" r:id="rId9"/>
    <sheet name="10. DN giải thể" sheetId="26" r:id="rId10"/>
    <sheet name="11.VDT" sheetId="2" r:id="rId11"/>
    <sheet name="12. FDI" sheetId="27" r:id="rId12"/>
    <sheet name="13. Tongmuc" sheetId="18" r:id="rId13"/>
    <sheet name="14.XK tháng" sheetId="30" r:id="rId14"/>
    <sheet name="15. NK tháng" sheetId="31" r:id="rId15"/>
    <sheet name="16.CPI" sheetId="5" r:id="rId16"/>
    <sheet name="17. VT HK" sheetId="19" r:id="rId17"/>
    <sheet name="18. VT HH" sheetId="20" r:id="rId18"/>
    <sheet name="19. KQT" sheetId="21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\0" localSheetId="9">'[1]PNT-QUOT-#3'!#REF!</definedName>
    <definedName name="\0" localSheetId="12">'[1]PNT-QUOT-#3'!#REF!</definedName>
    <definedName name="\0" localSheetId="15">'[2]PNT-QUOT-#3'!#REF!</definedName>
    <definedName name="\0" localSheetId="16">'[1]PNT-QUOT-#3'!#REF!</definedName>
    <definedName name="\0" localSheetId="4">'[3]PNT-QUOT-#3'!#REF!</definedName>
    <definedName name="\0" localSheetId="6">'[1]PNT-QUOT-#3'!#REF!</definedName>
    <definedName name="\0" localSheetId="7">'[1]PNT-QUOT-#3'!#REF!</definedName>
    <definedName name="\0" localSheetId="8">'[1]PNT-QUOT-#3'!#REF!</definedName>
    <definedName name="\0">'[2]PNT-QUOT-#3'!#REF!</definedName>
    <definedName name="\z" localSheetId="9">'[1]COAT&amp;WRAP-QIOT-#3'!#REF!</definedName>
    <definedName name="\z" localSheetId="12">'[1]COAT&amp;WRAP-QIOT-#3'!#REF!</definedName>
    <definedName name="\z" localSheetId="15">'[2]COAT&amp;WRAP-QIOT-#3'!#REF!</definedName>
    <definedName name="\z" localSheetId="16">'[1]COAT&amp;WRAP-QIOT-#3'!#REF!</definedName>
    <definedName name="\z" localSheetId="4">'[3]COAT&amp;WRAP-QIOT-#3'!#REF!</definedName>
    <definedName name="\z" localSheetId="6">'[1]COAT&amp;WRAP-QIOT-#3'!#REF!</definedName>
    <definedName name="\z" localSheetId="7">'[1]COAT&amp;WRAP-QIOT-#3'!#REF!</definedName>
    <definedName name="\z" localSheetId="8">'[1]COAT&amp;WRAP-QIOT-#3'!#REF!</definedName>
    <definedName name="\z">'[2]COAT&amp;WRAP-QIOT-#3'!#REF!</definedName>
    <definedName name="_________h1" localSheetId="0" hidden="1">{"'TDTGT (theo Dphuong)'!$A$4:$F$75"}</definedName>
    <definedName name="_________h1" localSheetId="9" hidden="1">{"'TDTGT (theo Dphuong)'!$A$4:$F$75"}</definedName>
    <definedName name="_________h1" localSheetId="12" hidden="1">{"'TDTGT (theo Dphuong)'!$A$4:$F$75"}</definedName>
    <definedName name="_________h1" localSheetId="15" hidden="1">{"'TDTGT (theo Dphuong)'!$A$4:$F$75"}</definedName>
    <definedName name="_________h1" localSheetId="2" hidden="1">{"'TDTGT (theo Dphuong)'!$A$4:$F$75"}</definedName>
    <definedName name="_________h1" localSheetId="4" hidden="1">{"'TDTGT (theo Dphuong)'!$A$4:$F$75"}</definedName>
    <definedName name="_________h1" localSheetId="6" hidden="1">{"'TDTGT (theo Dphuong)'!$A$4:$F$75"}</definedName>
    <definedName name="_________h1" hidden="1">{"'TDTGT (theo Dphuong)'!$A$4:$F$75"}</definedName>
    <definedName name="________h1" localSheetId="0" hidden="1">{"'TDTGT (theo Dphuong)'!$A$4:$F$75"}</definedName>
    <definedName name="________h1" localSheetId="9" hidden="1">{"'TDTGT (theo Dphuong)'!$A$4:$F$75"}</definedName>
    <definedName name="________h1" localSheetId="12" hidden="1">{"'TDTGT (theo Dphuong)'!$A$4:$F$75"}</definedName>
    <definedName name="________h1" localSheetId="15" hidden="1">{"'TDTGT (theo Dphuong)'!$A$4:$F$75"}</definedName>
    <definedName name="________h1" localSheetId="2" hidden="1">{"'TDTGT (theo Dphuong)'!$A$4:$F$75"}</definedName>
    <definedName name="________h1" localSheetId="4" hidden="1">{"'TDTGT (theo Dphuong)'!$A$4:$F$75"}</definedName>
    <definedName name="________h1" localSheetId="6" hidden="1">{"'TDTGT (theo Dphuong)'!$A$4:$F$75"}</definedName>
    <definedName name="________h1" hidden="1">{"'TDTGT (theo Dphuong)'!$A$4:$F$75"}</definedName>
    <definedName name="_______h1" localSheetId="0" hidden="1">{"'TDTGT (theo Dphuong)'!$A$4:$F$75"}</definedName>
    <definedName name="_______h1" localSheetId="9" hidden="1">{"'TDTGT (theo Dphuong)'!$A$4:$F$75"}</definedName>
    <definedName name="_______h1" localSheetId="12" hidden="1">{"'TDTGT (theo Dphuong)'!$A$4:$F$75"}</definedName>
    <definedName name="_______h1" localSheetId="15" hidden="1">{"'TDTGT (theo Dphuong)'!$A$4:$F$75"}</definedName>
    <definedName name="_______h1" localSheetId="2" hidden="1">{"'TDTGT (theo Dphuong)'!$A$4:$F$75"}</definedName>
    <definedName name="_______h1" localSheetId="4" hidden="1">{"'TDTGT (theo Dphuong)'!$A$4:$F$75"}</definedName>
    <definedName name="_______h1" localSheetId="6" hidden="1">{"'TDTGT (theo Dphuong)'!$A$4:$F$75"}</definedName>
    <definedName name="_______h1" hidden="1">{"'TDTGT (theo Dphuong)'!$A$4:$F$75"}</definedName>
    <definedName name="______B5" localSheetId="0" hidden="1">{#N/A,#N/A,FALSE,"Chung"}</definedName>
    <definedName name="______B5" localSheetId="9" hidden="1">{#N/A,#N/A,FALSE,"Chung"}</definedName>
    <definedName name="______B5" localSheetId="12" hidden="1">{#N/A,#N/A,FALSE,"Chung"}</definedName>
    <definedName name="______B5" localSheetId="15" hidden="1">{#N/A,#N/A,FALSE,"Chung"}</definedName>
    <definedName name="______B5" localSheetId="2" hidden="1">{#N/A,#N/A,FALSE,"Chung"}</definedName>
    <definedName name="______B5" localSheetId="4" hidden="1">{#N/A,#N/A,FALSE,"Chung"}</definedName>
    <definedName name="______B5" localSheetId="6" hidden="1">{#N/A,#N/A,FALSE,"Chung"}</definedName>
    <definedName name="______B5" hidden="1">{#N/A,#N/A,FALSE,"Chung"}</definedName>
    <definedName name="______h1" localSheetId="0" hidden="1">{"'TDTGT (theo Dphuong)'!$A$4:$F$75"}</definedName>
    <definedName name="______h1" localSheetId="9" hidden="1">{"'TDTGT (theo Dphuong)'!$A$4:$F$75"}</definedName>
    <definedName name="______h1" localSheetId="12" hidden="1">{"'TDTGT (theo Dphuong)'!$A$4:$F$75"}</definedName>
    <definedName name="______h1" localSheetId="15" hidden="1">{"'TDTGT (theo Dphuong)'!$A$4:$F$75"}</definedName>
    <definedName name="______h1" localSheetId="2" hidden="1">{"'TDTGT (theo Dphuong)'!$A$4:$F$75"}</definedName>
    <definedName name="______h1" localSheetId="4" hidden="1">{"'TDTGT (theo Dphuong)'!$A$4:$F$75"}</definedName>
    <definedName name="______h1" localSheetId="6" hidden="1">{"'TDTGT (theo Dphuong)'!$A$4:$F$75"}</definedName>
    <definedName name="______h1" hidden="1">{"'TDTGT (theo Dphuong)'!$A$4:$F$75"}</definedName>
    <definedName name="______h2" localSheetId="0" hidden="1">{"'TDTGT (theo Dphuong)'!$A$4:$F$75"}</definedName>
    <definedName name="______h2" localSheetId="9" hidden="1">{"'TDTGT (theo Dphuong)'!$A$4:$F$75"}</definedName>
    <definedName name="______h2" localSheetId="12" hidden="1">{"'TDTGT (theo Dphuong)'!$A$4:$F$75"}</definedName>
    <definedName name="______h2" localSheetId="15" hidden="1">{"'TDTGT (theo Dphuong)'!$A$4:$F$75"}</definedName>
    <definedName name="______h2" localSheetId="2" hidden="1">{"'TDTGT (theo Dphuong)'!$A$4:$F$75"}</definedName>
    <definedName name="______h2" localSheetId="4" hidden="1">{"'TDTGT (theo Dphuong)'!$A$4:$F$75"}</definedName>
    <definedName name="______h2" localSheetId="6" hidden="1">{"'TDTGT (theo Dphuong)'!$A$4:$F$75"}</definedName>
    <definedName name="______h2" hidden="1">{"'TDTGT (theo Dphuong)'!$A$4:$F$75"}</definedName>
    <definedName name="_____B5" localSheetId="0" hidden="1">{#N/A,#N/A,FALSE,"Chung"}</definedName>
    <definedName name="_____B5" localSheetId="9" hidden="1">{#N/A,#N/A,FALSE,"Chung"}</definedName>
    <definedName name="_____B5" localSheetId="12" hidden="1">{#N/A,#N/A,FALSE,"Chung"}</definedName>
    <definedName name="_____B5" localSheetId="15" hidden="1">{#N/A,#N/A,FALSE,"Chung"}</definedName>
    <definedName name="_____B5" localSheetId="2" hidden="1">{#N/A,#N/A,FALSE,"Chung"}</definedName>
    <definedName name="_____B5" localSheetId="4" hidden="1">{#N/A,#N/A,FALSE,"Chung"}</definedName>
    <definedName name="_____B5" localSheetId="6" hidden="1">{#N/A,#N/A,FALSE,"Chung"}</definedName>
    <definedName name="_____B5" hidden="1">{#N/A,#N/A,FALSE,"Chung"}</definedName>
    <definedName name="_____h1" localSheetId="0" hidden="1">{"'TDTGT (theo Dphuong)'!$A$4:$F$75"}</definedName>
    <definedName name="_____h1" localSheetId="9" hidden="1">{"'TDTGT (theo Dphuong)'!$A$4:$F$75"}</definedName>
    <definedName name="_____h1" localSheetId="12" hidden="1">{"'TDTGT (theo Dphuong)'!$A$4:$F$75"}</definedName>
    <definedName name="_____h1" localSheetId="15" hidden="1">{"'TDTGT (theo Dphuong)'!$A$4:$F$75"}</definedName>
    <definedName name="_____h1" localSheetId="2" hidden="1">{"'TDTGT (theo Dphuong)'!$A$4:$F$75"}</definedName>
    <definedName name="_____h1" localSheetId="4" hidden="1">{"'TDTGT (theo Dphuong)'!$A$4:$F$75"}</definedName>
    <definedName name="_____h1" localSheetId="6" hidden="1">{"'TDTGT (theo Dphuong)'!$A$4:$F$75"}</definedName>
    <definedName name="_____h1" hidden="1">{"'TDTGT (theo Dphuong)'!$A$4:$F$75"}</definedName>
    <definedName name="_____h2" localSheetId="0" hidden="1">{"'TDTGT (theo Dphuong)'!$A$4:$F$75"}</definedName>
    <definedName name="_____h2" localSheetId="9" hidden="1">{"'TDTGT (theo Dphuong)'!$A$4:$F$75"}</definedName>
    <definedName name="_____h2" localSheetId="12" hidden="1">{"'TDTGT (theo Dphuong)'!$A$4:$F$75"}</definedName>
    <definedName name="_____h2" localSheetId="15" hidden="1">{"'TDTGT (theo Dphuong)'!$A$4:$F$75"}</definedName>
    <definedName name="_____h2" localSheetId="2" hidden="1">{"'TDTGT (theo Dphuong)'!$A$4:$F$75"}</definedName>
    <definedName name="_____h2" localSheetId="4" hidden="1">{"'TDTGT (theo Dphuong)'!$A$4:$F$75"}</definedName>
    <definedName name="_____h2" localSheetId="6" hidden="1">{"'TDTGT (theo Dphuong)'!$A$4:$F$75"}</definedName>
    <definedName name="_____h2" hidden="1">{"'TDTGT (theo Dphuong)'!$A$4:$F$75"}</definedName>
    <definedName name="____B5" localSheetId="0" hidden="1">{#N/A,#N/A,FALSE,"Chung"}</definedName>
    <definedName name="____B5" localSheetId="9" hidden="1">{#N/A,#N/A,FALSE,"Chung"}</definedName>
    <definedName name="____B5" localSheetId="12" hidden="1">{#N/A,#N/A,FALSE,"Chung"}</definedName>
    <definedName name="____B5" localSheetId="15" hidden="1">{#N/A,#N/A,FALSE,"Chung"}</definedName>
    <definedName name="____B5" localSheetId="2" hidden="1">{#N/A,#N/A,FALSE,"Chung"}</definedName>
    <definedName name="____B5" localSheetId="4" hidden="1">{#N/A,#N/A,FALSE,"Chung"}</definedName>
    <definedName name="____B5" localSheetId="6" hidden="1">{#N/A,#N/A,FALSE,"Chung"}</definedName>
    <definedName name="____B5" hidden="1">{#N/A,#N/A,FALSE,"Chung"}</definedName>
    <definedName name="____h1" localSheetId="0" hidden="1">{"'TDTGT (theo Dphuong)'!$A$4:$F$75"}</definedName>
    <definedName name="____h1" localSheetId="9" hidden="1">{"'TDTGT (theo Dphuong)'!$A$4:$F$75"}</definedName>
    <definedName name="____h1" localSheetId="12" hidden="1">{"'TDTGT (theo Dphuong)'!$A$4:$F$75"}</definedName>
    <definedName name="____h1" localSheetId="15" hidden="1">{"'TDTGT (theo Dphuong)'!$A$4:$F$75"}</definedName>
    <definedName name="____h1" localSheetId="2" hidden="1">{"'TDTGT (theo Dphuong)'!$A$4:$F$75"}</definedName>
    <definedName name="____h1" localSheetId="4" hidden="1">{"'TDTGT (theo Dphuong)'!$A$4:$F$75"}</definedName>
    <definedName name="____h1" localSheetId="6" hidden="1">{"'TDTGT (theo Dphuong)'!$A$4:$F$75"}</definedName>
    <definedName name="____h1" hidden="1">{"'TDTGT (theo Dphuong)'!$A$4:$F$75"}</definedName>
    <definedName name="____h2" localSheetId="0" hidden="1">{"'TDTGT (theo Dphuong)'!$A$4:$F$75"}</definedName>
    <definedName name="____h2" localSheetId="9" hidden="1">{"'TDTGT (theo Dphuong)'!$A$4:$F$75"}</definedName>
    <definedName name="____h2" localSheetId="12" hidden="1">{"'TDTGT (theo Dphuong)'!$A$4:$F$75"}</definedName>
    <definedName name="____h2" localSheetId="15" hidden="1">{"'TDTGT (theo Dphuong)'!$A$4:$F$75"}</definedName>
    <definedName name="____h2" localSheetId="2" hidden="1">{"'TDTGT (theo Dphuong)'!$A$4:$F$75"}</definedName>
    <definedName name="____h2" localSheetId="4" hidden="1">{"'TDTGT (theo Dphuong)'!$A$4:$F$75"}</definedName>
    <definedName name="____h2" localSheetId="6" hidden="1">{"'TDTGT (theo Dphuong)'!$A$4:$F$75"}</definedName>
    <definedName name="____h2" hidden="1">{"'TDTGT (theo Dphuong)'!$A$4:$F$75"}</definedName>
    <definedName name="___B5" localSheetId="0" hidden="1">{#N/A,#N/A,FALSE,"Chung"}</definedName>
    <definedName name="___B5" localSheetId="9" hidden="1">{#N/A,#N/A,FALSE,"Chung"}</definedName>
    <definedName name="___B5" localSheetId="12" hidden="1">{#N/A,#N/A,FALSE,"Chung"}</definedName>
    <definedName name="___B5" localSheetId="15" hidden="1">{#N/A,#N/A,FALSE,"Chung"}</definedName>
    <definedName name="___B5" localSheetId="2" hidden="1">{#N/A,#N/A,FALSE,"Chung"}</definedName>
    <definedName name="___B5" localSheetId="4" hidden="1">{#N/A,#N/A,FALSE,"Chung"}</definedName>
    <definedName name="___B5" localSheetId="6" hidden="1">{#N/A,#N/A,FALSE,"Chung"}</definedName>
    <definedName name="___B5" hidden="1">{#N/A,#N/A,FALSE,"Chung"}</definedName>
    <definedName name="___h1" localSheetId="0" hidden="1">{"'TDTGT (theo Dphuong)'!$A$4:$F$75"}</definedName>
    <definedName name="___h1" localSheetId="9" hidden="1">{"'TDTGT (theo Dphuong)'!$A$4:$F$75"}</definedName>
    <definedName name="___h1" localSheetId="12" hidden="1">{"'TDTGT (theo Dphuong)'!$A$4:$F$75"}</definedName>
    <definedName name="___h1" localSheetId="15" hidden="1">{"'TDTGT (theo Dphuong)'!$A$4:$F$75"}</definedName>
    <definedName name="___h1" localSheetId="2" hidden="1">{"'TDTGT (theo Dphuong)'!$A$4:$F$75"}</definedName>
    <definedName name="___h1" localSheetId="4" hidden="1">{"'TDTGT (theo Dphuong)'!$A$4:$F$75"}</definedName>
    <definedName name="___h1" localSheetId="6" hidden="1">{"'TDTGT (theo Dphuong)'!$A$4:$F$75"}</definedName>
    <definedName name="___h1" hidden="1">{"'TDTGT (theo Dphuong)'!$A$4:$F$75"}</definedName>
    <definedName name="___h2" localSheetId="0" hidden="1">{"'TDTGT (theo Dphuong)'!$A$4:$F$75"}</definedName>
    <definedName name="___h2" localSheetId="9" hidden="1">{"'TDTGT (theo Dphuong)'!$A$4:$F$75"}</definedName>
    <definedName name="___h2" localSheetId="12" hidden="1">{"'TDTGT (theo Dphuong)'!$A$4:$F$75"}</definedName>
    <definedName name="___h2" localSheetId="15" hidden="1">{"'TDTGT (theo Dphuong)'!$A$4:$F$75"}</definedName>
    <definedName name="___h2" localSheetId="2" hidden="1">{"'TDTGT (theo Dphuong)'!$A$4:$F$75"}</definedName>
    <definedName name="___h2" localSheetId="4" hidden="1">{"'TDTGT (theo Dphuong)'!$A$4:$F$75"}</definedName>
    <definedName name="___h2" localSheetId="6" hidden="1">{"'TDTGT (theo Dphuong)'!$A$4:$F$75"}</definedName>
    <definedName name="___h2" hidden="1">{"'TDTGT (theo Dphuong)'!$A$4:$F$75"}</definedName>
    <definedName name="__B5" localSheetId="0" hidden="1">{#N/A,#N/A,FALSE,"Chung"}</definedName>
    <definedName name="__B5" localSheetId="9" hidden="1">{#N/A,#N/A,FALSE,"Chung"}</definedName>
    <definedName name="__B5" localSheetId="12" hidden="1">{#N/A,#N/A,FALSE,"Chung"}</definedName>
    <definedName name="__B5" localSheetId="15" hidden="1">{#N/A,#N/A,FALSE,"Chung"}</definedName>
    <definedName name="__B5" localSheetId="2" hidden="1">{#N/A,#N/A,FALSE,"Chung"}</definedName>
    <definedName name="__B5" localSheetId="4" hidden="1">{#N/A,#N/A,FALSE,"Chung"}</definedName>
    <definedName name="__B5" localSheetId="6" hidden="1">{#N/A,#N/A,FALSE,"Chung"}</definedName>
    <definedName name="__B5" hidden="1">{#N/A,#N/A,FALSE,"Chung"}</definedName>
    <definedName name="__h1" localSheetId="0" hidden="1">{"'TDTGT (theo Dphuong)'!$A$4:$F$75"}</definedName>
    <definedName name="__h1" localSheetId="9" hidden="1">{"'TDTGT (theo Dphuong)'!$A$4:$F$75"}</definedName>
    <definedName name="__h1" localSheetId="12" hidden="1">{"'TDTGT (theo Dphuong)'!$A$4:$F$75"}</definedName>
    <definedName name="__h1" localSheetId="15" hidden="1">{"'TDTGT (theo Dphuong)'!$A$4:$F$75"}</definedName>
    <definedName name="__h1" localSheetId="2" hidden="1">{"'TDTGT (theo Dphuong)'!$A$4:$F$75"}</definedName>
    <definedName name="__h1" localSheetId="4" hidden="1">{"'TDTGT (theo Dphuong)'!$A$4:$F$75"}</definedName>
    <definedName name="__h1" localSheetId="6" hidden="1">{"'TDTGT (theo Dphuong)'!$A$4:$F$75"}</definedName>
    <definedName name="__h1" hidden="1">{"'TDTGT (theo Dphuong)'!$A$4:$F$75"}</definedName>
    <definedName name="__h2" localSheetId="0" hidden="1">{"'TDTGT (theo Dphuong)'!$A$4:$F$75"}</definedName>
    <definedName name="__h2" localSheetId="9" hidden="1">{"'TDTGT (theo Dphuong)'!$A$4:$F$75"}</definedName>
    <definedName name="__h2" localSheetId="12" hidden="1">{"'TDTGT (theo Dphuong)'!$A$4:$F$75"}</definedName>
    <definedName name="__h2" localSheetId="15" hidden="1">{"'TDTGT (theo Dphuong)'!$A$4:$F$75"}</definedName>
    <definedName name="__h2" localSheetId="2" hidden="1">{"'TDTGT (theo Dphuong)'!$A$4:$F$75"}</definedName>
    <definedName name="__h2" localSheetId="4" hidden="1">{"'TDTGT (theo Dphuong)'!$A$4:$F$75"}</definedName>
    <definedName name="__h2" localSheetId="6" hidden="1">{"'TDTGT (theo Dphuong)'!$A$4:$F$75"}</definedName>
    <definedName name="__h2" hidden="1">{"'TDTGT (theo Dphuong)'!$A$4:$F$75"}</definedName>
    <definedName name="__l1" localSheetId="15" hidden="1">{"'TDTGT (theo Dphuong)'!$A$4:$F$75"}</definedName>
    <definedName name="__l1" hidden="1">{"'TDTGT (theo Dphuong)'!$A$4:$F$75"}</definedName>
    <definedName name="__M9" localSheetId="15" hidden="1">{"'TDTGT (theo Dphuong)'!$A$4:$F$75"}</definedName>
    <definedName name="__M9" hidden="1">{"'TDTGT (theo Dphuong)'!$A$4:$F$75"}</definedName>
    <definedName name="_7" localSheetId="15" hidden="1">{"'TDTGT (theo Dphuong)'!$A$4:$F$75"}</definedName>
    <definedName name="_7" hidden="1">{"'TDTGT (theo Dphuong)'!$A$4:$F$75"}</definedName>
    <definedName name="_B5" localSheetId="0" hidden="1">{#N/A,#N/A,FALSE,"Chung"}</definedName>
    <definedName name="_B5" localSheetId="9" hidden="1">{#N/A,#N/A,FALSE,"Chung"}</definedName>
    <definedName name="_B5" localSheetId="12" hidden="1">{#N/A,#N/A,FALSE,"Chung"}</definedName>
    <definedName name="_B5" localSheetId="15" hidden="1">{#N/A,#N/A,FALSE,"Chung"}</definedName>
    <definedName name="_B5" localSheetId="2" hidden="1">{#N/A,#N/A,FALSE,"Chung"}</definedName>
    <definedName name="_B5" localSheetId="4" hidden="1">{#N/A,#N/A,FALSE,"Chung"}</definedName>
    <definedName name="_B5" localSheetId="6" hidden="1">{#N/A,#N/A,FALSE,"Chung"}</definedName>
    <definedName name="_B5" hidden="1">{#N/A,#N/A,FALSE,"Chung"}</definedName>
    <definedName name="_B8" localSheetId="15" hidden="1">{#N/A,#N/A,FALSE,"Chung"}</definedName>
    <definedName name="_B8" hidden="1">{#N/A,#N/A,FALSE,"Chung"}</definedName>
    <definedName name="_Fill" localSheetId="0" hidden="1">#REF!</definedName>
    <definedName name="_Fill" localSheetId="9" hidden="1">#REF!</definedName>
    <definedName name="_Fill" localSheetId="12" hidden="1">#REF!</definedName>
    <definedName name="_Fill" localSheetId="15" hidden="1">#REF!</definedName>
    <definedName name="_Fill" localSheetId="16" hidden="1">#REF!</definedName>
    <definedName name="_Fill" localSheetId="2" hidden="1">#REF!</definedName>
    <definedName name="_Fill" localSheetId="4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hidden="1">#REF!</definedName>
    <definedName name="_xlnm._FilterDatabase" localSheetId="9" hidden="1">'10. DN giải thể'!$A$8:$H$8</definedName>
    <definedName name="_xlnm._FilterDatabase" localSheetId="2" hidden="1">'3.SPCNthang'!$A$8:$WUX$8</definedName>
    <definedName name="_xlnm._FilterDatabase" localSheetId="6" hidden="1">'7. DN DK thanh lap'!$A$10:$C$10</definedName>
    <definedName name="_xlnm._FilterDatabase" localSheetId="7" hidden="1">'8. DN quay lai hoat dong'!$A$6:$D$6</definedName>
    <definedName name="_xlnm._FilterDatabase" localSheetId="8" hidden="1">'9. DN Ngừng có thời hạn'!$A$8:$D$8</definedName>
    <definedName name="_h1" localSheetId="0" hidden="1">{"'TDTGT (theo Dphuong)'!$A$4:$F$75"}</definedName>
    <definedName name="_h1" localSheetId="9" hidden="1">{"'TDTGT (theo Dphuong)'!$A$4:$F$75"}</definedName>
    <definedName name="_h1" localSheetId="12" hidden="1">{"'TDTGT (theo Dphuong)'!$A$4:$F$75"}</definedName>
    <definedName name="_h1" localSheetId="15" hidden="1">{"'TDTGT (theo Dphuong)'!$A$4:$F$75"}</definedName>
    <definedName name="_h1" localSheetId="2" hidden="1">{"'TDTGT (theo Dphuong)'!$A$4:$F$75"}</definedName>
    <definedName name="_h1" localSheetId="4" hidden="1">{"'TDTGT (theo Dphuong)'!$A$4:$F$75"}</definedName>
    <definedName name="_h1" localSheetId="6" hidden="1">{"'TDTGT (theo Dphuong)'!$A$4:$F$75"}</definedName>
    <definedName name="_h1" hidden="1">{"'TDTGT (theo Dphuong)'!$A$4:$F$75"}</definedName>
    <definedName name="_h2" localSheetId="0" hidden="1">{"'TDTGT (theo Dphuong)'!$A$4:$F$75"}</definedName>
    <definedName name="_h2" localSheetId="9" hidden="1">{"'TDTGT (theo Dphuong)'!$A$4:$F$75"}</definedName>
    <definedName name="_h2" localSheetId="12" hidden="1">{"'TDTGT (theo Dphuong)'!$A$4:$F$75"}</definedName>
    <definedName name="_h2" localSheetId="15" hidden="1">{"'TDTGT (theo Dphuong)'!$A$4:$F$75"}</definedName>
    <definedName name="_h2" localSheetId="2" hidden="1">{"'TDTGT (theo Dphuong)'!$A$4:$F$75"}</definedName>
    <definedName name="_h2" localSheetId="4" hidden="1">{"'TDTGT (theo Dphuong)'!$A$4:$F$75"}</definedName>
    <definedName name="_h2" localSheetId="6" hidden="1">{"'TDTGT (theo Dphuong)'!$A$4:$F$75"}</definedName>
    <definedName name="_h2" hidden="1">{"'TDTGT (theo Dphuong)'!$A$4:$F$75"}</definedName>
    <definedName name="_K2" localSheetId="15" hidden="1">{#N/A,#N/A,FALSE,"Chung"}</definedName>
    <definedName name="_K2" hidden="1">{#N/A,#N/A,FALSE,"Chung"}</definedName>
    <definedName name="_K7" localSheetId="15" hidden="1">{"'TDTGT (theo Dphuong)'!$A$4:$F$75"}</definedName>
    <definedName name="_K7" hidden="1">{"'TDTGT (theo Dphuong)'!$A$4:$F$75"}</definedName>
    <definedName name="A" localSheetId="0">'[2]PNT-QUOT-#3'!#REF!</definedName>
    <definedName name="A" localSheetId="9">'[1]PNT-QUOT-#3'!#REF!</definedName>
    <definedName name="A" localSheetId="12">'[1]PNT-QUOT-#3'!#REF!</definedName>
    <definedName name="A" localSheetId="16">'[1]PNT-QUOT-#3'!#REF!</definedName>
    <definedName name="A" localSheetId="4">'[3]PNT-QUOT-#3'!#REF!</definedName>
    <definedName name="A" localSheetId="6">'[1]PNT-QUOT-#3'!#REF!</definedName>
    <definedName name="A" localSheetId="7">'[1]PNT-QUOT-#3'!#REF!</definedName>
    <definedName name="A" localSheetId="8">'[1]PNT-QUOT-#3'!#REF!</definedName>
    <definedName name="A">'[2]PNT-QUOT-#3'!#REF!</definedName>
    <definedName name="AAA" localSheetId="0">'[4]MTL$-INTER'!#REF!</definedName>
    <definedName name="AAA" localSheetId="9">'[4]MTL$-INTER'!#REF!</definedName>
    <definedName name="AAA" localSheetId="12">'[4]MTL$-INTER'!#REF!</definedName>
    <definedName name="AAA" localSheetId="15">'[5]MTL$-INTER'!#REF!</definedName>
    <definedName name="AAA" localSheetId="16">'[4]MTL$-INTER'!#REF!</definedName>
    <definedName name="AAA" localSheetId="4">'[5]MTL$-INTER'!#REF!</definedName>
    <definedName name="AAA" localSheetId="6">'[4]MTL$-INTER'!#REF!</definedName>
    <definedName name="AAA" localSheetId="7">'[4]MTL$-INTER'!#REF!</definedName>
    <definedName name="AAA" localSheetId="8">'[4]MTL$-INTER'!#REF!</definedName>
    <definedName name="AAA">'[6]MTL$-INTER'!#REF!</definedName>
    <definedName name="abc" localSheetId="0" hidden="1">{"'TDTGT (theo Dphuong)'!$A$4:$F$75"}</definedName>
    <definedName name="abc" localSheetId="9" hidden="1">{"'TDTGT (theo Dphuong)'!$A$4:$F$75"}</definedName>
    <definedName name="abc" localSheetId="12" hidden="1">{"'TDTGT (theo Dphuong)'!$A$4:$F$75"}</definedName>
    <definedName name="abc" localSheetId="15" hidden="1">{"'TDTGT (theo Dphuong)'!$A$4:$F$75"}</definedName>
    <definedName name="abc" localSheetId="2" hidden="1">{"'TDTGT (theo Dphuong)'!$A$4:$F$75"}</definedName>
    <definedName name="abc" localSheetId="4" hidden="1">{"'TDTGT (theo Dphuong)'!$A$4:$F$75"}</definedName>
    <definedName name="abc" localSheetId="6" hidden="1">{"'TDTGT (theo Dphuong)'!$A$4:$F$75"}</definedName>
    <definedName name="abc" hidden="1">{"'TDTGT (theo Dphuong)'!$A$4:$F$75"}</definedName>
    <definedName name="adsf" localSheetId="0">#REF!</definedName>
    <definedName name="adsf" localSheetId="9">#REF!</definedName>
    <definedName name="adsf" localSheetId="12">#REF!</definedName>
    <definedName name="adsf" localSheetId="15">#REF!</definedName>
    <definedName name="adsf" localSheetId="16">#REF!</definedName>
    <definedName name="adsf" localSheetId="2">#REF!</definedName>
    <definedName name="adsf" localSheetId="4">#REF!</definedName>
    <definedName name="adsf" localSheetId="6">#REF!</definedName>
    <definedName name="adsf" localSheetId="7">#REF!</definedName>
    <definedName name="adsf" localSheetId="8">#REF!</definedName>
    <definedName name="adsf">#REF!</definedName>
    <definedName name="anpha" localSheetId="9">#REF!</definedName>
    <definedName name="anpha" localSheetId="12">#REF!</definedName>
    <definedName name="anpha" localSheetId="15">#REF!</definedName>
    <definedName name="anpha" localSheetId="16">#REF!</definedName>
    <definedName name="anpha" localSheetId="2">#REF!</definedName>
    <definedName name="anpha" localSheetId="4">#REF!</definedName>
    <definedName name="anpha" localSheetId="6">#REF!</definedName>
    <definedName name="anpha" localSheetId="7">#REF!</definedName>
    <definedName name="anpha" localSheetId="8">#REF!</definedName>
    <definedName name="anpha">#REF!</definedName>
    <definedName name="B" localSheetId="9">'[1]PNT-QUOT-#3'!#REF!</definedName>
    <definedName name="B" localSheetId="12">'[1]PNT-QUOT-#3'!#REF!</definedName>
    <definedName name="B" localSheetId="15">'[2]PNT-QUOT-#3'!#REF!</definedName>
    <definedName name="B" localSheetId="16">'[1]PNT-QUOT-#3'!#REF!</definedName>
    <definedName name="B" localSheetId="2">'[2]PNT-QUOT-#3'!#REF!</definedName>
    <definedName name="B" localSheetId="4">'[3]PNT-QUOT-#3'!#REF!</definedName>
    <definedName name="B" localSheetId="6">'[1]PNT-QUOT-#3'!#REF!</definedName>
    <definedName name="B" localSheetId="7">'[1]PNT-QUOT-#3'!#REF!</definedName>
    <definedName name="B" localSheetId="8">'[1]PNT-QUOT-#3'!#REF!</definedName>
    <definedName name="B">'[2]PNT-QUOT-#3'!#REF!</definedName>
    <definedName name="B5new" localSheetId="0" hidden="1">{"'TDTGT (theo Dphuong)'!$A$4:$F$75"}</definedName>
    <definedName name="B5new" localSheetId="9" hidden="1">{"'TDTGT (theo Dphuong)'!$A$4:$F$75"}</definedName>
    <definedName name="B5new" localSheetId="12" hidden="1">{"'TDTGT (theo Dphuong)'!$A$4:$F$75"}</definedName>
    <definedName name="B5new" localSheetId="15" hidden="1">{"'TDTGT (theo Dphuong)'!$A$4:$F$75"}</definedName>
    <definedName name="B5new" localSheetId="2" hidden="1">{"'TDTGT (theo Dphuong)'!$A$4:$F$75"}</definedName>
    <definedName name="B5new" localSheetId="4" hidden="1">{"'TDTGT (theo Dphuong)'!$A$4:$F$75"}</definedName>
    <definedName name="B5new" localSheetId="6" hidden="1">{"'TDTGT (theo Dphuong)'!$A$4:$F$75"}</definedName>
    <definedName name="B5new" hidden="1">{"'TDTGT (theo Dphuong)'!$A$4:$F$75"}</definedName>
    <definedName name="beta" localSheetId="0">#REF!</definedName>
    <definedName name="beta" localSheetId="9">#REF!</definedName>
    <definedName name="beta" localSheetId="12">#REF!</definedName>
    <definedName name="beta" localSheetId="15">#REF!</definedName>
    <definedName name="beta" localSheetId="16">#REF!</definedName>
    <definedName name="beta" localSheetId="2">#REF!</definedName>
    <definedName name="beta" localSheetId="4">#REF!</definedName>
    <definedName name="beta" localSheetId="6">#REF!</definedName>
    <definedName name="beta" localSheetId="7">#REF!</definedName>
    <definedName name="beta" localSheetId="8">#REF!</definedName>
    <definedName name="beta">#REF!</definedName>
    <definedName name="BT" localSheetId="0">#REF!</definedName>
    <definedName name="BT" localSheetId="9">#REF!</definedName>
    <definedName name="BT" localSheetId="12">#REF!</definedName>
    <definedName name="BT" localSheetId="15">#REF!</definedName>
    <definedName name="BT" localSheetId="16">#REF!</definedName>
    <definedName name="BT" localSheetId="2">#REF!</definedName>
    <definedName name="BT" localSheetId="4">#REF!</definedName>
    <definedName name="BT" localSheetId="6">#REF!</definedName>
    <definedName name="BT" localSheetId="7">#REF!</definedName>
    <definedName name="BT" localSheetId="8">#REF!</definedName>
    <definedName name="BT">#REF!</definedName>
    <definedName name="bv" localSheetId="9">#REF!</definedName>
    <definedName name="bv" localSheetId="12">#REF!</definedName>
    <definedName name="bv" localSheetId="15">#REF!</definedName>
    <definedName name="bv" localSheetId="16">#REF!</definedName>
    <definedName name="bv" localSheetId="2">#REF!</definedName>
    <definedName name="bv" localSheetId="4">#REF!</definedName>
    <definedName name="bv" localSheetId="6">#REF!</definedName>
    <definedName name="bv" localSheetId="7">#REF!</definedName>
    <definedName name="bv" localSheetId="8">#REF!</definedName>
    <definedName name="bv">#REF!</definedName>
    <definedName name="COAT" localSheetId="9">'[1]PNT-QUOT-#3'!#REF!</definedName>
    <definedName name="COAT" localSheetId="12">'[1]PNT-QUOT-#3'!#REF!</definedName>
    <definedName name="COAT" localSheetId="15">'[2]PNT-QUOT-#3'!#REF!</definedName>
    <definedName name="COAT" localSheetId="16">'[1]PNT-QUOT-#3'!#REF!</definedName>
    <definedName name="COAT" localSheetId="2">'[2]PNT-QUOT-#3'!#REF!</definedName>
    <definedName name="COAT" localSheetId="4">'[3]PNT-QUOT-#3'!#REF!</definedName>
    <definedName name="COAT" localSheetId="6">'[1]PNT-QUOT-#3'!#REF!</definedName>
    <definedName name="COAT" localSheetId="7">'[1]PNT-QUOT-#3'!#REF!</definedName>
    <definedName name="COAT" localSheetId="8">'[1]PNT-QUOT-#3'!#REF!</definedName>
    <definedName name="COAT">'[2]PNT-QUOT-#3'!#REF!</definedName>
    <definedName name="CS_10" localSheetId="0">#REF!</definedName>
    <definedName name="CS_10" localSheetId="9">#REF!</definedName>
    <definedName name="CS_10" localSheetId="12">#REF!</definedName>
    <definedName name="CS_10" localSheetId="15">#REF!</definedName>
    <definedName name="CS_10" localSheetId="16">#REF!</definedName>
    <definedName name="CS_10" localSheetId="2">#REF!</definedName>
    <definedName name="CS_10" localSheetId="4">#REF!</definedName>
    <definedName name="CS_10" localSheetId="6">#REF!</definedName>
    <definedName name="CS_10" localSheetId="7">#REF!</definedName>
    <definedName name="CS_10" localSheetId="8">#REF!</definedName>
    <definedName name="CS_10">#REF!</definedName>
    <definedName name="CS_100" localSheetId="0">#REF!</definedName>
    <definedName name="CS_100" localSheetId="9">#REF!</definedName>
    <definedName name="CS_100" localSheetId="12">#REF!</definedName>
    <definedName name="CS_100" localSheetId="15">#REF!</definedName>
    <definedName name="CS_100" localSheetId="16">#REF!</definedName>
    <definedName name="CS_100" localSheetId="2">#REF!</definedName>
    <definedName name="CS_100" localSheetId="4">#REF!</definedName>
    <definedName name="CS_100" localSheetId="6">#REF!</definedName>
    <definedName name="CS_100" localSheetId="7">#REF!</definedName>
    <definedName name="CS_100" localSheetId="8">#REF!</definedName>
    <definedName name="CS_100">#REF!</definedName>
    <definedName name="CS_10S" localSheetId="0">#REF!</definedName>
    <definedName name="CS_10S" localSheetId="9">#REF!</definedName>
    <definedName name="CS_10S" localSheetId="12">#REF!</definedName>
    <definedName name="CS_10S" localSheetId="15">#REF!</definedName>
    <definedName name="CS_10S" localSheetId="16">#REF!</definedName>
    <definedName name="CS_10S" localSheetId="2">#REF!</definedName>
    <definedName name="CS_10S" localSheetId="4">#REF!</definedName>
    <definedName name="CS_10S" localSheetId="6">#REF!</definedName>
    <definedName name="CS_10S" localSheetId="7">#REF!</definedName>
    <definedName name="CS_10S" localSheetId="8">#REF!</definedName>
    <definedName name="CS_10S">#REF!</definedName>
    <definedName name="CS_120" localSheetId="0">#REF!</definedName>
    <definedName name="CS_120" localSheetId="9">#REF!</definedName>
    <definedName name="CS_120" localSheetId="12">#REF!</definedName>
    <definedName name="CS_120" localSheetId="15">#REF!</definedName>
    <definedName name="CS_120" localSheetId="16">#REF!</definedName>
    <definedName name="CS_120" localSheetId="2">#REF!</definedName>
    <definedName name="CS_120" localSheetId="4">#REF!</definedName>
    <definedName name="CS_120" localSheetId="6">#REF!</definedName>
    <definedName name="CS_120" localSheetId="7">#REF!</definedName>
    <definedName name="CS_120" localSheetId="8">#REF!</definedName>
    <definedName name="CS_120">#REF!</definedName>
    <definedName name="CS_140" localSheetId="0">#REF!</definedName>
    <definedName name="CS_140" localSheetId="9">#REF!</definedName>
    <definedName name="CS_140" localSheetId="12">#REF!</definedName>
    <definedName name="CS_140" localSheetId="15">#REF!</definedName>
    <definedName name="CS_140" localSheetId="16">#REF!</definedName>
    <definedName name="CS_140" localSheetId="2">#REF!</definedName>
    <definedName name="CS_140" localSheetId="4">#REF!</definedName>
    <definedName name="CS_140" localSheetId="6">#REF!</definedName>
    <definedName name="CS_140" localSheetId="7">#REF!</definedName>
    <definedName name="CS_140" localSheetId="8">#REF!</definedName>
    <definedName name="CS_140">#REF!</definedName>
    <definedName name="CS_160" localSheetId="0">#REF!</definedName>
    <definedName name="CS_160" localSheetId="9">#REF!</definedName>
    <definedName name="CS_160" localSheetId="12">#REF!</definedName>
    <definedName name="CS_160" localSheetId="15">#REF!</definedName>
    <definedName name="CS_160" localSheetId="16">#REF!</definedName>
    <definedName name="CS_160" localSheetId="2">#REF!</definedName>
    <definedName name="CS_160" localSheetId="4">#REF!</definedName>
    <definedName name="CS_160" localSheetId="6">#REF!</definedName>
    <definedName name="CS_160" localSheetId="7">#REF!</definedName>
    <definedName name="CS_160" localSheetId="8">#REF!</definedName>
    <definedName name="CS_160">#REF!</definedName>
    <definedName name="CS_20" localSheetId="0">#REF!</definedName>
    <definedName name="CS_20" localSheetId="9">#REF!</definedName>
    <definedName name="CS_20" localSheetId="12">#REF!</definedName>
    <definedName name="CS_20" localSheetId="15">#REF!</definedName>
    <definedName name="CS_20" localSheetId="16">#REF!</definedName>
    <definedName name="CS_20" localSheetId="2">#REF!</definedName>
    <definedName name="CS_20" localSheetId="4">#REF!</definedName>
    <definedName name="CS_20" localSheetId="6">#REF!</definedName>
    <definedName name="CS_20" localSheetId="7">#REF!</definedName>
    <definedName name="CS_20" localSheetId="8">#REF!</definedName>
    <definedName name="CS_20">#REF!</definedName>
    <definedName name="CS_30" localSheetId="0">#REF!</definedName>
    <definedName name="CS_30" localSheetId="9">#REF!</definedName>
    <definedName name="CS_30" localSheetId="12">#REF!</definedName>
    <definedName name="CS_30" localSheetId="15">#REF!</definedName>
    <definedName name="CS_30" localSheetId="16">#REF!</definedName>
    <definedName name="CS_30" localSheetId="2">#REF!</definedName>
    <definedName name="CS_30" localSheetId="4">#REF!</definedName>
    <definedName name="CS_30" localSheetId="6">#REF!</definedName>
    <definedName name="CS_30" localSheetId="7">#REF!</definedName>
    <definedName name="CS_30" localSheetId="8">#REF!</definedName>
    <definedName name="CS_30">#REF!</definedName>
    <definedName name="CS_40" localSheetId="0">#REF!</definedName>
    <definedName name="CS_40" localSheetId="9">#REF!</definedName>
    <definedName name="CS_40" localSheetId="12">#REF!</definedName>
    <definedName name="CS_40" localSheetId="15">#REF!</definedName>
    <definedName name="CS_40" localSheetId="16">#REF!</definedName>
    <definedName name="CS_40" localSheetId="2">#REF!</definedName>
    <definedName name="CS_40" localSheetId="4">#REF!</definedName>
    <definedName name="CS_40" localSheetId="6">#REF!</definedName>
    <definedName name="CS_40" localSheetId="7">#REF!</definedName>
    <definedName name="CS_40" localSheetId="8">#REF!</definedName>
    <definedName name="CS_40">#REF!</definedName>
    <definedName name="CS_40S" localSheetId="0">#REF!</definedName>
    <definedName name="CS_40S" localSheetId="9">#REF!</definedName>
    <definedName name="CS_40S" localSheetId="12">#REF!</definedName>
    <definedName name="CS_40S" localSheetId="15">#REF!</definedName>
    <definedName name="CS_40S" localSheetId="16">#REF!</definedName>
    <definedName name="CS_40S" localSheetId="2">#REF!</definedName>
    <definedName name="CS_40S" localSheetId="4">#REF!</definedName>
    <definedName name="CS_40S" localSheetId="6">#REF!</definedName>
    <definedName name="CS_40S" localSheetId="7">#REF!</definedName>
    <definedName name="CS_40S" localSheetId="8">#REF!</definedName>
    <definedName name="CS_40S">#REF!</definedName>
    <definedName name="CS_5S" localSheetId="0">#REF!</definedName>
    <definedName name="CS_5S" localSheetId="9">#REF!</definedName>
    <definedName name="CS_5S" localSheetId="12">#REF!</definedName>
    <definedName name="CS_5S" localSheetId="15">#REF!</definedName>
    <definedName name="CS_5S" localSheetId="16">#REF!</definedName>
    <definedName name="CS_5S" localSheetId="2">#REF!</definedName>
    <definedName name="CS_5S" localSheetId="4">#REF!</definedName>
    <definedName name="CS_5S" localSheetId="6">#REF!</definedName>
    <definedName name="CS_5S" localSheetId="7">#REF!</definedName>
    <definedName name="CS_5S" localSheetId="8">#REF!</definedName>
    <definedName name="CS_5S">#REF!</definedName>
    <definedName name="CS_60" localSheetId="0">#REF!</definedName>
    <definedName name="CS_60" localSheetId="9">#REF!</definedName>
    <definedName name="CS_60" localSheetId="12">#REF!</definedName>
    <definedName name="CS_60" localSheetId="15">#REF!</definedName>
    <definedName name="CS_60" localSheetId="16">#REF!</definedName>
    <definedName name="CS_60" localSheetId="2">#REF!</definedName>
    <definedName name="CS_60" localSheetId="4">#REF!</definedName>
    <definedName name="CS_60" localSheetId="6">#REF!</definedName>
    <definedName name="CS_60" localSheetId="7">#REF!</definedName>
    <definedName name="CS_60" localSheetId="8">#REF!</definedName>
    <definedName name="CS_60">#REF!</definedName>
    <definedName name="CS_80" localSheetId="0">#REF!</definedName>
    <definedName name="CS_80" localSheetId="9">#REF!</definedName>
    <definedName name="CS_80" localSheetId="12">#REF!</definedName>
    <definedName name="CS_80" localSheetId="15">#REF!</definedName>
    <definedName name="CS_80" localSheetId="16">#REF!</definedName>
    <definedName name="CS_80" localSheetId="2">#REF!</definedName>
    <definedName name="CS_80" localSheetId="4">#REF!</definedName>
    <definedName name="CS_80" localSheetId="6">#REF!</definedName>
    <definedName name="CS_80" localSheetId="7">#REF!</definedName>
    <definedName name="CS_80" localSheetId="8">#REF!</definedName>
    <definedName name="CS_80">#REF!</definedName>
    <definedName name="CS_80S" localSheetId="0">#REF!</definedName>
    <definedName name="CS_80S" localSheetId="9">#REF!</definedName>
    <definedName name="CS_80S" localSheetId="12">#REF!</definedName>
    <definedName name="CS_80S" localSheetId="15">#REF!</definedName>
    <definedName name="CS_80S" localSheetId="16">#REF!</definedName>
    <definedName name="CS_80S" localSheetId="2">#REF!</definedName>
    <definedName name="CS_80S" localSheetId="4">#REF!</definedName>
    <definedName name="CS_80S" localSheetId="6">#REF!</definedName>
    <definedName name="CS_80S" localSheetId="7">#REF!</definedName>
    <definedName name="CS_80S" localSheetId="8">#REF!</definedName>
    <definedName name="CS_80S">#REF!</definedName>
    <definedName name="CS_STD" localSheetId="0">#REF!</definedName>
    <definedName name="CS_STD" localSheetId="9">#REF!</definedName>
    <definedName name="CS_STD" localSheetId="12">#REF!</definedName>
    <definedName name="CS_STD" localSheetId="15">#REF!</definedName>
    <definedName name="CS_STD" localSheetId="16">#REF!</definedName>
    <definedName name="CS_STD" localSheetId="2">#REF!</definedName>
    <definedName name="CS_STD" localSheetId="4">#REF!</definedName>
    <definedName name="CS_STD" localSheetId="6">#REF!</definedName>
    <definedName name="CS_STD" localSheetId="7">#REF!</definedName>
    <definedName name="CS_STD" localSheetId="8">#REF!</definedName>
    <definedName name="CS_STD">#REF!</definedName>
    <definedName name="CS_XS" localSheetId="0">#REF!</definedName>
    <definedName name="CS_XS" localSheetId="9">#REF!</definedName>
    <definedName name="CS_XS" localSheetId="12">#REF!</definedName>
    <definedName name="CS_XS" localSheetId="15">#REF!</definedName>
    <definedName name="CS_XS" localSheetId="16">#REF!</definedName>
    <definedName name="CS_XS" localSheetId="2">#REF!</definedName>
    <definedName name="CS_XS" localSheetId="4">#REF!</definedName>
    <definedName name="CS_XS" localSheetId="6">#REF!</definedName>
    <definedName name="CS_XS" localSheetId="7">#REF!</definedName>
    <definedName name="CS_XS" localSheetId="8">#REF!</definedName>
    <definedName name="CS_XS">#REF!</definedName>
    <definedName name="CS_XXS" localSheetId="0">#REF!</definedName>
    <definedName name="CS_XXS" localSheetId="9">#REF!</definedName>
    <definedName name="CS_XXS" localSheetId="12">#REF!</definedName>
    <definedName name="CS_XXS" localSheetId="15">#REF!</definedName>
    <definedName name="CS_XXS" localSheetId="16">#REF!</definedName>
    <definedName name="CS_XXS" localSheetId="2">#REF!</definedName>
    <definedName name="CS_XXS" localSheetId="4">#REF!</definedName>
    <definedName name="CS_XXS" localSheetId="6">#REF!</definedName>
    <definedName name="CS_XXS" localSheetId="7">#REF!</definedName>
    <definedName name="CS_XXS" localSheetId="8">#REF!</definedName>
    <definedName name="CS_XXS">#REF!</definedName>
    <definedName name="cv" localSheetId="0" hidden="1">{"'TDTGT (theo Dphuong)'!$A$4:$F$75"}</definedName>
    <definedName name="cv" localSheetId="9" hidden="1">{"'TDTGT (theo Dphuong)'!$A$4:$F$75"}</definedName>
    <definedName name="cv" localSheetId="12" hidden="1">{"'TDTGT (theo Dphuong)'!$A$4:$F$75"}</definedName>
    <definedName name="cv" localSheetId="15" hidden="1">{"'TDTGT (theo Dphuong)'!$A$4:$F$75"}</definedName>
    <definedName name="cv" localSheetId="2" hidden="1">{"'TDTGT (theo Dphuong)'!$A$4:$F$75"}</definedName>
    <definedName name="cv" localSheetId="4" hidden="1">{"'TDTGT (theo Dphuong)'!$A$4:$F$75"}</definedName>
    <definedName name="cv" localSheetId="6" hidden="1">{"'TDTGT (theo Dphuong)'!$A$4:$F$75"}</definedName>
    <definedName name="cv" hidden="1">{"'TDTGT (theo Dphuong)'!$A$4:$F$75"}</definedName>
    <definedName name="cx" localSheetId="0">#REF!</definedName>
    <definedName name="cx" localSheetId="9">#REF!</definedName>
    <definedName name="cx" localSheetId="12">#REF!</definedName>
    <definedName name="cx" localSheetId="15">#REF!</definedName>
    <definedName name="cx" localSheetId="16">#REF!</definedName>
    <definedName name="cx" localSheetId="2">#REF!</definedName>
    <definedName name="cx" localSheetId="4">#REF!</definedName>
    <definedName name="cx" localSheetId="6">#REF!</definedName>
    <definedName name="cx" localSheetId="7">#REF!</definedName>
    <definedName name="cx" localSheetId="8">#REF!</definedName>
    <definedName name="cx">#REF!</definedName>
    <definedName name="d" localSheetId="9" hidden="1">#REF!</definedName>
    <definedName name="d" localSheetId="12" hidden="1">#REF!</definedName>
    <definedName name="d" localSheetId="15" hidden="1">#REF!</definedName>
    <definedName name="d" localSheetId="16" hidden="1">#REF!</definedName>
    <definedName name="d" localSheetId="2" hidden="1">#REF!</definedName>
    <definedName name="d" localSheetId="4" hidden="1">#REF!</definedName>
    <definedName name="d" localSheetId="6" hidden="1">#REF!</definedName>
    <definedName name="d" localSheetId="7" hidden="1">#REF!</definedName>
    <definedName name="d" localSheetId="8" hidden="1">#REF!</definedName>
    <definedName name="d" hidden="1">#REF!</definedName>
    <definedName name="dd" localSheetId="9">#REF!</definedName>
    <definedName name="dd" localSheetId="12">#REF!</definedName>
    <definedName name="dd" localSheetId="15">#REF!</definedName>
    <definedName name="dd" localSheetId="16">#REF!</definedName>
    <definedName name="dd" localSheetId="2">#REF!</definedName>
    <definedName name="dd" localSheetId="4">#REF!</definedName>
    <definedName name="dd" localSheetId="6">#REF!</definedName>
    <definedName name="dd" localSheetId="7">#REF!</definedName>
    <definedName name="dd" localSheetId="8">#REF!</definedName>
    <definedName name="dd">#REF!</definedName>
    <definedName name="df" localSheetId="9" hidden="1">#REF!</definedName>
    <definedName name="df" localSheetId="12" hidden="1">#REF!</definedName>
    <definedName name="df" localSheetId="15" hidden="1">#REF!</definedName>
    <definedName name="df" localSheetId="16" hidden="1">#REF!</definedName>
    <definedName name="df" localSheetId="2" hidden="1">#REF!</definedName>
    <definedName name="df" localSheetId="4" hidden="1">#REF!</definedName>
    <definedName name="df" localSheetId="6" hidden="1">#REF!</definedName>
    <definedName name="df" localSheetId="7" hidden="1">#REF!</definedName>
    <definedName name="df" localSheetId="8" hidden="1">#REF!</definedName>
    <definedName name="df" hidden="1">#REF!</definedName>
    <definedName name="dg" localSheetId="9">#REF!</definedName>
    <definedName name="dg" localSheetId="12">#REF!</definedName>
    <definedName name="dg" localSheetId="15">#REF!</definedName>
    <definedName name="dg" localSheetId="16">#REF!</definedName>
    <definedName name="dg" localSheetId="2">#REF!</definedName>
    <definedName name="dg" localSheetId="4">#REF!</definedName>
    <definedName name="dg" localSheetId="6">#REF!</definedName>
    <definedName name="dg" localSheetId="7">#REF!</definedName>
    <definedName name="dg" localSheetId="8">#REF!</definedName>
    <definedName name="dg">#REF!</definedName>
    <definedName name="dien" localSheetId="9">#REF!</definedName>
    <definedName name="dien" localSheetId="12">#REF!</definedName>
    <definedName name="dien" localSheetId="15">#REF!</definedName>
    <definedName name="dien" localSheetId="16">#REF!</definedName>
    <definedName name="dien" localSheetId="2">#REF!</definedName>
    <definedName name="dien" localSheetId="4">#REF!</definedName>
    <definedName name="dien" localSheetId="6">#REF!</definedName>
    <definedName name="dien" localSheetId="7">#REF!</definedName>
    <definedName name="dien" localSheetId="8">#REF!</definedName>
    <definedName name="dien">#REF!</definedName>
    <definedName name="dn" localSheetId="0" hidden="1">{"'TDTGT (theo Dphuong)'!$A$4:$F$75"}</definedName>
    <definedName name="dn" localSheetId="9" hidden="1">{"'TDTGT (theo Dphuong)'!$A$4:$F$75"}</definedName>
    <definedName name="dn" localSheetId="12" hidden="1">{"'TDTGT (theo Dphuong)'!$A$4:$F$75"}</definedName>
    <definedName name="dn" localSheetId="15" hidden="1">{"'TDTGT (theo Dphuong)'!$A$4:$F$75"}</definedName>
    <definedName name="dn" localSheetId="2" hidden="1">{"'TDTGT (theo Dphuong)'!$A$4:$F$75"}</definedName>
    <definedName name="dn" localSheetId="4" hidden="1">{"'TDTGT (theo Dphuong)'!$A$4:$F$75"}</definedName>
    <definedName name="dn" localSheetId="6" hidden="1">{"'TDTGT (theo Dphuong)'!$A$4:$F$75"}</definedName>
    <definedName name="dn" hidden="1">{"'TDTGT (theo Dphuong)'!$A$4:$F$75"}</definedName>
    <definedName name="ffddg" localSheetId="0">#REF!</definedName>
    <definedName name="ffddg" localSheetId="9">#REF!</definedName>
    <definedName name="ffddg" localSheetId="12">#REF!</definedName>
    <definedName name="ffddg" localSheetId="15">#REF!</definedName>
    <definedName name="ffddg" localSheetId="16">#REF!</definedName>
    <definedName name="ffddg" localSheetId="2">#REF!</definedName>
    <definedName name="ffddg" localSheetId="4">#REF!</definedName>
    <definedName name="ffddg" localSheetId="6">#REF!</definedName>
    <definedName name="ffddg" localSheetId="7">#REF!</definedName>
    <definedName name="ffddg" localSheetId="8">#REF!</definedName>
    <definedName name="ffddg">#REF!</definedName>
    <definedName name="FP" localSheetId="0">'[2]COAT&amp;WRAP-QIOT-#3'!#REF!</definedName>
    <definedName name="FP" localSheetId="9">'[1]COAT&amp;WRAP-QIOT-#3'!#REF!</definedName>
    <definedName name="FP" localSheetId="12">'[1]COAT&amp;WRAP-QIOT-#3'!#REF!</definedName>
    <definedName name="FP" localSheetId="16">'[1]COAT&amp;WRAP-QIOT-#3'!#REF!</definedName>
    <definedName name="FP" localSheetId="4">'[3]COAT&amp;WRAP-QIOT-#3'!#REF!</definedName>
    <definedName name="FP" localSheetId="6">'[1]COAT&amp;WRAP-QIOT-#3'!#REF!</definedName>
    <definedName name="FP" localSheetId="7">'[1]COAT&amp;WRAP-QIOT-#3'!#REF!</definedName>
    <definedName name="FP" localSheetId="8">'[1]COAT&amp;WRAP-QIOT-#3'!#REF!</definedName>
    <definedName name="FP">'[2]COAT&amp;WRAP-QIOT-#3'!#REF!</definedName>
    <definedName name="h" localSheetId="0" hidden="1">{"'TDTGT (theo Dphuong)'!$A$4:$F$75"}</definedName>
    <definedName name="h" localSheetId="9" hidden="1">{"'TDTGT (theo Dphuong)'!$A$4:$F$75"}</definedName>
    <definedName name="h" localSheetId="12" hidden="1">{"'TDTGT (theo Dphuong)'!$A$4:$F$75"}</definedName>
    <definedName name="h" localSheetId="15" hidden="1">{"'TDTGT (theo Dphuong)'!$A$4:$F$75"}</definedName>
    <definedName name="h" localSheetId="2" hidden="1">{"'TDTGT (theo Dphuong)'!$A$4:$F$75"}</definedName>
    <definedName name="h" localSheetId="4" hidden="1">{"'TDTGT (theo Dphuong)'!$A$4:$F$75"}</definedName>
    <definedName name="h" localSheetId="6" hidden="1">{"'TDTGT (theo Dphuong)'!$A$4:$F$75"}</definedName>
    <definedName name="h" hidden="1">{"'TDTGT (theo Dphuong)'!$A$4:$F$75"}</definedName>
    <definedName name="hab" localSheetId="0">#REF!</definedName>
    <definedName name="hab" localSheetId="9">#REF!</definedName>
    <definedName name="hab" localSheetId="12">#REF!</definedName>
    <definedName name="hab" localSheetId="15">#REF!</definedName>
    <definedName name="hab" localSheetId="16">#REF!</definedName>
    <definedName name="hab" localSheetId="2">#REF!</definedName>
    <definedName name="hab" localSheetId="4">#REF!</definedName>
    <definedName name="hab" localSheetId="6">#REF!</definedName>
    <definedName name="hab" localSheetId="7">#REF!</definedName>
    <definedName name="hab" localSheetId="8">#REF!</definedName>
    <definedName name="hab">#REF!</definedName>
    <definedName name="habac" localSheetId="0">#REF!</definedName>
    <definedName name="habac" localSheetId="9">#REF!</definedName>
    <definedName name="habac" localSheetId="12">#REF!</definedName>
    <definedName name="habac" localSheetId="15">#REF!</definedName>
    <definedName name="habac" localSheetId="16">#REF!</definedName>
    <definedName name="habac" localSheetId="2">#REF!</definedName>
    <definedName name="habac" localSheetId="4">#REF!</definedName>
    <definedName name="habac" localSheetId="6">#REF!</definedName>
    <definedName name="habac" localSheetId="7">#REF!</definedName>
    <definedName name="habac" localSheetId="8">#REF!</definedName>
    <definedName name="habac">#REF!</definedName>
    <definedName name="Habac1">'[7]7 THAI NGUYEN'!$A$11</definedName>
    <definedName name="hhg" localSheetId="0">#REF!</definedName>
    <definedName name="hhg" localSheetId="9">#REF!</definedName>
    <definedName name="hhg" localSheetId="12">#REF!</definedName>
    <definedName name="hhg" localSheetId="15">#REF!</definedName>
    <definedName name="hhg" localSheetId="16">#REF!</definedName>
    <definedName name="hhg" localSheetId="2">#REF!</definedName>
    <definedName name="hhg" localSheetId="4">#REF!</definedName>
    <definedName name="hhg" localSheetId="6">#REF!</definedName>
    <definedName name="hhg" localSheetId="7">#REF!</definedName>
    <definedName name="hhg" localSheetId="8">#REF!</definedName>
    <definedName name="hhg">#REF!</definedName>
    <definedName name="HTML_CodePage" hidden="1">1252</definedName>
    <definedName name="HTML_Control" localSheetId="0" hidden="1">{"'TDTGT (theo Dphuong)'!$A$4:$F$75"}</definedName>
    <definedName name="HTML_Control" localSheetId="9" hidden="1">{"'TDTGT (theo Dphuong)'!$A$4:$F$75"}</definedName>
    <definedName name="HTML_Control" localSheetId="12" hidden="1">{"'TDTGT (theo Dphuong)'!$A$4:$F$75"}</definedName>
    <definedName name="HTML_Control" localSheetId="15" hidden="1">{"'TDTGT (theo Dphuong)'!$A$4:$F$75"}</definedName>
    <definedName name="HTML_Control" localSheetId="2" hidden="1">{"'TDTGT (theo Dphuong)'!$A$4:$F$75"}</definedName>
    <definedName name="HTML_Control" localSheetId="4" hidden="1">{"'TDTGT (theo Dphuong)'!$A$4:$F$75"}</definedName>
    <definedName name="HTML_Control" localSheetId="6" hidden="1">{"'TDTGT (theo Dphuong)'!$A$4:$F$75"}</definedName>
    <definedName name="HTML_Control" hidden="1">{"'TDTGT (theo Dphuong)'!$A$4:$F$75"}</definedName>
    <definedName name="HTML_Description" hidden="1">""</definedName>
    <definedName name="HTML_Email" hidden="1">"cvhoach@www.gso.gov.vn"</definedName>
    <definedName name="HTML_Header" hidden="1">"TDTGT (theo Dphuong)"</definedName>
    <definedName name="HTML_LastUpdate" hidden="1">"1/21/99"</definedName>
    <definedName name="HTML_LineAfter" hidden="1">TRUE</definedName>
    <definedName name="HTML_LineBefore" hidden="1">TRUE</definedName>
    <definedName name="HTML_Name" hidden="1">"PHONG TRONG TROT"</definedName>
    <definedName name="HTML_OBDlg2" hidden="1">TRUE</definedName>
    <definedName name="HTML_OBDlg4" hidden="1">TRUE</definedName>
    <definedName name="HTML_OS" hidden="1">0</definedName>
    <definedName name="HTML_PathFile" hidden="1">"c:\hoach\thuhTM.htm"</definedName>
    <definedName name="HTML_Title" hidden="1">"Sè liÖuu 90-98 Phßng trång trät"</definedName>
    <definedName name="i" localSheetId="0" hidden="1">{#N/A,#N/A,FALSE,"Chung"}</definedName>
    <definedName name="i" localSheetId="9" hidden="1">{#N/A,#N/A,FALSE,"Chung"}</definedName>
    <definedName name="i" localSheetId="12" hidden="1">{#N/A,#N/A,FALSE,"Chung"}</definedName>
    <definedName name="i" localSheetId="15" hidden="1">{#N/A,#N/A,FALSE,"Chung"}</definedName>
    <definedName name="i" localSheetId="2" hidden="1">{#N/A,#N/A,FALSE,"Chung"}</definedName>
    <definedName name="i" localSheetId="4" hidden="1">{#N/A,#N/A,FALSE,"Chung"}</definedName>
    <definedName name="i" localSheetId="6" hidden="1">{#N/A,#N/A,FALSE,"Chung"}</definedName>
    <definedName name="i" hidden="1">{#N/A,#N/A,FALSE,"Chung"}</definedName>
    <definedName name="IO" localSheetId="9">'[1]COAT&amp;WRAP-QIOT-#3'!#REF!</definedName>
    <definedName name="IO" localSheetId="12">'[1]COAT&amp;WRAP-QIOT-#3'!#REF!</definedName>
    <definedName name="IO" localSheetId="16">'[1]COAT&amp;WRAP-QIOT-#3'!#REF!</definedName>
    <definedName name="IO" localSheetId="4">'[3]COAT&amp;WRAP-QIOT-#3'!#REF!</definedName>
    <definedName name="IO" localSheetId="6">'[1]COAT&amp;WRAP-QIOT-#3'!#REF!</definedName>
    <definedName name="IO" localSheetId="7">'[1]COAT&amp;WRAP-QIOT-#3'!#REF!</definedName>
    <definedName name="IO" localSheetId="8">'[1]COAT&amp;WRAP-QIOT-#3'!#REF!</definedName>
    <definedName name="IO">'[2]COAT&amp;WRAP-QIOT-#3'!#REF!</definedName>
    <definedName name="kjh" localSheetId="0" hidden="1">{#N/A,#N/A,FALSE,"Chung"}</definedName>
    <definedName name="kjh" localSheetId="9" hidden="1">{#N/A,#N/A,FALSE,"Chung"}</definedName>
    <definedName name="kjh" localSheetId="12" hidden="1">{#N/A,#N/A,FALSE,"Chung"}</definedName>
    <definedName name="kjh" localSheetId="15" hidden="1">{#N/A,#N/A,FALSE,"Chung"}</definedName>
    <definedName name="kjh" localSheetId="2" hidden="1">{#N/A,#N/A,FALSE,"Chung"}</definedName>
    <definedName name="kjh" localSheetId="4" hidden="1">{#N/A,#N/A,FALSE,"Chung"}</definedName>
    <definedName name="kjh" localSheetId="6" hidden="1">{#N/A,#N/A,FALSE,"Chung"}</definedName>
    <definedName name="kjh" hidden="1">{#N/A,#N/A,FALSE,"Chung"}</definedName>
    <definedName name="kjhjfhdjkfndfndf" localSheetId="0">#REF!</definedName>
    <definedName name="kjhjfhdjkfndfndf" localSheetId="9">#REF!</definedName>
    <definedName name="kjhjfhdjkfndfndf" localSheetId="12">#REF!</definedName>
    <definedName name="kjhjfhdjkfndfndf" localSheetId="15">#REF!</definedName>
    <definedName name="kjhjfhdjkfndfndf" localSheetId="16">#REF!</definedName>
    <definedName name="kjhjfhdjkfndfndf" localSheetId="2">#REF!</definedName>
    <definedName name="kjhjfhdjkfndfndf" localSheetId="4">#REF!</definedName>
    <definedName name="kjhjfhdjkfndfndf" localSheetId="6">#REF!</definedName>
    <definedName name="kjhjfhdjkfndfndf" localSheetId="7">#REF!</definedName>
    <definedName name="kjhjfhdjkfndfndf" localSheetId="8">#REF!</definedName>
    <definedName name="kjhjfhdjkfndfndf">#REF!</definedName>
    <definedName name="l" localSheetId="15" hidden="1">{"'TDTGT (theo Dphuong)'!$A$4:$F$75"}</definedName>
    <definedName name="l" hidden="1">{"'TDTGT (theo Dphuong)'!$A$4:$F$75"}</definedName>
    <definedName name="m" localSheetId="0" hidden="1">{"'TDTGT (theo Dphuong)'!$A$4:$F$75"}</definedName>
    <definedName name="m" localSheetId="9" hidden="1">{"'TDTGT (theo Dphuong)'!$A$4:$F$75"}</definedName>
    <definedName name="m" localSheetId="12" hidden="1">{"'TDTGT (theo Dphuong)'!$A$4:$F$75"}</definedName>
    <definedName name="m" localSheetId="15" hidden="1">{"'TDTGT (theo Dphuong)'!$A$4:$F$75"}</definedName>
    <definedName name="m" localSheetId="2" hidden="1">{"'TDTGT (theo Dphuong)'!$A$4:$F$75"}</definedName>
    <definedName name="m" localSheetId="4" hidden="1">{"'TDTGT (theo Dphuong)'!$A$4:$F$75"}</definedName>
    <definedName name="m" localSheetId="6" hidden="1">{"'TDTGT (theo Dphuong)'!$A$4:$F$75"}</definedName>
    <definedName name="m" hidden="1">{"'TDTGT (theo Dphuong)'!$A$4:$F$75"}</definedName>
    <definedName name="MAT" localSheetId="0">'[2]COAT&amp;WRAP-QIOT-#3'!#REF!</definedName>
    <definedName name="MAT" localSheetId="9">'[1]COAT&amp;WRAP-QIOT-#3'!#REF!</definedName>
    <definedName name="MAT" localSheetId="12">'[1]COAT&amp;WRAP-QIOT-#3'!#REF!</definedName>
    <definedName name="MAT" localSheetId="16">'[1]COAT&amp;WRAP-QIOT-#3'!#REF!</definedName>
    <definedName name="MAT" localSheetId="4">'[3]COAT&amp;WRAP-QIOT-#3'!#REF!</definedName>
    <definedName name="MAT" localSheetId="6">'[1]COAT&amp;WRAP-QIOT-#3'!#REF!</definedName>
    <definedName name="MAT" localSheetId="7">'[1]COAT&amp;WRAP-QIOT-#3'!#REF!</definedName>
    <definedName name="MAT" localSheetId="8">'[1]COAT&amp;WRAP-QIOT-#3'!#REF!</definedName>
    <definedName name="MAT">'[2]COAT&amp;WRAP-QIOT-#3'!#REF!</definedName>
    <definedName name="mc" localSheetId="0">#REF!</definedName>
    <definedName name="mc" localSheetId="9">#REF!</definedName>
    <definedName name="mc" localSheetId="12">#REF!</definedName>
    <definedName name="mc" localSheetId="15">#REF!</definedName>
    <definedName name="mc" localSheetId="16">#REF!</definedName>
    <definedName name="mc" localSheetId="2">#REF!</definedName>
    <definedName name="mc" localSheetId="4">#REF!</definedName>
    <definedName name="mc" localSheetId="6">#REF!</definedName>
    <definedName name="mc" localSheetId="7">#REF!</definedName>
    <definedName name="mc" localSheetId="8">#REF!</definedName>
    <definedName name="mc">#REF!</definedName>
    <definedName name="MF" localSheetId="0">'[2]COAT&amp;WRAP-QIOT-#3'!#REF!</definedName>
    <definedName name="MF" localSheetId="9">'[1]COAT&amp;WRAP-QIOT-#3'!#REF!</definedName>
    <definedName name="MF" localSheetId="12">'[1]COAT&amp;WRAP-QIOT-#3'!#REF!</definedName>
    <definedName name="MF" localSheetId="15">'[2]COAT&amp;WRAP-QIOT-#3'!#REF!</definedName>
    <definedName name="MF" localSheetId="16">'[1]COAT&amp;WRAP-QIOT-#3'!#REF!</definedName>
    <definedName name="MF" localSheetId="2">'[2]COAT&amp;WRAP-QIOT-#3'!#REF!</definedName>
    <definedName name="MF" localSheetId="4">'[3]COAT&amp;WRAP-QIOT-#3'!#REF!</definedName>
    <definedName name="MF" localSheetId="6">'[1]COAT&amp;WRAP-QIOT-#3'!#REF!</definedName>
    <definedName name="MF" localSheetId="7">'[1]COAT&amp;WRAP-QIOT-#3'!#REF!</definedName>
    <definedName name="MF" localSheetId="8">'[1]COAT&amp;WRAP-QIOT-#3'!#REF!</definedName>
    <definedName name="MF">'[2]COAT&amp;WRAP-QIOT-#3'!#REF!</definedName>
    <definedName name="mnh" localSheetId="0">'[8]2.74'!#REF!</definedName>
    <definedName name="mnh" localSheetId="9">'[9]2.74'!#REF!</definedName>
    <definedName name="mnh" localSheetId="12">'[8]2.74'!#REF!</definedName>
    <definedName name="mnh" localSheetId="15">'[10]2.74'!#REF!</definedName>
    <definedName name="mnh" localSheetId="16">'[8]2.74'!#REF!</definedName>
    <definedName name="mnh" localSheetId="2">'[10]2.74'!#REF!</definedName>
    <definedName name="mnh" localSheetId="6">'[9]2.74'!#REF!</definedName>
    <definedName name="mnh" localSheetId="7">'[9]2.74'!#REF!</definedName>
    <definedName name="mnh" localSheetId="8">'[9]2.74'!#REF!</definedName>
    <definedName name="mnh">'[8]2.74'!#REF!</definedName>
    <definedName name="n" localSheetId="0">'[8]2.74'!#REF!</definedName>
    <definedName name="n" localSheetId="9">'[9]2.74'!#REF!</definedName>
    <definedName name="n" localSheetId="12">'[8]2.74'!#REF!</definedName>
    <definedName name="n" localSheetId="15">'[10]2.74'!#REF!</definedName>
    <definedName name="n" localSheetId="16">'[8]2.74'!#REF!</definedName>
    <definedName name="n" localSheetId="2">'[10]2.74'!#REF!</definedName>
    <definedName name="n" localSheetId="7">'[9]2.74'!#REF!</definedName>
    <definedName name="n" localSheetId="8">'[9]2.74'!#REF!</definedName>
    <definedName name="n">'[8]2.74'!#REF!</definedName>
    <definedName name="nhan" localSheetId="0">#REF!</definedName>
    <definedName name="nhan" localSheetId="9">#REF!</definedName>
    <definedName name="nhan" localSheetId="12">#REF!</definedName>
    <definedName name="nhan" localSheetId="15">#REF!</definedName>
    <definedName name="nhan" localSheetId="16">#REF!</definedName>
    <definedName name="nhan" localSheetId="2">#REF!</definedName>
    <definedName name="nhan" localSheetId="4">#REF!</definedName>
    <definedName name="nhan" localSheetId="6">#REF!</definedName>
    <definedName name="nhan" localSheetId="7">#REF!</definedName>
    <definedName name="nhan" localSheetId="8">#REF!</definedName>
    <definedName name="nhan">#REF!</definedName>
    <definedName name="Nhan_xet_cua_dai">"Picture 1"</definedName>
    <definedName name="nuoc" localSheetId="0">#REF!</definedName>
    <definedName name="nuoc" localSheetId="9">#REF!</definedName>
    <definedName name="nuoc" localSheetId="12">#REF!</definedName>
    <definedName name="nuoc" localSheetId="15">#REF!</definedName>
    <definedName name="nuoc" localSheetId="16">#REF!</definedName>
    <definedName name="nuoc" localSheetId="2">#REF!</definedName>
    <definedName name="nuoc" localSheetId="4">#REF!</definedName>
    <definedName name="nuoc" localSheetId="6">#REF!</definedName>
    <definedName name="nuoc" localSheetId="7">#REF!</definedName>
    <definedName name="nuoc" localSheetId="8">#REF!</definedName>
    <definedName name="nuoc">#REF!</definedName>
    <definedName name="oanh" localSheetId="0" hidden="1">{#N/A,#N/A,FALSE,"Chung"}</definedName>
    <definedName name="oanh" localSheetId="9" hidden="1">{#N/A,#N/A,FALSE,"Chung"}</definedName>
    <definedName name="oanh" localSheetId="12" hidden="1">{#N/A,#N/A,FALSE,"Chung"}</definedName>
    <definedName name="oanh" localSheetId="15" hidden="1">{#N/A,#N/A,FALSE,"Chung"}</definedName>
    <definedName name="oanh" localSheetId="2" hidden="1">{#N/A,#N/A,FALSE,"Chung"}</definedName>
    <definedName name="oanh" localSheetId="4" hidden="1">{#N/A,#N/A,FALSE,"Chung"}</definedName>
    <definedName name="oanh" localSheetId="6" hidden="1">{#N/A,#N/A,FALSE,"Chung"}</definedName>
    <definedName name="oanh" hidden="1">{#N/A,#N/A,FALSE,"Chung"}</definedName>
    <definedName name="P" localSheetId="0">'[2]PNT-QUOT-#3'!#REF!</definedName>
    <definedName name="P" localSheetId="9">'[1]PNT-QUOT-#3'!#REF!</definedName>
    <definedName name="P" localSheetId="12">'[1]PNT-QUOT-#3'!#REF!</definedName>
    <definedName name="P" localSheetId="16">'[1]PNT-QUOT-#3'!#REF!</definedName>
    <definedName name="P" localSheetId="4">'[3]PNT-QUOT-#3'!#REF!</definedName>
    <definedName name="P" localSheetId="6">'[1]PNT-QUOT-#3'!#REF!</definedName>
    <definedName name="P" localSheetId="7">'[1]PNT-QUOT-#3'!#REF!</definedName>
    <definedName name="P" localSheetId="8">'[1]PNT-QUOT-#3'!#REF!</definedName>
    <definedName name="P">'[2]PNT-QUOT-#3'!#REF!</definedName>
    <definedName name="PEJM" localSheetId="0">'[2]COAT&amp;WRAP-QIOT-#3'!#REF!</definedName>
    <definedName name="PEJM" localSheetId="9">'[1]COAT&amp;WRAP-QIOT-#3'!#REF!</definedName>
    <definedName name="PEJM" localSheetId="12">'[1]COAT&amp;WRAP-QIOT-#3'!#REF!</definedName>
    <definedName name="PEJM" localSheetId="16">'[1]COAT&amp;WRAP-QIOT-#3'!#REF!</definedName>
    <definedName name="PEJM" localSheetId="4">'[3]COAT&amp;WRAP-QIOT-#3'!#REF!</definedName>
    <definedName name="PEJM" localSheetId="6">'[1]COAT&amp;WRAP-QIOT-#3'!#REF!</definedName>
    <definedName name="PEJM" localSheetId="7">'[1]COAT&amp;WRAP-QIOT-#3'!#REF!</definedName>
    <definedName name="PEJM" localSheetId="8">'[1]COAT&amp;WRAP-QIOT-#3'!#REF!</definedName>
    <definedName name="PEJM">'[2]COAT&amp;WRAP-QIOT-#3'!#REF!</definedName>
    <definedName name="PF" localSheetId="9">'[1]PNT-QUOT-#3'!#REF!</definedName>
    <definedName name="PF" localSheetId="12">'[1]PNT-QUOT-#3'!#REF!</definedName>
    <definedName name="PF" localSheetId="16">'[1]PNT-QUOT-#3'!#REF!</definedName>
    <definedName name="PF" localSheetId="4">'[3]PNT-QUOT-#3'!#REF!</definedName>
    <definedName name="PF" localSheetId="6">'[1]PNT-QUOT-#3'!#REF!</definedName>
    <definedName name="PF" localSheetId="7">'[1]PNT-QUOT-#3'!#REF!</definedName>
    <definedName name="PF" localSheetId="8">'[1]PNT-QUOT-#3'!#REF!</definedName>
    <definedName name="PF">'[2]PNT-QUOT-#3'!#REF!</definedName>
    <definedName name="pj" localSheetId="15" hidden="1">{"'TDTGT (theo Dphuong)'!$A$4:$F$75"}</definedName>
    <definedName name="pj" hidden="1">{"'TDTGT (theo Dphuong)'!$A$4:$F$75"}</definedName>
    <definedName name="PM" localSheetId="9">[11]IBASE!$AH$16:$AV$110</definedName>
    <definedName name="PM" localSheetId="12">[11]IBASE!$AH$16:$AV$110</definedName>
    <definedName name="PM" localSheetId="4">[12]IBASE!$AH$16:$AV$110</definedName>
    <definedName name="PM" localSheetId="6">[11]IBASE!$AH$16:$AV$110</definedName>
    <definedName name="PM">[13]IBASE!$AH$16:$AV$110</definedName>
    <definedName name="Print_Area_MI" localSheetId="0">[14]ESTI.!$A$1:$U$52</definedName>
    <definedName name="Print_Area_MI" localSheetId="9">[14]ESTI.!$A$1:$U$52</definedName>
    <definedName name="Print_Area_MI" localSheetId="12">[14]ESTI.!$A$1:$U$52</definedName>
    <definedName name="Print_Area_MI" localSheetId="15">[15]ESTI.!$A$1:$U$52</definedName>
    <definedName name="Print_Area_MI" localSheetId="4">[15]ESTI.!$A$1:$U$52</definedName>
    <definedName name="Print_Area_MI" localSheetId="6">[14]ESTI.!$A$1:$U$52</definedName>
    <definedName name="Print_Area_MI">[16]ESTI.!$A$1:$U$52</definedName>
    <definedName name="_xlnm.Print_Titles" localSheetId="9">'[17]TiÕn ®é thùc hiÖn KC'!#REF!</definedName>
    <definedName name="_xlnm.Print_Titles" localSheetId="15">'[17]TiÕn ®é thùc hiÖn KC'!#REF!</definedName>
    <definedName name="_xlnm.Print_Titles" localSheetId="4">'[17]TiÕn ®é thùc hiÖn KC'!#REF!</definedName>
    <definedName name="_xlnm.Print_Titles" localSheetId="7">'[17]TiÕn ®é thùc hiÖn KC'!#REF!</definedName>
    <definedName name="_xlnm.Print_Titles" localSheetId="8">'[17]TiÕn ®é thùc hiÖn KC'!#REF!</definedName>
    <definedName name="_xlnm.Print_Titles">'[17]TiÕn ®é thùc hiÖn KC'!#REF!</definedName>
    <definedName name="pt" localSheetId="0">#REF!</definedName>
    <definedName name="pt" localSheetId="9">#REF!</definedName>
    <definedName name="pt" localSheetId="12">#REF!</definedName>
    <definedName name="pt" localSheetId="15">#REF!</definedName>
    <definedName name="pt" localSheetId="16">#REF!</definedName>
    <definedName name="pt" localSheetId="2">#REF!</definedName>
    <definedName name="pt" localSheetId="4">#REF!</definedName>
    <definedName name="pt" localSheetId="6">#REF!</definedName>
    <definedName name="pt" localSheetId="7">#REF!</definedName>
    <definedName name="pt" localSheetId="8">#REF!</definedName>
    <definedName name="pt">#REF!</definedName>
    <definedName name="ptr" localSheetId="9">#REF!</definedName>
    <definedName name="ptr" localSheetId="12">#REF!</definedName>
    <definedName name="ptr" localSheetId="15">#REF!</definedName>
    <definedName name="ptr" localSheetId="16">#REF!</definedName>
    <definedName name="ptr" localSheetId="2">#REF!</definedName>
    <definedName name="ptr" localSheetId="4">#REF!</definedName>
    <definedName name="ptr" localSheetId="6">#REF!</definedName>
    <definedName name="ptr" localSheetId="7">#REF!</definedName>
    <definedName name="ptr" localSheetId="8">#REF!</definedName>
    <definedName name="ptr">#REF!</definedName>
    <definedName name="ptvt">'[18]ma-pt'!$A$6:$IV$228</definedName>
    <definedName name="qưeqwrqw" localSheetId="0" hidden="1">{#N/A,#N/A,FALSE,"Chung"}</definedName>
    <definedName name="qưeqwrqw" localSheetId="9" hidden="1">{#N/A,#N/A,FALSE,"Chung"}</definedName>
    <definedName name="qưeqwrqw" localSheetId="12" hidden="1">{#N/A,#N/A,FALSE,"Chung"}</definedName>
    <definedName name="qưeqwrqw" localSheetId="15" hidden="1">{#N/A,#N/A,FALSE,"Chung"}</definedName>
    <definedName name="qưeqwrqw" localSheetId="2" hidden="1">{#N/A,#N/A,FALSE,"Chung"}</definedName>
    <definedName name="qưeqwrqw" localSheetId="4" hidden="1">{#N/A,#N/A,FALSE,"Chung"}</definedName>
    <definedName name="qưeqwrqw" localSheetId="6" hidden="1">{#N/A,#N/A,FALSE,"Chung"}</definedName>
    <definedName name="qưeqwrqw" hidden="1">{#N/A,#N/A,FALSE,"Chung"}</definedName>
    <definedName name="RT" localSheetId="9">'[1]COAT&amp;WRAP-QIOT-#3'!#REF!</definedName>
    <definedName name="RT" localSheetId="12">'[1]COAT&amp;WRAP-QIOT-#3'!#REF!</definedName>
    <definedName name="RT" localSheetId="16">'[1]COAT&amp;WRAP-QIOT-#3'!#REF!</definedName>
    <definedName name="RT" localSheetId="4">'[3]COAT&amp;WRAP-QIOT-#3'!#REF!</definedName>
    <definedName name="RT" localSheetId="6">'[1]COAT&amp;WRAP-QIOT-#3'!#REF!</definedName>
    <definedName name="RT" localSheetId="7">'[1]COAT&amp;WRAP-QIOT-#3'!#REF!</definedName>
    <definedName name="RT" localSheetId="8">'[1]COAT&amp;WRAP-QIOT-#3'!#REF!</definedName>
    <definedName name="RT">'[2]COAT&amp;WRAP-QIOT-#3'!#REF!</definedName>
    <definedName name="SB" localSheetId="9">[11]IBASE!$AH$7:$AL$14</definedName>
    <definedName name="SB" localSheetId="12">[11]IBASE!$AH$7:$AL$14</definedName>
    <definedName name="SB" localSheetId="4">[12]IBASE!$AH$7:$AL$14</definedName>
    <definedName name="SB" localSheetId="6">[11]IBASE!$AH$7:$AL$14</definedName>
    <definedName name="SB">[13]IBASE!$AH$7:$AL$14</definedName>
    <definedName name="SORT" localSheetId="0">#REF!</definedName>
    <definedName name="SORT" localSheetId="9">#REF!</definedName>
    <definedName name="SORT" localSheetId="12">#REF!</definedName>
    <definedName name="SORT" localSheetId="15">#REF!</definedName>
    <definedName name="SORT" localSheetId="16">#REF!</definedName>
    <definedName name="SORT" localSheetId="2">#REF!</definedName>
    <definedName name="SORT" localSheetId="4">#REF!</definedName>
    <definedName name="SORT" localSheetId="6">#REF!</definedName>
    <definedName name="SORT" localSheetId="7">#REF!</definedName>
    <definedName name="SORT" localSheetId="8">#REF!</definedName>
    <definedName name="SORT">#REF!</definedName>
    <definedName name="SORT_AREA" localSheetId="0">'[14]DI-ESTI'!$A$8:$R$489</definedName>
    <definedName name="SORT_AREA" localSheetId="9">'[14]DI-ESTI'!$A$8:$R$489</definedName>
    <definedName name="SORT_AREA" localSheetId="12">'[14]DI-ESTI'!$A$8:$R$489</definedName>
    <definedName name="SORT_AREA" localSheetId="15">'[15]DI-ESTI'!$A$8:$R$489</definedName>
    <definedName name="SORT_AREA" localSheetId="4">'[15]DI-ESTI'!$A$8:$R$489</definedName>
    <definedName name="SORT_AREA" localSheetId="6">'[14]DI-ESTI'!$A$8:$R$489</definedName>
    <definedName name="SORT_AREA">'[16]DI-ESTI'!$A$8:$R$489</definedName>
    <definedName name="SP" localSheetId="9">'[1]PNT-QUOT-#3'!#REF!</definedName>
    <definedName name="SP" localSheetId="12">'[1]PNT-QUOT-#3'!#REF!</definedName>
    <definedName name="SP" localSheetId="15">'[2]PNT-QUOT-#3'!#REF!</definedName>
    <definedName name="SP" localSheetId="16">'[1]PNT-QUOT-#3'!#REF!</definedName>
    <definedName name="SP" localSheetId="2">'[2]PNT-QUOT-#3'!#REF!</definedName>
    <definedName name="SP" localSheetId="4">'[3]PNT-QUOT-#3'!#REF!</definedName>
    <definedName name="SP" localSheetId="6">'[1]PNT-QUOT-#3'!#REF!</definedName>
    <definedName name="SP" localSheetId="7">'[1]PNT-QUOT-#3'!#REF!</definedName>
    <definedName name="SP" localSheetId="8">'[1]PNT-QUOT-#3'!#REF!</definedName>
    <definedName name="SP">'[2]PNT-QUOT-#3'!#REF!</definedName>
    <definedName name="sss" localSheetId="0">#REF!</definedName>
    <definedName name="sss" localSheetId="9">#REF!</definedName>
    <definedName name="sss" localSheetId="12">#REF!</definedName>
    <definedName name="sss" localSheetId="15">#REF!</definedName>
    <definedName name="sss" localSheetId="16">#REF!</definedName>
    <definedName name="sss" localSheetId="2">#REF!</definedName>
    <definedName name="sss" localSheetId="4">#REF!</definedName>
    <definedName name="sss" localSheetId="6">#REF!</definedName>
    <definedName name="sss" localSheetId="7">#REF!</definedName>
    <definedName name="sss" localSheetId="8">#REF!</definedName>
    <definedName name="sss">#REF!</definedName>
    <definedName name="TBA" localSheetId="0">#REF!</definedName>
    <definedName name="TBA" localSheetId="9">#REF!</definedName>
    <definedName name="TBA" localSheetId="12">#REF!</definedName>
    <definedName name="TBA" localSheetId="15">#REF!</definedName>
    <definedName name="TBA" localSheetId="16">#REF!</definedName>
    <definedName name="TBA" localSheetId="2">#REF!</definedName>
    <definedName name="TBA" localSheetId="4">#REF!</definedName>
    <definedName name="TBA" localSheetId="6">#REF!</definedName>
    <definedName name="TBA" localSheetId="7">#REF!</definedName>
    <definedName name="TBA" localSheetId="8">#REF!</definedName>
    <definedName name="TBA">#REF!</definedName>
    <definedName name="td" localSheetId="9">#REF!</definedName>
    <definedName name="td" localSheetId="12">#REF!</definedName>
    <definedName name="td" localSheetId="15">#REF!</definedName>
    <definedName name="td" localSheetId="16">#REF!</definedName>
    <definedName name="td" localSheetId="2">#REF!</definedName>
    <definedName name="td" localSheetId="4">#REF!</definedName>
    <definedName name="td" localSheetId="6">#REF!</definedName>
    <definedName name="td" localSheetId="7">#REF!</definedName>
    <definedName name="td" localSheetId="8">#REF!</definedName>
    <definedName name="td">#REF!</definedName>
    <definedName name="th_bl" localSheetId="0">#REF!</definedName>
    <definedName name="th_bl" localSheetId="9">#REF!</definedName>
    <definedName name="th_bl" localSheetId="12">#REF!</definedName>
    <definedName name="th_bl" localSheetId="15">#REF!</definedName>
    <definedName name="th_bl" localSheetId="16">#REF!</definedName>
    <definedName name="th_bl" localSheetId="2">#REF!</definedName>
    <definedName name="th_bl" localSheetId="4">#REF!</definedName>
    <definedName name="th_bl" localSheetId="6">#REF!</definedName>
    <definedName name="th_bl" localSheetId="7">#REF!</definedName>
    <definedName name="th_bl" localSheetId="8">#REF!</definedName>
    <definedName name="th_bl">#REF!</definedName>
    <definedName name="thanh" localSheetId="0" hidden="1">{"'TDTGT (theo Dphuong)'!$A$4:$F$75"}</definedName>
    <definedName name="thanh" localSheetId="9" hidden="1">{"'TDTGT (theo Dphuong)'!$A$4:$F$75"}</definedName>
    <definedName name="thanh" localSheetId="12" hidden="1">{"'TDTGT (theo Dphuong)'!$A$4:$F$75"}</definedName>
    <definedName name="thanh" localSheetId="15" hidden="1">{"'TDTGT (theo Dphuong)'!$A$4:$F$75"}</definedName>
    <definedName name="thanh" localSheetId="2" hidden="1">{"'TDTGT (theo Dphuong)'!$A$4:$F$75"}</definedName>
    <definedName name="thanh" localSheetId="4" hidden="1">{"'TDTGT (theo Dphuong)'!$A$4:$F$75"}</definedName>
    <definedName name="thanh" localSheetId="6" hidden="1">{"'TDTGT (theo Dphuong)'!$A$4:$F$75"}</definedName>
    <definedName name="thanh" hidden="1">{"'TDTGT (theo Dphuong)'!$A$4:$F$75"}</definedName>
    <definedName name="THK" localSheetId="9">'[1]COAT&amp;WRAP-QIOT-#3'!#REF!</definedName>
    <definedName name="THK" localSheetId="12">'[1]COAT&amp;WRAP-QIOT-#3'!#REF!</definedName>
    <definedName name="THK" localSheetId="16">'[1]COAT&amp;WRAP-QIOT-#3'!#REF!</definedName>
    <definedName name="THK" localSheetId="4">'[3]COAT&amp;WRAP-QIOT-#3'!#REF!</definedName>
    <definedName name="THK" localSheetId="6">'[1]COAT&amp;WRAP-QIOT-#3'!#REF!</definedName>
    <definedName name="THK" localSheetId="7">'[1]COAT&amp;WRAP-QIOT-#3'!#REF!</definedName>
    <definedName name="THK" localSheetId="8">'[1]COAT&amp;WRAP-QIOT-#3'!#REF!</definedName>
    <definedName name="THK">'[2]COAT&amp;WRAP-QIOT-#3'!#REF!</definedName>
    <definedName name="TMBLCSG" localSheetId="15">#REF!</definedName>
    <definedName name="TMBLCSG" localSheetId="2">#REF!</definedName>
    <definedName name="TMBLCSG" localSheetId="4">#REF!</definedName>
    <definedName name="TMBLCSG">#REF!</definedName>
    <definedName name="Tnghiep" localSheetId="0" hidden="1">{"'TDTGT (theo Dphuong)'!$A$4:$F$75"}</definedName>
    <definedName name="Tnghiep" localSheetId="9" hidden="1">{"'TDTGT (theo Dphuong)'!$A$4:$F$75"}</definedName>
    <definedName name="Tnghiep" localSheetId="12" hidden="1">{"'TDTGT (theo Dphuong)'!$A$4:$F$75"}</definedName>
    <definedName name="Tnghiep" localSheetId="15" hidden="1">{"'TDTGT (theo Dphuong)'!$A$4:$F$75"}</definedName>
    <definedName name="Tnghiep" localSheetId="2" hidden="1">{"'TDTGT (theo Dphuong)'!$A$4:$F$75"}</definedName>
    <definedName name="Tnghiep" localSheetId="4" hidden="1">{"'TDTGT (theo Dphuong)'!$A$4:$F$75"}</definedName>
    <definedName name="Tnghiep" localSheetId="6" hidden="1">{"'TDTGT (theo Dphuong)'!$A$4:$F$75"}</definedName>
    <definedName name="Tnghiep" hidden="1">{"'TDTGT (theo Dphuong)'!$A$4:$F$75"}</definedName>
    <definedName name="ttt" localSheetId="0">#REF!</definedName>
    <definedName name="ttt" localSheetId="9">#REF!</definedName>
    <definedName name="ttt" localSheetId="12">#REF!</definedName>
    <definedName name="ttt" localSheetId="15">#REF!</definedName>
    <definedName name="ttt" localSheetId="16">#REF!</definedName>
    <definedName name="ttt" localSheetId="2">#REF!</definedName>
    <definedName name="ttt" localSheetId="4">#REF!</definedName>
    <definedName name="ttt" localSheetId="6">#REF!</definedName>
    <definedName name="ttt" localSheetId="7">#REF!</definedName>
    <definedName name="ttt" localSheetId="8">#REF!</definedName>
    <definedName name="ttt">#REF!</definedName>
    <definedName name="vfff" localSheetId="9">#REF!</definedName>
    <definedName name="vfff" localSheetId="12">#REF!</definedName>
    <definedName name="vfff" localSheetId="15">#REF!</definedName>
    <definedName name="vfff" localSheetId="16">#REF!</definedName>
    <definedName name="vfff" localSheetId="2">#REF!</definedName>
    <definedName name="vfff" localSheetId="4">#REF!</definedName>
    <definedName name="vfff" localSheetId="6">#REF!</definedName>
    <definedName name="vfff" localSheetId="7">#REF!</definedName>
    <definedName name="vfff" localSheetId="8">#REF!</definedName>
    <definedName name="vfff">#REF!</definedName>
    <definedName name="vn" localSheetId="15">#REF!</definedName>
    <definedName name="vn" localSheetId="2">#REF!</definedName>
    <definedName name="vn" localSheetId="4">#REF!</definedName>
    <definedName name="vn">#REF!</definedName>
    <definedName name="vv" localSheetId="0" hidden="1">{"'TDTGT (theo Dphuong)'!$A$4:$F$75"}</definedName>
    <definedName name="vv" localSheetId="9" hidden="1">{"'TDTGT (theo Dphuong)'!$A$4:$F$75"}</definedName>
    <definedName name="vv" localSheetId="12" hidden="1">{"'TDTGT (theo Dphuong)'!$A$4:$F$75"}</definedName>
    <definedName name="vv" localSheetId="15" hidden="1">{"'TDTGT (theo Dphuong)'!$A$4:$F$75"}</definedName>
    <definedName name="vv" localSheetId="2" hidden="1">{"'TDTGT (theo Dphuong)'!$A$4:$F$75"}</definedName>
    <definedName name="vv" localSheetId="4" hidden="1">{"'TDTGT (theo Dphuong)'!$A$4:$F$75"}</definedName>
    <definedName name="vv" localSheetId="6" hidden="1">{"'TDTGT (theo Dphuong)'!$A$4:$F$75"}</definedName>
    <definedName name="vv" hidden="1">{"'TDTGT (theo Dphuong)'!$A$4:$F$75"}</definedName>
    <definedName name="wrn.thu." localSheetId="0" hidden="1">{#N/A,#N/A,FALSE,"Chung"}</definedName>
    <definedName name="wrn.thu." localSheetId="9" hidden="1">{#N/A,#N/A,FALSE,"Chung"}</definedName>
    <definedName name="wrn.thu." localSheetId="12" hidden="1">{#N/A,#N/A,FALSE,"Chung"}</definedName>
    <definedName name="wrn.thu." localSheetId="15" hidden="1">{#N/A,#N/A,FALSE,"Chung"}</definedName>
    <definedName name="wrn.thu." localSheetId="2" hidden="1">{#N/A,#N/A,FALSE,"Chung"}</definedName>
    <definedName name="wrn.thu." localSheetId="4" hidden="1">{#N/A,#N/A,FALSE,"Chung"}</definedName>
    <definedName name="wrn.thu." localSheetId="6" hidden="1">{#N/A,#N/A,FALSE,"Chung"}</definedName>
    <definedName name="wrn.thu." hidden="1">{#N/A,#N/A,FALSE,"Chung"}</definedName>
    <definedName name="xd" localSheetId="9">'[19]7 THAI NGUYEN'!$A$11</definedName>
    <definedName name="xd" localSheetId="12">'[19]7 THAI NGUYEN'!$A$11</definedName>
    <definedName name="xd" localSheetId="15">'[20]7 THAI NGUYEN'!$A$11</definedName>
    <definedName name="xd" localSheetId="4">'[21]7 THAI NGUYEN'!$A$11</definedName>
    <definedName name="xd">'[19]7 THAI NGUYEN'!$A$11</definedName>
    <definedName name="ZYX" localSheetId="0">#REF!</definedName>
    <definedName name="ZYX" localSheetId="9">#REF!</definedName>
    <definedName name="ZYX" localSheetId="12">#REF!</definedName>
    <definedName name="ZYX" localSheetId="15">#REF!</definedName>
    <definedName name="ZYX" localSheetId="16">#REF!</definedName>
    <definedName name="ZYX" localSheetId="2">#REF!</definedName>
    <definedName name="ZYX" localSheetId="4">#REF!</definedName>
    <definedName name="ZYX" localSheetId="6">#REF!</definedName>
    <definedName name="ZYX" localSheetId="7">#REF!</definedName>
    <definedName name="ZYX" localSheetId="8">#REF!</definedName>
    <definedName name="ZYX">#REF!</definedName>
    <definedName name="ZZZ" localSheetId="0">#REF!</definedName>
    <definedName name="ZZZ" localSheetId="9">#REF!</definedName>
    <definedName name="ZZZ" localSheetId="12">#REF!</definedName>
    <definedName name="ZZZ" localSheetId="15">#REF!</definedName>
    <definedName name="ZZZ" localSheetId="16">#REF!</definedName>
    <definedName name="ZZZ" localSheetId="2">#REF!</definedName>
    <definedName name="ZZZ" localSheetId="4">#REF!</definedName>
    <definedName name="ZZZ" localSheetId="6">#REF!</definedName>
    <definedName name="ZZZ" localSheetId="7">#REF!</definedName>
    <definedName name="ZZZ" localSheetId="8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26" l="1"/>
  <c r="D25" i="26"/>
  <c r="D24" i="26"/>
  <c r="D23" i="26"/>
  <c r="D22" i="26"/>
  <c r="D21" i="26"/>
  <c r="D20" i="26"/>
  <c r="D19" i="26"/>
  <c r="D18" i="26"/>
  <c r="D17" i="26"/>
  <c r="D16" i="26"/>
  <c r="D15" i="26"/>
  <c r="D14" i="26"/>
  <c r="C14" i="26"/>
  <c r="B14" i="26"/>
  <c r="D13" i="26"/>
  <c r="D12" i="26"/>
  <c r="D11" i="26"/>
  <c r="D10" i="26"/>
  <c r="C9" i="26"/>
  <c r="C7" i="26" s="1"/>
  <c r="D7" i="26" s="1"/>
  <c r="B9" i="26"/>
  <c r="D8" i="26"/>
  <c r="B7" i="26"/>
  <c r="D26" i="25"/>
  <c r="D25" i="25"/>
  <c r="D24" i="25"/>
  <c r="D23" i="25"/>
  <c r="D22" i="25"/>
  <c r="D21" i="25"/>
  <c r="D20" i="25"/>
  <c r="D19" i="25"/>
  <c r="D18" i="25"/>
  <c r="D17" i="25"/>
  <c r="D16" i="25"/>
  <c r="D15" i="25"/>
  <c r="C14" i="25"/>
  <c r="D14" i="25" s="1"/>
  <c r="D13" i="25"/>
  <c r="D12" i="25"/>
  <c r="D11" i="25"/>
  <c r="D10" i="25"/>
  <c r="D9" i="25"/>
  <c r="C9" i="25"/>
  <c r="D8" i="25"/>
  <c r="C7" i="25"/>
  <c r="D7" i="25" s="1"/>
  <c r="D26" i="24"/>
  <c r="D25" i="24"/>
  <c r="D24" i="24"/>
  <c r="D23" i="24"/>
  <c r="D22" i="24"/>
  <c r="D21" i="24"/>
  <c r="D20" i="24"/>
  <c r="D19" i="24"/>
  <c r="D18" i="24"/>
  <c r="D17" i="24"/>
  <c r="D16" i="24"/>
  <c r="D15" i="24"/>
  <c r="C14" i="24"/>
  <c r="D14" i="24" s="1"/>
  <c r="D13" i="24"/>
  <c r="D12" i="24"/>
  <c r="D11" i="24"/>
  <c r="D10" i="24"/>
  <c r="C9" i="24"/>
  <c r="D9" i="24" s="1"/>
  <c r="D8" i="24"/>
  <c r="I30" i="23"/>
  <c r="H30" i="23"/>
  <c r="G30" i="23"/>
  <c r="I29" i="23"/>
  <c r="H29" i="23"/>
  <c r="G29" i="23"/>
  <c r="I28" i="23"/>
  <c r="H28" i="23"/>
  <c r="G28" i="23"/>
  <c r="I27" i="23"/>
  <c r="H27" i="23"/>
  <c r="G27" i="23"/>
  <c r="I26" i="23"/>
  <c r="H26" i="23"/>
  <c r="G26" i="23"/>
  <c r="I25" i="23"/>
  <c r="H25" i="23"/>
  <c r="G25" i="23"/>
  <c r="I24" i="23"/>
  <c r="H24" i="23"/>
  <c r="G24" i="23"/>
  <c r="I23" i="23"/>
  <c r="H23" i="23"/>
  <c r="G23" i="23"/>
  <c r="I22" i="23"/>
  <c r="H22" i="23"/>
  <c r="G22" i="23"/>
  <c r="I21" i="23"/>
  <c r="H21" i="23"/>
  <c r="G21" i="23"/>
  <c r="I20" i="23"/>
  <c r="H20" i="23"/>
  <c r="G20" i="23"/>
  <c r="I19" i="23"/>
  <c r="H19" i="23"/>
  <c r="G19" i="23"/>
  <c r="M18" i="23"/>
  <c r="I18" i="23" s="1"/>
  <c r="L18" i="23"/>
  <c r="K18" i="23"/>
  <c r="H18" i="23"/>
  <c r="E18" i="23"/>
  <c r="D18" i="23"/>
  <c r="C18" i="23"/>
  <c r="G18" i="23" s="1"/>
  <c r="I17" i="23"/>
  <c r="H17" i="23"/>
  <c r="G17" i="23"/>
  <c r="I16" i="23"/>
  <c r="H16" i="23"/>
  <c r="G16" i="23"/>
  <c r="I15" i="23"/>
  <c r="H15" i="23"/>
  <c r="G15" i="23"/>
  <c r="I14" i="23"/>
  <c r="H14" i="23"/>
  <c r="G14" i="23"/>
  <c r="M13" i="23"/>
  <c r="M10" i="23" s="1"/>
  <c r="L13" i="23"/>
  <c r="K13" i="23"/>
  <c r="I13" i="23"/>
  <c r="E13" i="23"/>
  <c r="E10" i="23" s="1"/>
  <c r="D13" i="23"/>
  <c r="D10" i="23" s="1"/>
  <c r="H10" i="23" s="1"/>
  <c r="C13" i="23"/>
  <c r="C10" i="23" s="1"/>
  <c r="G10" i="23" s="1"/>
  <c r="I12" i="23"/>
  <c r="H12" i="23"/>
  <c r="G12" i="23"/>
  <c r="L10" i="23"/>
  <c r="K10" i="23"/>
  <c r="M17" i="22"/>
  <c r="L17" i="22"/>
  <c r="G17" i="22"/>
  <c r="N17" i="22" s="1"/>
  <c r="F17" i="22"/>
  <c r="E17" i="22"/>
  <c r="N16" i="22"/>
  <c r="G16" i="22"/>
  <c r="F16" i="22"/>
  <c r="M16" i="22" s="1"/>
  <c r="E16" i="22"/>
  <c r="L16" i="22" s="1"/>
  <c r="N15" i="22"/>
  <c r="M15" i="22"/>
  <c r="L15" i="22"/>
  <c r="G15" i="22"/>
  <c r="F15" i="22"/>
  <c r="E15" i="22"/>
  <c r="N14" i="22"/>
  <c r="L14" i="22"/>
  <c r="G14" i="22"/>
  <c r="F14" i="22"/>
  <c r="M14" i="22" s="1"/>
  <c r="E14" i="22"/>
  <c r="J13" i="22"/>
  <c r="I13" i="22"/>
  <c r="G13" i="22"/>
  <c r="N13" i="22" s="1"/>
  <c r="F13" i="22"/>
  <c r="M13" i="22" s="1"/>
  <c r="D13" i="22"/>
  <c r="C13" i="22"/>
  <c r="E13" i="22" s="1"/>
  <c r="L13" i="22" s="1"/>
  <c r="B13" i="22"/>
  <c r="M12" i="22"/>
  <c r="L12" i="22"/>
  <c r="G12" i="22"/>
  <c r="N12" i="22" s="1"/>
  <c r="F12" i="22"/>
  <c r="E12" i="22"/>
  <c r="N11" i="22"/>
  <c r="M11" i="22"/>
  <c r="G11" i="22"/>
  <c r="F11" i="22"/>
  <c r="E11" i="22"/>
  <c r="L11" i="22" s="1"/>
  <c r="L10" i="22"/>
  <c r="G10" i="22"/>
  <c r="N10" i="22" s="1"/>
  <c r="F10" i="22"/>
  <c r="M10" i="22" s="1"/>
  <c r="E10" i="22"/>
  <c r="L8" i="22"/>
  <c r="N7" i="22"/>
  <c r="L7" i="22"/>
  <c r="M7" i="22" s="1"/>
  <c r="L5" i="22"/>
  <c r="M4" i="22" s="1"/>
  <c r="N4" i="22"/>
  <c r="L4" i="22"/>
  <c r="I10" i="23" l="1"/>
  <c r="C7" i="24"/>
  <c r="D7" i="24" s="1"/>
  <c r="G13" i="23"/>
  <c r="H13" i="23"/>
  <c r="D9" i="26"/>
</calcChain>
</file>

<file path=xl/sharedStrings.xml><?xml version="1.0" encoding="utf-8"?>
<sst xmlns="http://schemas.openxmlformats.org/spreadsheetml/2006/main" count="929" uniqueCount="490">
  <si>
    <t>Nghìn ha</t>
  </si>
  <si>
    <t>Thực hiện cùng</t>
  </si>
  <si>
    <t xml:space="preserve">Thực hiện </t>
  </si>
  <si>
    <t>Thực hiện kỳ này</t>
  </si>
  <si>
    <t>kỳ năm trước</t>
  </si>
  <si>
    <t>kỳ này</t>
  </si>
  <si>
    <t>so với cùng kỳ</t>
  </si>
  <si>
    <t>năm trước (%)</t>
  </si>
  <si>
    <t>Gieo cấy lúa đông xuân</t>
  </si>
  <si>
    <t>Miền Bắc</t>
  </si>
  <si>
    <t>Miền Nam</t>
  </si>
  <si>
    <t>Thu hoạch lúa đông xuân ở miền Nam</t>
  </si>
  <si>
    <r>
      <rPr>
        <i/>
        <sz val="10"/>
        <rFont val="Arial"/>
        <family val="2"/>
      </rPr>
      <t>Trong đó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Đồng bằng sông Cửu Long</t>
    </r>
  </si>
  <si>
    <t>Gieo cấy lúa hè thu ở miền Nam</t>
  </si>
  <si>
    <t>Gieo trồng các loại cây khác</t>
  </si>
  <si>
    <t>Ngô</t>
  </si>
  <si>
    <t>Khoai lang</t>
  </si>
  <si>
    <t>Đậu tương</t>
  </si>
  <si>
    <t>Lạc</t>
  </si>
  <si>
    <t>1. Sản xuất nông nghiệp đến ngày 20 tháng 4 năm 2025</t>
  </si>
  <si>
    <t>Rau các loại</t>
  </si>
  <si>
    <t>Đậu các loại</t>
  </si>
  <si>
    <t>11. Vốn đầu tư thực hiện từ nguồn ngân sách Nhà nước</t>
  </si>
  <si>
    <t>Tỷ đồng</t>
  </si>
  <si>
    <t>Thực hiện</t>
  </si>
  <si>
    <t xml:space="preserve">Ước tính </t>
  </si>
  <si>
    <t>Cộng dồn</t>
  </si>
  <si>
    <t>2025 so với</t>
  </si>
  <si>
    <t>năm</t>
  </si>
  <si>
    <t xml:space="preserve"> kế hoạch</t>
  </si>
  <si>
    <t>cùng kỳ</t>
  </si>
  <si>
    <t>năm 2025 (%)</t>
  </si>
  <si>
    <t>TỔNG SỐ</t>
  </si>
  <si>
    <t>Trung ương</t>
  </si>
  <si>
    <t>Trong đó:</t>
  </si>
  <si>
    <t>Bộ Xây dựng</t>
  </si>
  <si>
    <t>Bộ Nông nghiệp và Môi trường</t>
  </si>
  <si>
    <t>Bộ Y tế</t>
  </si>
  <si>
    <t>Bộ Văn hóa, Thể thao và Du lịch</t>
  </si>
  <si>
    <t>Bộ Khoa học và Công nghệ</t>
  </si>
  <si>
    <t>Địa phương</t>
  </si>
  <si>
    <t>Vốn ngân sách NN cấp tỉnh</t>
  </si>
  <si>
    <t>Vốn ngân sách NN cấp huyện</t>
  </si>
  <si>
    <t>Vốn ngân sách NN cấp xã</t>
  </si>
  <si>
    <t>Phân theo một số tỉnh, thành phố</t>
  </si>
  <si>
    <t>Hà Nội</t>
  </si>
  <si>
    <t>TP. Hồ Chí Minh</t>
  </si>
  <si>
    <t>Hưng Yên</t>
  </si>
  <si>
    <t>Bình Dương</t>
  </si>
  <si>
    <t>Hải Phòng</t>
  </si>
  <si>
    <t>Bà Rịa - Vũng Tàu</t>
  </si>
  <si>
    <t>Thanh Hóa</t>
  </si>
  <si>
    <t>Hà Nam</t>
  </si>
  <si>
    <t>Thái Bình</t>
  </si>
  <si>
    <t>Đồng Nai</t>
  </si>
  <si>
    <t>Quảng Ninh</t>
  </si>
  <si>
    <t>Ninh Bình</t>
  </si>
  <si>
    <t>Nghệ An</t>
  </si>
  <si>
    <t>Nam Định</t>
  </si>
  <si>
    <t>Đắk Lắk</t>
  </si>
  <si>
    <t>Hòa Bình</t>
  </si>
  <si>
    <t>Bắc Ninh</t>
  </si>
  <si>
    <t>Đà Nẵng</t>
  </si>
  <si>
    <t>An Giang</t>
  </si>
  <si>
    <t>Vĩnh Phúc</t>
  </si>
  <si>
    <t>Bình Định</t>
  </si>
  <si>
    <t>Nghìn tấn; Triệu USD</t>
  </si>
  <si>
    <t>Sơ bộ</t>
  </si>
  <si>
    <t>Tháng 4 năm 2025</t>
  </si>
  <si>
    <t>4 tháng năm 2025</t>
  </si>
  <si>
    <t>tháng 4</t>
  </si>
  <si>
    <t>4 tháng</t>
  </si>
  <si>
    <t xml:space="preserve">so với cùng kỳ </t>
  </si>
  <si>
    <t>năm 2025</t>
  </si>
  <si>
    <t>Lượng</t>
  </si>
  <si>
    <t>Trị giá</t>
  </si>
  <si>
    <t>TỔNG TRỊ GIÁ</t>
  </si>
  <si>
    <t>Khu vực kinh tế trong nước</t>
  </si>
  <si>
    <t>Khu vực có vốn đầu tư NN</t>
  </si>
  <si>
    <t>Dầu thô</t>
  </si>
  <si>
    <t>Hàng hoá khác</t>
  </si>
  <si>
    <t>MẶT HÀNG CHỦ YẾU</t>
  </si>
  <si>
    <t xml:space="preserve">Thủy sản </t>
  </si>
  <si>
    <t>Rau quả</t>
  </si>
  <si>
    <t>Hạt điều</t>
  </si>
  <si>
    <t>Cà phê</t>
  </si>
  <si>
    <t>Chè</t>
  </si>
  <si>
    <t>Hạt tiêu</t>
  </si>
  <si>
    <t>Gạo</t>
  </si>
  <si>
    <t>Sắn và sản phẩm của sắn</t>
  </si>
  <si>
    <t>Bánh kẹo và các sản phẩm từ ngũ cốc</t>
  </si>
  <si>
    <t>Thức ăn gia súc và nguyên liệu</t>
  </si>
  <si>
    <t xml:space="preserve"> Clanhke và xi măng</t>
  </si>
  <si>
    <t xml:space="preserve">Dầu thô  </t>
  </si>
  <si>
    <t>Xăng dầu</t>
  </si>
  <si>
    <t>Hóa chất</t>
  </si>
  <si>
    <t>SP hóa chất</t>
  </si>
  <si>
    <t>Chất dẻo nguyên liệu</t>
  </si>
  <si>
    <t>Sản phẩm chất dẻo</t>
  </si>
  <si>
    <t>Cao su</t>
  </si>
  <si>
    <t>Sản phẩm từ cao su</t>
  </si>
  <si>
    <t>Túi xách, ví, va li, mũ, ô dù</t>
  </si>
  <si>
    <t>Gỗ và sản phẩm gỗ</t>
  </si>
  <si>
    <t>Giấy và các sản phẩm từ giấy</t>
  </si>
  <si>
    <t>Xơ, sợi dệt các loại</t>
  </si>
  <si>
    <t>Hàng dệt, may</t>
  </si>
  <si>
    <t>Giày dép</t>
  </si>
  <si>
    <t>Nguyên phụ liệu dệt, may, da, giày</t>
  </si>
  <si>
    <t>Thủy tinh và các sản phẩm từ thủy tinh</t>
  </si>
  <si>
    <t>Sắt thép</t>
  </si>
  <si>
    <t>Sản phẩm từ sắt thép</t>
  </si>
  <si>
    <t>Kim loại thường khác và sản phẩm</t>
  </si>
  <si>
    <t>Điện tử, máy tính và linh kiện</t>
  </si>
  <si>
    <t>Điện thoại các loại và linh kiện</t>
  </si>
  <si>
    <t>Máy ảnh, máy quay phim và linh kiện</t>
  </si>
  <si>
    <t>Máy móc, thiết bị, dụng cụ, phụ tùng khác</t>
  </si>
  <si>
    <t>Dây điện và cáp điện</t>
  </si>
  <si>
    <t>Phương tiện vận tải và phụ tùng</t>
  </si>
  <si>
    <t>Sản phẩm nội thất từ chất liệu khác gỗ</t>
  </si>
  <si>
    <t>Đồ chơi, dụng cụ thể thao và bộ phận</t>
  </si>
  <si>
    <t>Thủy sản</t>
  </si>
  <si>
    <t>Sữa và sản phẩm sữa</t>
  </si>
  <si>
    <t>Lúa mỳ</t>
  </si>
  <si>
    <t>Dầu mỡ động thực vật</t>
  </si>
  <si>
    <t>Chế phẩm thực phẩm khác</t>
  </si>
  <si>
    <t>Thức ăn gia súc và NPL</t>
  </si>
  <si>
    <t>Quặng và khoáng sản khác</t>
  </si>
  <si>
    <t>Than đá</t>
  </si>
  <si>
    <t xml:space="preserve">Xăng dầu </t>
  </si>
  <si>
    <t>Khí đốt hóa lỏng</t>
  </si>
  <si>
    <t>Sản phẩm khác từ dầu mỏ</t>
  </si>
  <si>
    <t xml:space="preserve">Hóa chất </t>
  </si>
  <si>
    <t>Sản phẩm hoá chất</t>
  </si>
  <si>
    <t>Tân dược</t>
  </si>
  <si>
    <t xml:space="preserve">Phân bón </t>
  </si>
  <si>
    <t>Chất thơm, mỹ phẩm và chế phẩm vệ sinh</t>
  </si>
  <si>
    <t xml:space="preserve">Chất dẻo </t>
  </si>
  <si>
    <t>Giấy các loại</t>
  </si>
  <si>
    <t>Sản phẩm từ giấy</t>
  </si>
  <si>
    <t xml:space="preserve">Bông </t>
  </si>
  <si>
    <t xml:space="preserve">Sợi dệt </t>
  </si>
  <si>
    <t>Vải</t>
  </si>
  <si>
    <t>Nguyên PL dệt, may, giày dép</t>
  </si>
  <si>
    <t>Phế liệu sắt thép</t>
  </si>
  <si>
    <t xml:space="preserve">Sắt thép </t>
  </si>
  <si>
    <t>Kim loại thường khác</t>
  </si>
  <si>
    <t>Sản phẩm từ kim loại thường khác</t>
  </si>
  <si>
    <t>Hàng điện gia dụng và linh kiện</t>
  </si>
  <si>
    <t>Ô tô</t>
  </si>
  <si>
    <t xml:space="preserve"> Trong đó: Nguyên chiếc(*)</t>
  </si>
  <si>
    <t>Phương tiện vận tải khác và phụ tùng</t>
  </si>
  <si>
    <t>14. Hàng hóa xuất khẩu</t>
  </si>
  <si>
    <t>15. Hàng hóa nhập khẩu</t>
  </si>
  <si>
    <t xml:space="preserve">16. Chỉ số giá tiêu dùng, chỉ số giá vàng, chỉ số giá đô la Mỹ </t>
  </si>
  <si>
    <t xml:space="preserve">      và lạm phát cơ bản tháng 4 năm 2025</t>
  </si>
  <si>
    <t>%</t>
  </si>
  <si>
    <t>Tháng 4 năm 2025 so với</t>
  </si>
  <si>
    <t>Bình quân 4 tháng</t>
  </si>
  <si>
    <t>Kỳ gốc</t>
  </si>
  <si>
    <t>Tháng 4</t>
  </si>
  <si>
    <t>Tháng 12</t>
  </si>
  <si>
    <t>Tháng 3</t>
  </si>
  <si>
    <t>(2019)</t>
  </si>
  <si>
    <t>năm trước</t>
  </si>
  <si>
    <t>CHỈ SỐ GIÁ TIÊU DÙNG</t>
  </si>
  <si>
    <t>Hàng ăn và dịch vụ ăn uống</t>
  </si>
  <si>
    <t>Lương thực</t>
  </si>
  <si>
    <t>Thực phẩm</t>
  </si>
  <si>
    <t>Ăn uống ngoài gia đình</t>
  </si>
  <si>
    <t>Đồ uống và thuốc lá</t>
  </si>
  <si>
    <t xml:space="preserve">May mặc, mũ nón và giày dép </t>
  </si>
  <si>
    <r>
      <t>Nhà ở và vật liệu xây dựng</t>
    </r>
    <r>
      <rPr>
        <vertAlign val="superscript"/>
        <sz val="9.5"/>
        <rFont val="Arial"/>
        <family val="2"/>
      </rPr>
      <t>(*)</t>
    </r>
  </si>
  <si>
    <t>Thiết bị và đồ dùng gia đình</t>
  </si>
  <si>
    <t>Thuốc và dịch vụ y tế</t>
  </si>
  <si>
    <t>Dịch vụ y tế</t>
  </si>
  <si>
    <t>Giao thông</t>
  </si>
  <si>
    <t>Bưu chính viễn thông</t>
  </si>
  <si>
    <t>Giáo dục</t>
  </si>
  <si>
    <t>Dịch vụ giáo dục</t>
  </si>
  <si>
    <t>Văn hoá, giải trí và du lịch</t>
  </si>
  <si>
    <t>Hàng hóa và dịch vụ khác</t>
  </si>
  <si>
    <t>CHỈ SỐ GIÁ VÀNG</t>
  </si>
  <si>
    <t>CHỈ SỐ GIÁ ĐÔ LA MỸ</t>
  </si>
  <si>
    <t>LẠM PHÁT CƠ BẢN</t>
  </si>
  <si>
    <r>
      <rPr>
        <vertAlign val="superscript"/>
        <sz val="10"/>
        <rFont val="Arial"/>
        <family val="2"/>
      </rPr>
      <t xml:space="preserve">(*) </t>
    </r>
    <r>
      <rPr>
        <sz val="10"/>
        <rFont val="Arial"/>
        <family val="2"/>
      </rPr>
      <t>Nhóm này bao gồm: tiền thuê nhà ở, điện, nước, chất đốt và vật liệu xây dựng.</t>
    </r>
  </si>
  <si>
    <t>2. Chỉ số sản xuất công nghiệp phân theo ngành công nghiệp</t>
  </si>
  <si>
    <t>so với</t>
  </si>
  <si>
    <t xml:space="preserve">tháng </t>
  </si>
  <si>
    <t xml:space="preserve">cùng kỳ </t>
  </si>
  <si>
    <t>trước</t>
  </si>
  <si>
    <t>Toàn ngành công nghiệp</t>
  </si>
  <si>
    <t>Khai khoáng</t>
  </si>
  <si>
    <t>Khai thác than cứng và than non</t>
  </si>
  <si>
    <t>Khai thác dầu thô và khí đốt tự nhiên</t>
  </si>
  <si>
    <t>Khai thác quặng kim loại</t>
  </si>
  <si>
    <t>Khai khoáng khác</t>
  </si>
  <si>
    <t>Hoạt động dịch vụ hỗ trợ khai thác mỏ và quặng</t>
  </si>
  <si>
    <t>Công nghiệp chế biến, chế tạo</t>
  </si>
  <si>
    <t>Sản xuất, chế biến thực phẩm</t>
  </si>
  <si>
    <t>Sản xuất đồ uống</t>
  </si>
  <si>
    <t>Sản xuất sản phẩm thuốc lá</t>
  </si>
  <si>
    <t>Dệt</t>
  </si>
  <si>
    <t>Sản xuất trang phục</t>
  </si>
  <si>
    <t>Sản xuất da và các sản phẩm có liên quan</t>
  </si>
  <si>
    <t>Chế biến gỗ và sản xuất sản phẩm từ gỗ, tre, nứa
(trừ giường, tủ, bàn, ghế); sản xuất sản phẩm
từ rơm, rạ và vật liệu tết bện</t>
  </si>
  <si>
    <t>Sản xuất giấy và sản phẩm từ giấy</t>
  </si>
  <si>
    <t>In, sao chép bản ghi các loại</t>
  </si>
  <si>
    <t>Sản xuất than cốc, sản phẩm dầu mỏ tinh chế</t>
  </si>
  <si>
    <t>Sản xuất hoá chất và sản phẩm hoá chất</t>
  </si>
  <si>
    <t>Sản xuất thuốc, hoá dược và dược liệu</t>
  </si>
  <si>
    <t>Sản xuất sản phẩm từ cao su và plastic</t>
  </si>
  <si>
    <t>Sản xuất sản phẩm từ khoáng phi kim loại khác</t>
  </si>
  <si>
    <t>Sản xuất kim loại</t>
  </si>
  <si>
    <t>Sản xuất sản phẩm từ kim loại đúc sẵn
(trừ máy móc, thiết bị)</t>
  </si>
  <si>
    <t>Sản xuất sản phẩm điện tử, máy vi tính
và sản phẩm quang học</t>
  </si>
  <si>
    <t>Sản xuất thiết bị điện</t>
  </si>
  <si>
    <t>Sản xuất máy móc, thiết bị chưa được phân vào đâu</t>
  </si>
  <si>
    <t>Sản xuất xe có động cơ</t>
  </si>
  <si>
    <t>Sản xuất phương tiện vận tải khác</t>
  </si>
  <si>
    <t>Sản xuất giường, tủ, bàn, ghế</t>
  </si>
  <si>
    <t>Công nghiệp chế biến, chế tạo khác</t>
  </si>
  <si>
    <t>Sửa chữa, bảo dưỡng và lắp đặt máy móc và thiết bị</t>
  </si>
  <si>
    <t>Sản xuất và phân phối điện</t>
  </si>
  <si>
    <t>Cung cấp nước; hoạt động quản lý
và xử lý rác thải, nước thải</t>
  </si>
  <si>
    <t>Khai thác, xử lý và cung cấp nước</t>
  </si>
  <si>
    <t>Thoát nước và xử lý nước thải</t>
  </si>
  <si>
    <t>Hoạt động thu gom, xử lý và tiêu huỷ rác thải;
tái chế phế liệu</t>
  </si>
  <si>
    <t>3. Một số sản phẩm chủ yếu của ngành công nghiệp</t>
  </si>
  <si>
    <t>Đơn vị</t>
  </si>
  <si>
    <t>Ước tính</t>
  </si>
  <si>
    <t>tính</t>
  </si>
  <si>
    <t>tháng 3</t>
  </si>
  <si>
    <t>Than đá (than sạch)</t>
  </si>
  <si>
    <t>Nghìn tấn</t>
  </si>
  <si>
    <t>Dầu mỏ thô khai thác</t>
  </si>
  <si>
    <t>"</t>
  </si>
  <si>
    <t>Khí đốt thiên nhiên dạng khí</t>
  </si>
  <si>
    <t>Triệu m3</t>
  </si>
  <si>
    <t>Khí hoá lỏng (LPG)</t>
  </si>
  <si>
    <t>Xăng, dầu</t>
  </si>
  <si>
    <t>Alumin</t>
  </si>
  <si>
    <t>Thuỷ hải sản chế biến</t>
  </si>
  <si>
    <t>Sữa tươi</t>
  </si>
  <si>
    <t>Triệu lít</t>
  </si>
  <si>
    <t>Sữa bột</t>
  </si>
  <si>
    <t>Đường kính</t>
  </si>
  <si>
    <t>Bột ngọt</t>
  </si>
  <si>
    <t>Thức ăn cho gia súc</t>
  </si>
  <si>
    <t>Thức ăn cho thủy sản</t>
  </si>
  <si>
    <t>Bia</t>
  </si>
  <si>
    <t>Thuốc lá điếu</t>
  </si>
  <si>
    <t>Triệu bao</t>
  </si>
  <si>
    <t>Vải dệt từ sợi tự nhiên</t>
  </si>
  <si>
    <t>Triệu m2</t>
  </si>
  <si>
    <t>Vải dệt từ sợi tổng hợp 
hoặc sợi nhân tạo</t>
  </si>
  <si>
    <t>Quần áo mặc thường</t>
  </si>
  <si>
    <t>Triệu cái</t>
  </si>
  <si>
    <t>Giày, dép da</t>
  </si>
  <si>
    <t>Triệu đôi</t>
  </si>
  <si>
    <t>Phân U rê</t>
  </si>
  <si>
    <t>Phân hỗn hợp N.P.K</t>
  </si>
  <si>
    <t xml:space="preserve">Sơn hoá học </t>
  </si>
  <si>
    <t>Xi măng</t>
  </si>
  <si>
    <t>Triệu tấn</t>
  </si>
  <si>
    <t>Sắt, thép thô</t>
  </si>
  <si>
    <t>Thép cán</t>
  </si>
  <si>
    <t>Thép thanh, thép góc</t>
  </si>
  <si>
    <t>Điện thoại di động</t>
  </si>
  <si>
    <t>Linh kiện điện thoại</t>
  </si>
  <si>
    <t>Nghìn 
tỷ đồng</t>
  </si>
  <si>
    <t xml:space="preserve">Ti vi </t>
  </si>
  <si>
    <t>Nghìn cái</t>
  </si>
  <si>
    <t>Nghìn chiếc</t>
  </si>
  <si>
    <t>Xe máy</t>
  </si>
  <si>
    <t>Điện sản xuất</t>
  </si>
  <si>
    <t>Tỷ kwh</t>
  </si>
  <si>
    <t>Nước máy thương phẩm</t>
  </si>
  <si>
    <t xml:space="preserve">4. Chỉ số sử dụng lao động của doanh nghiệp công nghiệp </t>
  </si>
  <si>
    <t>Chỉ số sử dụng</t>
  </si>
  <si>
    <t>lao động thời điểm</t>
  </si>
  <si>
    <t>cùng thời điểm</t>
  </si>
  <si>
    <t>tháng trước</t>
  </si>
  <si>
    <t>Chế biến gỗ và sản xuất sản phẩm từ gỗ, tre, nứa (trừ giường,
tủ, bàn, ghế); sản xuất sản phẩm từ rơm, rạ và vật liệu tết bện</t>
  </si>
  <si>
    <t>Sản xuất sản phẩm từ kim loại đúc sẵn (trừ máy móc, thiết bị)</t>
  </si>
  <si>
    <t>Sản xuất sản phẩm điện tử, máy vi tính và sản phẩm quang học</t>
  </si>
  <si>
    <t>Hoạt động thu gom, xử lý và tiêu huỷ rác thải; tái chế phế liệu</t>
  </si>
  <si>
    <t>Xử lý ô nhiễm và hoạt động quản lý chất thải</t>
  </si>
  <si>
    <t xml:space="preserve">5. Chỉ số sử dụng lao động của doanh nghiệp công nghiệp </t>
  </si>
  <si>
    <t xml:space="preserve">    phân theo địa phương</t>
  </si>
  <si>
    <t>Chỉ số sử dụng lao động</t>
  </si>
  <si>
    <t>cùng thời điểm tháng trước</t>
  </si>
  <si>
    <t>cùng thời điểm năm trước</t>
  </si>
  <si>
    <t xml:space="preserve">CẢ NƯỚC </t>
  </si>
  <si>
    <t>Hải Dương</t>
  </si>
  <si>
    <t xml:space="preserve">Thái Bình </t>
  </si>
  <si>
    <t>Hà Giang</t>
  </si>
  <si>
    <t>Cao Bằng</t>
  </si>
  <si>
    <t xml:space="preserve">Bắc Kạn 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</si>
  <si>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</si>
  <si>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</si>
  <si>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</si>
  <si>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</si>
  <si>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</si>
  <si>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</si>
  <si>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</si>
  <si>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</si>
  <si>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</si>
  <si>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</si>
  <si>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Hà Tĩnh</t>
  </si>
  <si>
    <t>Quảng Bình</t>
  </si>
  <si>
    <t>Quảng Trị</t>
  </si>
  <si>
    <t>Huế</t>
  </si>
  <si>
    <r>
      <t xml:space="preserve">5. </t>
    </r>
    <r>
      <rPr>
        <i/>
        <sz val="12"/>
        <rFont val="Arial"/>
        <family val="2"/>
      </rPr>
      <t xml:space="preserve">(Tiếp theo) </t>
    </r>
    <r>
      <rPr>
        <b/>
        <sz val="12"/>
        <rFont val="Arial"/>
        <family val="2"/>
      </rPr>
      <t xml:space="preserve">Chỉ số sử dụng lao động của doanh nghiệp công nghiệp </t>
    </r>
  </si>
  <si>
    <t xml:space="preserve">     phân theo địa phương</t>
  </si>
  <si>
    <t xml:space="preserve">Đà Nẵng </t>
  </si>
  <si>
    <t>Quảng Nam</t>
  </si>
  <si>
    <t>Quảng Ngãi</t>
  </si>
  <si>
    <t>Phú Yên</t>
  </si>
  <si>
    <t>Khánh Hòa</t>
  </si>
  <si>
    <t xml:space="preserve">Ninh Thuận </t>
  </si>
  <si>
    <t>Bình Thuận</t>
  </si>
  <si>
    <t>Kon Tum</t>
  </si>
  <si>
    <t>Gia Lai</t>
  </si>
  <si>
    <t>Đắk Nông</t>
  </si>
  <si>
    <t>Lâm Đồng</t>
  </si>
  <si>
    <t>Bình Phước</t>
  </si>
  <si>
    <t>Tây Ninh</t>
  </si>
  <si>
    <t>Long An</t>
  </si>
  <si>
    <t xml:space="preserve">Tiền Giang </t>
  </si>
  <si>
    <t xml:space="preserve">Bến Tre </t>
  </si>
  <si>
    <t xml:space="preserve">Trà Vinh </t>
  </si>
  <si>
    <t>Vĩnh Long</t>
  </si>
  <si>
    <t xml:space="preserve">Đồng Tháp </t>
  </si>
  <si>
    <t xml:space="preserve">An Giang </t>
  </si>
  <si>
    <t>Kiên Giang</t>
  </si>
  <si>
    <t>Cần Thơ</t>
  </si>
  <si>
    <t>Hậu Giang</t>
  </si>
  <si>
    <t>Sóc Trăng</t>
  </si>
  <si>
    <t>Bạc Liêu</t>
  </si>
  <si>
    <t>Cà Mau</t>
  </si>
  <si>
    <t>13. Tổng mức bán lẻ hàng hóa và doanh thu dịch vụ tiêu dùng</t>
  </si>
  <si>
    <t xml:space="preserve">4 tháng </t>
  </si>
  <si>
    <t>Tổng</t>
  </si>
  <si>
    <t>Cơ</t>
  </si>
  <si>
    <t>mức</t>
  </si>
  <si>
    <t xml:space="preserve">cấu </t>
  </si>
  <si>
    <t>(Tỷ đồng)</t>
  </si>
  <si>
    <t>(%)</t>
  </si>
  <si>
    <t>trước (%)</t>
  </si>
  <si>
    <t>Bán lẻ hàng hóa</t>
  </si>
  <si>
    <t>Dịch vụ lưu trú, ăn uống</t>
  </si>
  <si>
    <t>Du lịch lữ hành</t>
  </si>
  <si>
    <t>Dịch vụ khác</t>
  </si>
  <si>
    <t>17. Vận tải hành khách</t>
  </si>
  <si>
    <t xml:space="preserve">     </t>
  </si>
  <si>
    <t>Tháng 4 năm</t>
  </si>
  <si>
    <t>4 tháng năm</t>
  </si>
  <si>
    <t>cùng kỳ năm</t>
  </si>
  <si>
    <t>I. Vận chuyển (Nghìn HK)</t>
  </si>
  <si>
    <t>Phân theo khu vực vận tải</t>
  </si>
  <si>
    <t>Trong nước</t>
  </si>
  <si>
    <t>Ngoài nước</t>
  </si>
  <si>
    <t>Phân theo ngành vận tải</t>
  </si>
  <si>
    <t>Đường sắt</t>
  </si>
  <si>
    <t>Đường biển</t>
  </si>
  <si>
    <t>Đường thủy nội địa</t>
  </si>
  <si>
    <t>Đường bộ</t>
  </si>
  <si>
    <t>Hàng không</t>
  </si>
  <si>
    <t>II. Luân chuyển (Triệu HK.km)</t>
  </si>
  <si>
    <t>18. Vận tải hàng hoá</t>
  </si>
  <si>
    <t>I. Vận chuyển (Nghìn tấn)</t>
  </si>
  <si>
    <t>II. Luân chuyển (Triệu tấn.km)</t>
  </si>
  <si>
    <t>19. Khách quốc tế đến Việt Nam</t>
  </si>
  <si>
    <t>Lượt người</t>
  </si>
  <si>
    <t>Phân theo phương tiện đến</t>
  </si>
  <si>
    <t>Đường không</t>
  </si>
  <si>
    <t>Phân theo một số nước và vùng lãnh thổ</t>
  </si>
  <si>
    <t>Châu Á</t>
  </si>
  <si>
    <t>CHND Trung Hoa</t>
  </si>
  <si>
    <t>Hàn Quốc</t>
  </si>
  <si>
    <t>Nhật Bản</t>
  </si>
  <si>
    <t>Đài Loan</t>
  </si>
  <si>
    <t>Ma-lai-xi-a</t>
  </si>
  <si>
    <t>Thái Lan</t>
  </si>
  <si>
    <t>Xin-ga-po</t>
  </si>
  <si>
    <t>Cam-pu-chia</t>
  </si>
  <si>
    <t>Phi-li-pin</t>
  </si>
  <si>
    <t>Lào</t>
  </si>
  <si>
    <t>In-đô-nê-xi-a</t>
  </si>
  <si>
    <t>Ấn Độ</t>
  </si>
  <si>
    <t xml:space="preserve">Một số nước khác </t>
  </si>
  <si>
    <t>Châu Mỹ</t>
  </si>
  <si>
    <t>Hoa Kỳ</t>
  </si>
  <si>
    <t>Ca-na-đa</t>
  </si>
  <si>
    <t>Một số nước khác thuộc châu Mỹ</t>
  </si>
  <si>
    <t>Châu Âu</t>
  </si>
  <si>
    <t>Liên bang Nga</t>
  </si>
  <si>
    <t>Vương quốc Anh</t>
  </si>
  <si>
    <t>Pháp</t>
  </si>
  <si>
    <t>Đức</t>
  </si>
  <si>
    <t>Tây Ban Nha</t>
  </si>
  <si>
    <t>Hà Lan</t>
  </si>
  <si>
    <t>I-ta-li-a</t>
  </si>
  <si>
    <t>Thụy Điển</t>
  </si>
  <si>
    <t>Đan Mạch</t>
  </si>
  <si>
    <t>Thụy Sỹ</t>
  </si>
  <si>
    <t>Bỉ</t>
  </si>
  <si>
    <t>Na Uy</t>
  </si>
  <si>
    <t>Cộng hoà Séc</t>
  </si>
  <si>
    <t>Ba Lan</t>
  </si>
  <si>
    <t>Một số nước khác</t>
  </si>
  <si>
    <t>Châu Úc</t>
  </si>
  <si>
    <t>Ôx-trây-li-a</t>
  </si>
  <si>
    <t>Niu-di-lân</t>
  </si>
  <si>
    <t xml:space="preserve">Nước, vùng lãnh thổ khác </t>
  </si>
  <si>
    <t>Châu Phi</t>
  </si>
  <si>
    <t xml:space="preserve">6. Một số chỉ tiêu về doanh nghiệp </t>
  </si>
  <si>
    <t>+/-</t>
  </si>
  <si>
    <t>BQ</t>
  </si>
  <si>
    <t>so với (%)</t>
  </si>
  <si>
    <t>2024 (%)</t>
  </si>
  <si>
    <t>Doanh nghiệp đăng ký thành lập mới (DN)</t>
  </si>
  <si>
    <t>Vốn đăng ký (Tỷ đồng)</t>
  </si>
  <si>
    <t>Lao động (Người)</t>
  </si>
  <si>
    <t>Vốn đăng ký bình quân 1 doanh nghiệp
(Tỷ đồng)</t>
  </si>
  <si>
    <t>Doanh nghiệp quay trở lại hoạt động (DN)</t>
  </si>
  <si>
    <t>Doanh nghiệp tạm ngừng kinh doanh
có thời hạn (DN)</t>
  </si>
  <si>
    <t>Doanh nghiệp tạm ngừng hoạt động
chờ làm thủ tục giải thể (DN)</t>
  </si>
  <si>
    <t>Doanh nghiệp hoàn tất thủ tục giải thể (DN)</t>
  </si>
  <si>
    <t>7. Doanh nghiệp đăng ký thành lập mới</t>
  </si>
  <si>
    <t xml:space="preserve">4 tháng năm 2025 so với </t>
  </si>
  <si>
    <t>4 tháng năm 2024</t>
  </si>
  <si>
    <t xml:space="preserve"> cùng kỳ năm 2024 (%)</t>
  </si>
  <si>
    <t>Số</t>
  </si>
  <si>
    <t xml:space="preserve">Vốn </t>
  </si>
  <si>
    <t>Số lao</t>
  </si>
  <si>
    <t>DN</t>
  </si>
  <si>
    <t>đăng ký</t>
  </si>
  <si>
    <t>động</t>
  </si>
  <si>
    <t>doanh</t>
  </si>
  <si>
    <t>(DN)</t>
  </si>
  <si>
    <t>(Người)</t>
  </si>
  <si>
    <t>nghiệp</t>
  </si>
  <si>
    <t>Phân theo ngành kinh tế</t>
  </si>
  <si>
    <t>Nông, Lâm nghiệp và Thủy sản</t>
  </si>
  <si>
    <t>Công nghiệp và Xây dựng</t>
  </si>
  <si>
    <t>Sản xuất phân phối, điện, nước, gas</t>
  </si>
  <si>
    <t>Xây dựng</t>
  </si>
  <si>
    <t>Dịch vụ</t>
  </si>
  <si>
    <t>Bán buôn; bán lẻ; sửa chữa ô tô, xe máy</t>
  </si>
  <si>
    <t>Vận tải kho bãi</t>
  </si>
  <si>
    <t>Dịch vụ lưu trú và ăn uống</t>
  </si>
  <si>
    <t>Thông tin và truyền thông</t>
  </si>
  <si>
    <t>Tài chính, ngân hàng và bảo hiểm</t>
  </si>
  <si>
    <t>Kinh doanh bất động sản</t>
  </si>
  <si>
    <t>Khoa học, công nghệ; dịch vụ tư vấn, thiết kế; quảng cáo và chuyên môn khác</t>
  </si>
  <si>
    <t>Giáo dục và đào tạo</t>
  </si>
  <si>
    <t>Y tế và hoạt động trợ giúp xã hội</t>
  </si>
  <si>
    <t>Nghệ thuật, vui chơi và giải trí</t>
  </si>
  <si>
    <t>Dịch vụ việc làm; du lịch; cho thuê máy móc thiết bị, đồ dùng và các dịch vụ hỗ trợ khác</t>
  </si>
  <si>
    <t>Hoạt động dịch vụ khác</t>
  </si>
  <si>
    <t>8. Doanh nghiệp quay trở lại hoạt động</t>
  </si>
  <si>
    <t>Doanh nghiệp</t>
  </si>
  <si>
    <t>năm 2024</t>
  </si>
  <si>
    <t>cùng kỳ năm 2024 (%)</t>
  </si>
  <si>
    <t>Khoa học, công nghệ; dịch vụ tư vấn, thiết kế;
quảng cáo và chuyên môn khác</t>
  </si>
  <si>
    <t>Dịch vụ việc làm; du lịch; cho thuê máy móc
thiết bị, đồ dùng và các dịch vụ hỗ trợ khác</t>
  </si>
  <si>
    <t>9. Doanh nghiệp tạm ngừng kinh doanh có thời hạn</t>
  </si>
  <si>
    <t>10. Doanh nghiệp hoàn tất thủ tục giải thể</t>
  </si>
  <si>
    <t>01/4/2025 so với</t>
  </si>
  <si>
    <t xml:space="preserve"> thời điểm 01/4/2025 so với</t>
  </si>
  <si>
    <t>12. Đầu tư nước ngoài vào Việt Nam được cấp phép từ 01/01- 30/04/2025</t>
  </si>
  <si>
    <t>Triệu USD</t>
  </si>
  <si>
    <t>Số dự án</t>
  </si>
  <si>
    <t>Vốn đăng ký</t>
  </si>
  <si>
    <t>(Dự án)</t>
  </si>
  <si>
    <t>cấp mới</t>
  </si>
  <si>
    <t>điều chỉnh</t>
  </si>
  <si>
    <t>Phân theo một số địa phương</t>
  </si>
  <si>
    <t>Trung Quốc</t>
  </si>
  <si>
    <t>Đặc khu hành chính Hồng Kông (TQ)</t>
  </si>
  <si>
    <t>Quần đảo Vigin thuộc Anh</t>
  </si>
  <si>
    <t>Xa-moa</t>
  </si>
  <si>
    <t>Quần đảo Cây-men</t>
  </si>
  <si>
    <t>Ca-na-da</t>
  </si>
  <si>
    <t>Xây-xen</t>
  </si>
  <si>
    <t>Ôx -trây-li- a</t>
  </si>
  <si>
    <t>Bộ Giáo dục và Đào tạo</t>
  </si>
  <si>
    <t>Bộ Công Thương</t>
  </si>
  <si>
    <t>(*)Chiếc, triệu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</si>
</sst>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\ \ ########"/>
    <numFmt numFmtId="165" formatCode="#,##0.0;[Red]\-#,##0.0;\ &quot;-&quot;;[Blue]@"/>
    <numFmt numFmtId="166" formatCode="0.0"/>
    <numFmt numFmtId="167" formatCode="#,##0.00;[Red]#,##0.00"/>
    <numFmt numFmtId="168" formatCode="_-* #,##0_-;\-* #,##0_-;_-* &quot;-&quot;_-;_-@_-"/>
    <numFmt numFmtId="169" formatCode="_-* #,##0.00_-;\-* #,##0.00_-;_-* &quot;-&quot;??_-;_-@_-"/>
    <numFmt numFmtId="170" formatCode="_(* #,##0.0_);_(* \(#,##0.0\);_(* &quot;-&quot;??_);_(@_)"/>
    <numFmt numFmtId="171" formatCode="_-* #,##0\ _P_t_s_-;\-* #,##0\ _P_t_s_-;_-* &quot;-&quot;\ _P_t_s_-;_-@_-"/>
    <numFmt numFmtId="172" formatCode="#,##0.0;\-#,##0.0"/>
    <numFmt numFmtId="173" formatCode="0.000"/>
    <numFmt numFmtId="174" formatCode="_(* #,##0_);_(* \(#,##0\);_(* &quot;-&quot;??_);_(@_)"/>
  </numFmts>
  <fonts count="7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.VnTime"/>
      <family val="2"/>
    </font>
    <font>
      <b/>
      <sz val="12"/>
      <name val="Arial"/>
      <family val="2"/>
    </font>
    <font>
      <sz val="13"/>
      <name val=".VnTime"/>
      <family val="2"/>
    </font>
    <font>
      <sz val="10"/>
      <name val="Arial"/>
      <family val="2"/>
    </font>
    <font>
      <sz val="13"/>
      <name val=".Vn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sz val="10"/>
      <name val=".VnArial"/>
      <family val="2"/>
    </font>
    <font>
      <b/>
      <sz val="10"/>
      <name val=".VnArial"/>
      <family val="2"/>
    </font>
    <font>
      <i/>
      <sz val="10"/>
      <name val="Arial"/>
      <family val="2"/>
    </font>
    <font>
      <sz val="12"/>
      <name val="Times New Roman"/>
      <family val="1"/>
    </font>
    <font>
      <sz val="9"/>
      <name val=".VnArial"/>
      <family val="2"/>
    </font>
    <font>
      <sz val="10"/>
      <name val="MS Sans Serif"/>
      <family val="2"/>
    </font>
    <font>
      <b/>
      <sz val="13"/>
      <name val="Arial"/>
      <family val="2"/>
    </font>
    <font>
      <sz val="9"/>
      <name val="Arial"/>
      <family val="2"/>
    </font>
    <font>
      <sz val="12"/>
      <name val="VNTime"/>
    </font>
    <font>
      <b/>
      <i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BEAM-Time-T"/>
    </font>
    <font>
      <sz val="11.5"/>
      <name val="Arial"/>
      <family val="2"/>
    </font>
    <font>
      <b/>
      <sz val="11.5"/>
      <name val="Arial"/>
      <family val="2"/>
    </font>
    <font>
      <b/>
      <i/>
      <sz val="9"/>
      <name val="Arial"/>
      <family val="2"/>
    </font>
    <font>
      <sz val="11"/>
      <color theme="1"/>
      <name val="Calibri"/>
      <family val="2"/>
      <charset val="163"/>
      <scheme val="minor"/>
    </font>
    <font>
      <sz val="9"/>
      <color theme="1"/>
      <name val="Arial"/>
      <family val="2"/>
    </font>
    <font>
      <sz val="9"/>
      <color indexed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8"/>
      <name val="Arial"/>
      <family val="2"/>
    </font>
    <font>
      <sz val="12"/>
      <name val="Arial"/>
      <family val="2"/>
    </font>
    <font>
      <i/>
      <vertAlign val="superscript"/>
      <sz val="9"/>
      <name val="Arial"/>
      <family val="2"/>
    </font>
    <font>
      <sz val="9.5"/>
      <name val="Arial"/>
      <family val="2"/>
    </font>
    <font>
      <sz val="10"/>
      <name val=".VnTime"/>
      <family val="2"/>
    </font>
    <font>
      <b/>
      <sz val="13"/>
      <name val=".VnArial"/>
      <family val="2"/>
    </font>
    <font>
      <sz val="12"/>
      <color theme="1"/>
      <name val="Times New Roman"/>
      <family val="2"/>
    </font>
    <font>
      <b/>
      <sz val="9.5"/>
      <name val="Arial"/>
      <family val="2"/>
    </font>
    <font>
      <i/>
      <sz val="9.5"/>
      <name val="Arial"/>
      <family val="2"/>
    </font>
    <font>
      <vertAlign val="superscript"/>
      <sz val="9.5"/>
      <name val="Arial"/>
      <family val="2"/>
    </font>
    <font>
      <vertAlign val="superscript"/>
      <sz val="10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indexed="8"/>
      <name val="Arial"/>
      <family val="2"/>
      <charset val="163"/>
    </font>
    <font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  <charset val="163"/>
    </font>
    <font>
      <sz val="14"/>
      <color theme="1"/>
      <name val="Times New Roman"/>
      <family val="2"/>
    </font>
    <font>
      <b/>
      <sz val="9"/>
      <color indexed="8"/>
      <name val="Arial"/>
      <family val="2"/>
    </font>
    <font>
      <i/>
      <sz val="12"/>
      <name val="Arial"/>
      <family val="2"/>
    </font>
    <font>
      <sz val="9.5"/>
      <color theme="1"/>
      <name val="Arial"/>
      <family val="2"/>
    </font>
    <font>
      <sz val="13"/>
      <name val="Arial"/>
      <family val="2"/>
    </font>
    <font>
      <sz val="11"/>
      <name val="Times New Roman"/>
      <family val="1"/>
    </font>
    <font>
      <sz val="11.5"/>
      <name val="Times New Roman"/>
      <family val="1"/>
    </font>
    <font>
      <sz val="11.5"/>
      <name val=".VnTime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i/>
      <sz val="10"/>
      <color theme="1"/>
      <name val="Arial"/>
      <family val="2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.5"/>
      <color theme="1"/>
      <name val="Times New Roman"/>
      <family val="1"/>
    </font>
    <font>
      <sz val="11.5"/>
      <color theme="1"/>
      <name val=".VnTime"/>
      <family val="2"/>
    </font>
    <font>
      <b/>
      <sz val="11"/>
      <color theme="1"/>
      <name val="Arial"/>
      <family val="2"/>
    </font>
    <font>
      <i/>
      <sz val="9"/>
      <color theme="1"/>
      <name val="Arial"/>
      <family val="2"/>
    </font>
    <font>
      <sz val="9.5"/>
      <color rgb="FF000000"/>
      <name val="Arial"/>
      <family val="2"/>
    </font>
    <font>
      <sz val="12"/>
      <color theme="1"/>
      <name val="Times New Roman"/>
      <family val="1"/>
    </font>
    <font>
      <sz val="11"/>
      <color theme="1"/>
      <name val="Times New Roman"/>
      <family val="1"/>
      <charset val="163"/>
    </font>
    <font>
      <sz val="11"/>
      <color theme="1"/>
      <name val="Arial"/>
      <family val="2"/>
    </font>
    <font>
      <b/>
      <sz val="9"/>
      <color rgb="FF000000"/>
      <name val="Arial"/>
      <family val="2"/>
    </font>
    <font>
      <b/>
      <i/>
      <sz val="9.5"/>
      <color theme="1"/>
      <name val="Arial"/>
      <family val="2"/>
    </font>
    <font>
      <b/>
      <i/>
      <sz val="9"/>
      <color theme="1"/>
      <name val="Arial"/>
      <family val="2"/>
    </font>
    <font>
      <i/>
      <sz val="9.5"/>
      <color theme="1"/>
      <name val="Arial"/>
      <family val="2"/>
    </font>
    <font>
      <sz val="10"/>
      <color rgb="FF000000"/>
      <name val="Arial"/>
      <family val="2"/>
    </font>
    <font>
      <b/>
      <i/>
      <sz val="10"/>
      <name val=".Vn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5">
    <xf numFmtId="0" fontId="0" fillId="0" borderId="0"/>
    <xf numFmtId="0" fontId="2" fillId="0" borderId="0"/>
    <xf numFmtId="0" fontId="5" fillId="0" borderId="0"/>
    <xf numFmtId="0" fontId="7" fillId="0" borderId="0"/>
    <xf numFmtId="0" fontId="4" fillId="0" borderId="0"/>
    <xf numFmtId="0" fontId="4" fillId="0" borderId="0"/>
    <xf numFmtId="0" fontId="16" fillId="0" borderId="0"/>
    <xf numFmtId="0" fontId="2" fillId="0" borderId="0"/>
    <xf numFmtId="0" fontId="16" fillId="0" borderId="0"/>
    <xf numFmtId="0" fontId="19" fillId="0" borderId="0"/>
    <xf numFmtId="0" fontId="5" fillId="0" borderId="0"/>
    <xf numFmtId="0" fontId="22" fillId="0" borderId="0"/>
    <xf numFmtId="0" fontId="2" fillId="0" borderId="0"/>
    <xf numFmtId="0" fontId="2" fillId="0" borderId="0"/>
    <xf numFmtId="0" fontId="5" fillId="0" borderId="0"/>
    <xf numFmtId="0" fontId="26" fillId="0" borderId="0"/>
    <xf numFmtId="168" fontId="2" fillId="0" borderId="0" applyFont="0" applyFill="0" applyBorder="0" applyAlignment="0" applyProtection="0"/>
    <xf numFmtId="0" fontId="5" fillId="0" borderId="0"/>
    <xf numFmtId="169" fontId="2" fillId="0" borderId="0" applyFont="0" applyFill="0" applyBorder="0" applyAlignment="0" applyProtection="0"/>
    <xf numFmtId="0" fontId="5" fillId="0" borderId="0"/>
    <xf numFmtId="0" fontId="5" fillId="0" borderId="0"/>
    <xf numFmtId="0" fontId="35" fillId="0" borderId="0"/>
    <xf numFmtId="0" fontId="35" fillId="0" borderId="0"/>
    <xf numFmtId="0" fontId="37" fillId="0" borderId="0"/>
    <xf numFmtId="0" fontId="2" fillId="0" borderId="0"/>
    <xf numFmtId="0" fontId="7" fillId="0" borderId="0"/>
    <xf numFmtId="0" fontId="1" fillId="0" borderId="0"/>
    <xf numFmtId="0" fontId="4" fillId="0" borderId="0"/>
    <xf numFmtId="169" fontId="5" fillId="0" borderId="0" applyFont="0" applyFill="0" applyBorder="0" applyAlignment="0" applyProtection="0"/>
    <xf numFmtId="0" fontId="46" fillId="0" borderId="0"/>
    <xf numFmtId="0" fontId="16" fillId="0" borderId="0"/>
    <xf numFmtId="0" fontId="37" fillId="0" borderId="0"/>
    <xf numFmtId="0" fontId="49" fillId="0" borderId="0"/>
    <xf numFmtId="171" fontId="2" fillId="0" borderId="0" applyFont="0" applyFill="0" applyBorder="0" applyAlignment="0" applyProtection="0"/>
    <xf numFmtId="0" fontId="7" fillId="0" borderId="0"/>
    <xf numFmtId="0" fontId="11" fillId="0" borderId="0" applyAlignment="0">
      <alignment vertical="top" wrapText="1"/>
      <protection locked="0"/>
    </xf>
    <xf numFmtId="0" fontId="50" fillId="0" borderId="0"/>
    <xf numFmtId="43" fontId="1" fillId="0" borderId="0" applyFont="0" applyFill="0" applyBorder="0" applyAlignment="0" applyProtection="0"/>
    <xf numFmtId="0" fontId="2" fillId="0" borderId="0"/>
    <xf numFmtId="0" fontId="3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1" fillId="0" borderId="0"/>
    <xf numFmtId="0" fontId="1" fillId="0" borderId="0"/>
    <xf numFmtId="0" fontId="2" fillId="0" borderId="0"/>
    <xf numFmtId="0" fontId="16" fillId="0" borderId="0"/>
    <xf numFmtId="0" fontId="50" fillId="0" borderId="0"/>
    <xf numFmtId="0" fontId="5" fillId="0" borderId="0"/>
    <xf numFmtId="0" fontId="5" fillId="0" borderId="0"/>
    <xf numFmtId="43" fontId="1" fillId="0" borderId="0" applyFont="0" applyFill="0" applyBorder="0" applyAlignment="0" applyProtection="0"/>
    <xf numFmtId="0" fontId="7" fillId="0" borderId="0"/>
    <xf numFmtId="0" fontId="26" fillId="0" borderId="0"/>
    <xf numFmtId="0" fontId="1" fillId="0" borderId="0"/>
    <xf numFmtId="0" fontId="1" fillId="0" borderId="0"/>
    <xf numFmtId="0" fontId="1" fillId="0" borderId="0"/>
    <xf numFmtId="9" fontId="4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1" fillId="0" borderId="0"/>
    <xf numFmtId="0" fontId="2" fillId="0" borderId="0" applyFont="0" applyFill="0" applyBorder="0" applyAlignment="0" applyProtection="0"/>
  </cellStyleXfs>
  <cellXfs count="491">
    <xf numFmtId="0" fontId="0" fillId="0" borderId="0" xfId="0"/>
    <xf numFmtId="0" fontId="3" fillId="0" borderId="0" xfId="1" applyFont="1"/>
    <xf numFmtId="0" fontId="4" fillId="0" borderId="0" xfId="1" applyFont="1"/>
    <xf numFmtId="0" fontId="3" fillId="0" borderId="0" xfId="2" applyFont="1"/>
    <xf numFmtId="0" fontId="5" fillId="0" borderId="0" xfId="2"/>
    <xf numFmtId="0" fontId="6" fillId="0" borderId="0" xfId="1" applyFont="1"/>
    <xf numFmtId="0" fontId="2" fillId="0" borderId="0" xfId="1"/>
    <xf numFmtId="0" fontId="8" fillId="0" borderId="0" xfId="3" applyFont="1"/>
    <xf numFmtId="0" fontId="5" fillId="0" borderId="0" xfId="3" applyFont="1"/>
    <xf numFmtId="0" fontId="9" fillId="0" borderId="0" xfId="3" applyFont="1" applyAlignment="1">
      <alignment horizontal="right"/>
    </xf>
    <xf numFmtId="0" fontId="1" fillId="0" borderId="0" xfId="3" applyFont="1"/>
    <xf numFmtId="0" fontId="5" fillId="0" borderId="1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164" fontId="10" fillId="0" borderId="0" xfId="4" applyNumberFormat="1" applyFont="1"/>
    <xf numFmtId="165" fontId="10" fillId="0" borderId="0" xfId="4" applyNumberFormat="1" applyFont="1"/>
    <xf numFmtId="166" fontId="10" fillId="0" borderId="0" xfId="5" applyNumberFormat="1" applyFont="1" applyAlignment="1">
      <alignment horizontal="center"/>
    </xf>
    <xf numFmtId="166" fontId="10" fillId="0" borderId="0" xfId="5" applyNumberFormat="1" applyFont="1" applyAlignment="1">
      <alignment horizontal="right" indent="4"/>
    </xf>
    <xf numFmtId="166" fontId="2" fillId="0" borderId="0" xfId="1" applyNumberFormat="1"/>
    <xf numFmtId="164" fontId="9" fillId="0" borderId="0" xfId="4" applyNumberFormat="1" applyFont="1"/>
    <xf numFmtId="49" fontId="5" fillId="0" borderId="0" xfId="4" applyNumberFormat="1" applyFont="1"/>
    <xf numFmtId="166" fontId="5" fillId="0" borderId="0" xfId="5" applyNumberFormat="1" applyFont="1" applyAlignment="1">
      <alignment horizontal="center"/>
    </xf>
    <xf numFmtId="166" fontId="5" fillId="0" borderId="0" xfId="5" applyNumberFormat="1" applyFont="1" applyAlignment="1">
      <alignment horizontal="right" indent="4"/>
    </xf>
    <xf numFmtId="164" fontId="5" fillId="0" borderId="0" xfId="4" applyNumberFormat="1" applyFont="1"/>
    <xf numFmtId="164" fontId="10" fillId="0" borderId="0" xfId="5" applyNumberFormat="1" applyFont="1"/>
    <xf numFmtId="49" fontId="11" fillId="0" borderId="0" xfId="5" applyNumberFormat="1" applyFont="1"/>
    <xf numFmtId="164" fontId="12" fillId="0" borderId="0" xfId="5" applyNumberFormat="1" applyFont="1"/>
    <xf numFmtId="49" fontId="13" fillId="0" borderId="0" xfId="4" applyNumberFormat="1" applyFont="1"/>
    <xf numFmtId="166" fontId="11" fillId="0" borderId="0" xfId="1" applyNumberFormat="1" applyFont="1" applyAlignment="1">
      <alignment horizontal="right"/>
    </xf>
    <xf numFmtId="0" fontId="5" fillId="0" borderId="0" xfId="1" applyFont="1"/>
    <xf numFmtId="167" fontId="14" fillId="0" borderId="0" xfId="0" applyNumberFormat="1" applyFont="1" applyAlignment="1">
      <alignment horizontal="right"/>
    </xf>
    <xf numFmtId="164" fontId="13" fillId="0" borderId="0" xfId="4" applyNumberFormat="1" applyFont="1"/>
    <xf numFmtId="0" fontId="15" fillId="0" borderId="0" xfId="1" applyFont="1"/>
    <xf numFmtId="166" fontId="15" fillId="0" borderId="0" xfId="1" applyNumberFormat="1" applyFont="1"/>
    <xf numFmtId="0" fontId="3" fillId="0" borderId="0" xfId="6" applyFont="1" applyAlignment="1">
      <alignment horizontal="left"/>
    </xf>
    <xf numFmtId="0" fontId="2" fillId="0" borderId="0" xfId="7"/>
    <xf numFmtId="0" fontId="17" fillId="0" borderId="0" xfId="8" applyFont="1"/>
    <xf numFmtId="0" fontId="18" fillId="0" borderId="0" xfId="7" applyFont="1"/>
    <xf numFmtId="0" fontId="9" fillId="0" borderId="2" xfId="7" applyFont="1" applyBorder="1" applyAlignment="1">
      <alignment horizontal="right"/>
    </xf>
    <xf numFmtId="0" fontId="5" fillId="0" borderId="1" xfId="7" applyFont="1" applyBorder="1"/>
    <xf numFmtId="0" fontId="18" fillId="0" borderId="1" xfId="7" applyFont="1" applyBorder="1" applyAlignment="1">
      <alignment horizontal="center" vertical="center" wrapText="1"/>
    </xf>
    <xf numFmtId="0" fontId="18" fillId="0" borderId="1" xfId="7" quotePrefix="1" applyFont="1" applyBorder="1" applyAlignment="1">
      <alignment horizontal="center" vertical="center" wrapText="1"/>
    </xf>
    <xf numFmtId="0" fontId="5" fillId="0" borderId="0" xfId="7" applyFont="1"/>
    <xf numFmtId="0" fontId="18" fillId="0" borderId="0" xfId="7" applyFont="1" applyAlignment="1">
      <alignment horizontal="center" vertical="center" wrapText="1"/>
    </xf>
    <xf numFmtId="0" fontId="18" fillId="0" borderId="2" xfId="7" applyFont="1" applyBorder="1" applyAlignment="1">
      <alignment horizontal="center" vertical="center" wrapText="1"/>
    </xf>
    <xf numFmtId="0" fontId="10" fillId="0" borderId="0" xfId="9" applyFont="1" applyAlignment="1">
      <alignment horizontal="left"/>
    </xf>
    <xf numFmtId="0" fontId="10" fillId="0" borderId="0" xfId="9" applyFont="1"/>
    <xf numFmtId="1" fontId="10" fillId="0" borderId="0" xfId="10" applyNumberFormat="1" applyFont="1" applyAlignment="1">
      <alignment horizontal="right" indent="1"/>
    </xf>
    <xf numFmtId="166" fontId="10" fillId="0" borderId="0" xfId="10" applyNumberFormat="1" applyFont="1" applyAlignment="1">
      <alignment horizontal="right" indent="2"/>
    </xf>
    <xf numFmtId="0" fontId="5" fillId="0" borderId="0" xfId="9" applyFont="1"/>
    <xf numFmtId="0" fontId="9" fillId="0" borderId="0" xfId="9" applyFont="1" applyAlignment="1">
      <alignment horizontal="left"/>
    </xf>
    <xf numFmtId="1" fontId="20" fillId="0" borderId="0" xfId="10" applyNumberFormat="1" applyFont="1" applyAlignment="1">
      <alignment horizontal="right" indent="1"/>
    </xf>
    <xf numFmtId="166" fontId="20" fillId="0" borderId="0" xfId="10" applyNumberFormat="1" applyFont="1" applyAlignment="1">
      <alignment horizontal="right" indent="2"/>
    </xf>
    <xf numFmtId="166" fontId="2" fillId="0" borderId="0" xfId="7" applyNumberFormat="1"/>
    <xf numFmtId="0" fontId="13" fillId="0" borderId="0" xfId="9" applyFont="1"/>
    <xf numFmtId="0" fontId="5" fillId="0" borderId="0" xfId="9" applyFont="1" applyAlignment="1">
      <alignment horizontal="left" indent="1"/>
    </xf>
    <xf numFmtId="1" fontId="21" fillId="0" borderId="0" xfId="10" applyNumberFormat="1" applyFont="1" applyAlignment="1">
      <alignment horizontal="right" indent="1"/>
    </xf>
    <xf numFmtId="166" fontId="21" fillId="0" borderId="0" xfId="10" applyNumberFormat="1" applyFont="1" applyAlignment="1">
      <alignment horizontal="right" indent="2"/>
    </xf>
    <xf numFmtId="166" fontId="5" fillId="0" borderId="0" xfId="10" applyNumberFormat="1" applyAlignment="1">
      <alignment horizontal="right" indent="2"/>
    </xf>
    <xf numFmtId="1" fontId="5" fillId="0" borderId="0" xfId="10" applyNumberFormat="1" applyAlignment="1">
      <alignment horizontal="right" indent="1"/>
    </xf>
    <xf numFmtId="0" fontId="5" fillId="0" borderId="0" xfId="11" applyFont="1" applyAlignment="1">
      <alignment horizontal="left" indent="1"/>
    </xf>
    <xf numFmtId="0" fontId="9" fillId="0" borderId="0" xfId="9" applyFont="1"/>
    <xf numFmtId="166" fontId="5" fillId="0" borderId="0" xfId="7" applyNumberFormat="1" applyFont="1" applyAlignment="1">
      <alignment horizontal="right" indent="1"/>
    </xf>
    <xf numFmtId="166" fontId="5" fillId="0" borderId="0" xfId="7" applyNumberFormat="1" applyFont="1" applyAlignment="1">
      <alignment horizontal="right" indent="2"/>
    </xf>
    <xf numFmtId="0" fontId="5" fillId="0" borderId="0" xfId="12" applyFont="1"/>
    <xf numFmtId="0" fontId="5" fillId="0" borderId="0" xfId="12" applyFont="1" applyAlignment="1">
      <alignment horizontal="left" indent="1"/>
    </xf>
    <xf numFmtId="1" fontId="5" fillId="0" borderId="0" xfId="7" applyNumberFormat="1" applyFont="1" applyAlignment="1">
      <alignment horizontal="right" indent="1"/>
    </xf>
    <xf numFmtId="0" fontId="11" fillId="0" borderId="0" xfId="7" applyFont="1"/>
    <xf numFmtId="1" fontId="17" fillId="0" borderId="0" xfId="13" applyNumberFormat="1" applyFont="1"/>
    <xf numFmtId="0" fontId="23" fillId="0" borderId="0" xfId="14" applyFont="1"/>
    <xf numFmtId="0" fontId="23" fillId="0" borderId="0" xfId="13" applyFont="1"/>
    <xf numFmtId="1" fontId="24" fillId="0" borderId="0" xfId="13" applyNumberFormat="1" applyFont="1" applyAlignment="1">
      <alignment horizontal="center"/>
    </xf>
    <xf numFmtId="0" fontId="18" fillId="0" borderId="0" xfId="14" applyFont="1"/>
    <xf numFmtId="0" fontId="18" fillId="0" borderId="0" xfId="13" applyFont="1"/>
    <xf numFmtId="0" fontId="25" fillId="0" borderId="2" xfId="13" applyFont="1" applyBorder="1"/>
    <xf numFmtId="0" fontId="18" fillId="0" borderId="2" xfId="13" applyFont="1" applyBorder="1"/>
    <xf numFmtId="0" fontId="25" fillId="0" borderId="2" xfId="13" applyFont="1" applyBorder="1" applyAlignment="1">
      <alignment horizontal="right"/>
    </xf>
    <xf numFmtId="0" fontId="23" fillId="0" borderId="1" xfId="13" applyFont="1" applyBorder="1"/>
    <xf numFmtId="0" fontId="18" fillId="0" borderId="1" xfId="14" applyFont="1" applyBorder="1" applyAlignment="1">
      <alignment horizontal="center"/>
    </xf>
    <xf numFmtId="0" fontId="27" fillId="0" borderId="1" xfId="15" applyFont="1" applyBorder="1" applyAlignment="1">
      <alignment horizontal="center" wrapText="1"/>
    </xf>
    <xf numFmtId="0" fontId="18" fillId="0" borderId="0" xfId="14" applyFont="1" applyAlignment="1">
      <alignment horizontal="center"/>
    </xf>
    <xf numFmtId="0" fontId="27" fillId="0" borderId="0" xfId="15" applyFont="1" applyAlignment="1">
      <alignment horizontal="center" wrapText="1"/>
    </xf>
    <xf numFmtId="0" fontId="27" fillId="0" borderId="2" xfId="15" applyFont="1" applyBorder="1" applyAlignment="1">
      <alignment horizontal="center" wrapText="1"/>
    </xf>
    <xf numFmtId="1" fontId="18" fillId="0" borderId="2" xfId="14" applyNumberFormat="1" applyFont="1" applyBorder="1" applyAlignment="1">
      <alignment horizontal="center"/>
    </xf>
    <xf numFmtId="166" fontId="18" fillId="0" borderId="2" xfId="14" applyNumberFormat="1" applyFont="1" applyBorder="1" applyAlignment="1">
      <alignment horizontal="center"/>
    </xf>
    <xf numFmtId="1" fontId="18" fillId="0" borderId="2" xfId="13" applyNumberFormat="1" applyFont="1" applyBorder="1" applyAlignment="1">
      <alignment horizontal="center"/>
    </xf>
    <xf numFmtId="0" fontId="28" fillId="0" borderId="0" xfId="14" applyFont="1" applyAlignment="1">
      <alignment horizontal="center" wrapText="1"/>
    </xf>
    <xf numFmtId="166" fontId="18" fillId="0" borderId="0" xfId="13" applyNumberFormat="1" applyFont="1"/>
    <xf numFmtId="49" fontId="29" fillId="0" borderId="0" xfId="16" applyNumberFormat="1" applyFont="1" applyFill="1" applyBorder="1" applyAlignment="1"/>
    <xf numFmtId="0" fontId="29" fillId="0" borderId="0" xfId="13" applyFont="1"/>
    <xf numFmtId="1" fontId="29" fillId="0" borderId="0" xfId="13" applyNumberFormat="1" applyFont="1"/>
    <xf numFmtId="166" fontId="29" fillId="0" borderId="0" xfId="13" applyNumberFormat="1" applyFont="1"/>
    <xf numFmtId="0" fontId="24" fillId="0" borderId="0" xfId="13" applyFont="1"/>
    <xf numFmtId="1" fontId="24" fillId="0" borderId="0" xfId="13" applyNumberFormat="1" applyFont="1"/>
    <xf numFmtId="49" fontId="29" fillId="0" borderId="0" xfId="14" applyNumberFormat="1" applyFont="1" applyAlignment="1">
      <alignment horizontal="left"/>
    </xf>
    <xf numFmtId="49" fontId="18" fillId="0" borderId="0" xfId="14" applyNumberFormat="1" applyFont="1" applyAlignment="1">
      <alignment horizontal="left"/>
    </xf>
    <xf numFmtId="1" fontId="18" fillId="0" borderId="0" xfId="13" applyNumberFormat="1" applyFont="1"/>
    <xf numFmtId="0" fontId="18" fillId="0" borderId="0" xfId="14" applyFont="1" applyAlignment="1">
      <alignment horizontal="left"/>
    </xf>
    <xf numFmtId="0" fontId="29" fillId="0" borderId="0" xfId="14" applyFont="1"/>
    <xf numFmtId="0" fontId="5" fillId="0" borderId="0" xfId="14" applyAlignment="1">
      <alignment horizontal="left"/>
    </xf>
    <xf numFmtId="0" fontId="18" fillId="0" borderId="0" xfId="14" applyFont="1" applyAlignment="1">
      <alignment horizontal="left" wrapText="1"/>
    </xf>
    <xf numFmtId="0" fontId="5" fillId="0" borderId="0" xfId="14" applyAlignment="1">
      <alignment horizontal="left" wrapText="1"/>
    </xf>
    <xf numFmtId="0" fontId="18" fillId="0" borderId="0" xfId="17" applyFont="1"/>
    <xf numFmtId="0" fontId="5" fillId="0" borderId="0" xfId="17"/>
    <xf numFmtId="0" fontId="18" fillId="0" borderId="1" xfId="13" applyFont="1" applyBorder="1"/>
    <xf numFmtId="166" fontId="18" fillId="0" borderId="2" xfId="14" applyNumberFormat="1" applyFont="1" applyBorder="1" applyAlignment="1">
      <alignment horizontal="center" vertical="center"/>
    </xf>
    <xf numFmtId="1" fontId="18" fillId="0" borderId="2" xfId="14" applyNumberFormat="1" applyFont="1" applyBorder="1" applyAlignment="1">
      <alignment horizontal="center" vertical="center"/>
    </xf>
    <xf numFmtId="49" fontId="29" fillId="0" borderId="0" xfId="18" applyNumberFormat="1" applyFont="1" applyFill="1" applyBorder="1" applyAlignment="1"/>
    <xf numFmtId="1" fontId="18" fillId="0" borderId="0" xfId="17" applyNumberFormat="1" applyFont="1"/>
    <xf numFmtId="1" fontId="29" fillId="0" borderId="0" xfId="17" applyNumberFormat="1" applyFont="1"/>
    <xf numFmtId="166" fontId="29" fillId="0" borderId="0" xfId="17" applyNumberFormat="1" applyFont="1"/>
    <xf numFmtId="1" fontId="29" fillId="0" borderId="0" xfId="19" applyNumberFormat="1" applyFont="1"/>
    <xf numFmtId="1" fontId="18" fillId="0" borderId="0" xfId="19" applyNumberFormat="1" applyFont="1"/>
    <xf numFmtId="166" fontId="18" fillId="0" borderId="0" xfId="17" applyNumberFormat="1" applyFont="1"/>
    <xf numFmtId="166" fontId="18" fillId="0" borderId="0" xfId="17" applyNumberFormat="1" applyFont="1" applyAlignment="1">
      <alignment horizontal="right"/>
    </xf>
    <xf numFmtId="1" fontId="27" fillId="0" borderId="0" xfId="19" applyNumberFormat="1" applyFont="1"/>
    <xf numFmtId="0" fontId="30" fillId="0" borderId="1" xfId="14" applyFont="1" applyBorder="1"/>
    <xf numFmtId="0" fontId="31" fillId="0" borderId="0" xfId="13" applyFont="1"/>
    <xf numFmtId="0" fontId="32" fillId="0" borderId="0" xfId="13" applyFont="1"/>
    <xf numFmtId="0" fontId="33" fillId="0" borderId="0" xfId="14" applyFont="1"/>
    <xf numFmtId="0" fontId="34" fillId="0" borderId="0" xfId="13" applyFont="1"/>
    <xf numFmtId="0" fontId="34" fillId="0" borderId="0" xfId="14" applyFont="1"/>
    <xf numFmtId="0" fontId="32" fillId="0" borderId="0" xfId="14" applyFont="1"/>
    <xf numFmtId="0" fontId="3" fillId="0" borderId="0" xfId="20" applyFont="1"/>
    <xf numFmtId="0" fontId="36" fillId="0" borderId="0" xfId="21" applyFont="1" applyAlignment="1">
      <alignment horizontal="left"/>
    </xf>
    <xf numFmtId="0" fontId="2" fillId="0" borderId="0" xfId="21" applyFont="1"/>
    <xf numFmtId="0" fontId="5" fillId="0" borderId="0" xfId="20"/>
    <xf numFmtId="0" fontId="32" fillId="0" borderId="0" xfId="21" applyFont="1"/>
    <xf numFmtId="0" fontId="5" fillId="0" borderId="0" xfId="21" applyFont="1"/>
    <xf numFmtId="0" fontId="32" fillId="0" borderId="0" xfId="20" applyFont="1"/>
    <xf numFmtId="0" fontId="9" fillId="0" borderId="0" xfId="21" applyFont="1" applyAlignment="1">
      <alignment horizontal="right"/>
    </xf>
    <xf numFmtId="0" fontId="32" fillId="0" borderId="1" xfId="21" applyFont="1" applyBorder="1"/>
    <xf numFmtId="0" fontId="5" fillId="0" borderId="1" xfId="21" applyFont="1" applyBorder="1"/>
    <xf numFmtId="0" fontId="27" fillId="0" borderId="1" xfId="23" applyFont="1" applyBorder="1" applyAlignment="1">
      <alignment horizontal="center" vertical="center" wrapText="1"/>
    </xf>
    <xf numFmtId="0" fontId="18" fillId="0" borderId="0" xfId="22" applyFont="1" applyAlignment="1">
      <alignment horizontal="center" vertical="center"/>
    </xf>
    <xf numFmtId="0" fontId="27" fillId="0" borderId="0" xfId="23" applyFont="1" applyAlignment="1">
      <alignment horizontal="center" vertical="center" wrapText="1"/>
    </xf>
    <xf numFmtId="0" fontId="18" fillId="0" borderId="0" xfId="22" quotePrefix="1" applyFont="1" applyAlignment="1">
      <alignment horizontal="center" vertical="center"/>
    </xf>
    <xf numFmtId="0" fontId="11" fillId="0" borderId="2" xfId="22" applyFont="1" applyBorder="1" applyAlignment="1">
      <alignment vertical="center"/>
    </xf>
    <xf numFmtId="0" fontId="18" fillId="0" borderId="2" xfId="22" applyFont="1" applyBorder="1" applyAlignment="1">
      <alignment horizontal="center" vertical="center"/>
    </xf>
    <xf numFmtId="0" fontId="27" fillId="0" borderId="2" xfId="23" applyFont="1" applyBorder="1" applyAlignment="1">
      <alignment horizontal="center" vertical="center" wrapText="1"/>
    </xf>
    <xf numFmtId="0" fontId="11" fillId="0" borderId="0" xfId="21" applyFont="1"/>
    <xf numFmtId="2" fontId="5" fillId="0" borderId="0" xfId="20" applyNumberFormat="1"/>
    <xf numFmtId="2" fontId="5" fillId="0" borderId="0" xfId="20" applyNumberFormat="1" applyAlignment="1">
      <alignment horizontal="right" indent="1"/>
    </xf>
    <xf numFmtId="0" fontId="38" fillId="0" borderId="0" xfId="21" applyFont="1" applyAlignment="1">
      <alignment horizontal="left"/>
    </xf>
    <xf numFmtId="2" fontId="10" fillId="0" borderId="0" xfId="20" applyNumberFormat="1" applyFont="1" applyAlignment="1">
      <alignment horizontal="right" indent="1"/>
    </xf>
    <xf numFmtId="2" fontId="10" fillId="0" borderId="0" xfId="20" applyNumberFormat="1" applyFont="1" applyAlignment="1">
      <alignment horizontal="right" indent="2"/>
    </xf>
    <xf numFmtId="0" fontId="34" fillId="0" borderId="0" xfId="21" applyFont="1"/>
    <xf numFmtId="2" fontId="5" fillId="0" borderId="0" xfId="20" applyNumberFormat="1" applyAlignment="1">
      <alignment horizontal="right" indent="2"/>
    </xf>
    <xf numFmtId="0" fontId="39" fillId="0" borderId="0" xfId="21" applyFont="1"/>
    <xf numFmtId="0" fontId="34" fillId="0" borderId="0" xfId="22" applyFont="1"/>
    <xf numFmtId="2" fontId="5" fillId="0" borderId="0" xfId="24" applyNumberFormat="1" applyFont="1" applyAlignment="1">
      <alignment horizontal="right" indent="1"/>
    </xf>
    <xf numFmtId="2" fontId="29" fillId="0" borderId="0" xfId="24" applyNumberFormat="1" applyFont="1" applyAlignment="1">
      <alignment horizontal="right"/>
    </xf>
    <xf numFmtId="166" fontId="38" fillId="0" borderId="0" xfId="21" applyNumberFormat="1" applyFont="1" applyAlignment="1">
      <alignment horizontal="center"/>
    </xf>
    <xf numFmtId="0" fontId="10" fillId="0" borderId="0" xfId="20" applyFont="1" applyAlignment="1">
      <alignment horizontal="right" indent="1"/>
    </xf>
    <xf numFmtId="0" fontId="5" fillId="0" borderId="2" xfId="20" applyBorder="1"/>
    <xf numFmtId="0" fontId="5" fillId="0" borderId="0" xfId="24" applyFont="1" applyAlignment="1">
      <alignment horizontal="left" vertical="center"/>
    </xf>
    <xf numFmtId="0" fontId="42" fillId="0" borderId="0" xfId="0" applyFont="1"/>
    <xf numFmtId="0" fontId="3" fillId="0" borderId="0" xfId="25" applyFont="1" applyAlignment="1">
      <alignment horizontal="left" wrapText="1"/>
    </xf>
    <xf numFmtId="0" fontId="18" fillId="0" borderId="0" xfId="25" applyFont="1"/>
    <xf numFmtId="0" fontId="29" fillId="0" borderId="0" xfId="25" applyFont="1" applyAlignment="1">
      <alignment horizontal="left"/>
    </xf>
    <xf numFmtId="0" fontId="18" fillId="0" borderId="0" xfId="25" applyFont="1" applyAlignment="1">
      <alignment horizontal="right"/>
    </xf>
    <xf numFmtId="0" fontId="18" fillId="0" borderId="0" xfId="25" applyFont="1" applyAlignment="1">
      <alignment horizontal="center"/>
    </xf>
    <xf numFmtId="0" fontId="25" fillId="0" borderId="0" xfId="25" applyFont="1" applyAlignment="1">
      <alignment horizontal="right"/>
    </xf>
    <xf numFmtId="0" fontId="29" fillId="0" borderId="1" xfId="25" applyFont="1" applyBorder="1" applyAlignment="1">
      <alignment vertical="center" wrapText="1"/>
    </xf>
    <xf numFmtId="0" fontId="18" fillId="0" borderId="1" xfId="25" applyFont="1" applyBorder="1" applyAlignment="1">
      <alignment horizontal="center" vertical="center" wrapText="1"/>
    </xf>
    <xf numFmtId="0" fontId="29" fillId="0" borderId="0" xfId="25" applyFont="1" applyAlignment="1">
      <alignment vertical="center" wrapText="1"/>
    </xf>
    <xf numFmtId="0" fontId="18" fillId="0" borderId="0" xfId="25" applyFont="1" applyAlignment="1">
      <alignment horizontal="center" vertical="center" wrapText="1"/>
    </xf>
    <xf numFmtId="0" fontId="18" fillId="0" borderId="2" xfId="25" applyFont="1" applyBorder="1" applyAlignment="1">
      <alignment horizontal="center" vertical="center" wrapText="1"/>
    </xf>
    <xf numFmtId="0" fontId="43" fillId="0" borderId="0" xfId="25" applyFont="1" applyAlignment="1">
      <alignment wrapText="1"/>
    </xf>
    <xf numFmtId="166" fontId="44" fillId="0" borderId="0" xfId="0" applyNumberFormat="1" applyFont="1" applyAlignment="1">
      <alignment horizontal="right" vertical="center" wrapText="1" indent="1"/>
    </xf>
    <xf numFmtId="166" fontId="44" fillId="0" borderId="0" xfId="26" applyNumberFormat="1" applyFont="1" applyAlignment="1">
      <alignment horizontal="right" wrapText="1" indent="1"/>
    </xf>
    <xf numFmtId="0" fontId="10" fillId="0" borderId="0" xfId="27" applyFont="1" applyAlignment="1">
      <alignment horizontal="left"/>
    </xf>
    <xf numFmtId="166" fontId="45" fillId="0" borderId="0" xfId="0" applyNumberFormat="1" applyFont="1" applyAlignment="1">
      <alignment horizontal="right" vertical="center" wrapText="1" indent="1"/>
    </xf>
    <xf numFmtId="170" fontId="44" fillId="0" borderId="0" xfId="28" applyNumberFormat="1" applyFont="1" applyBorder="1" applyAlignment="1">
      <alignment horizontal="right" wrapText="1" indent="1"/>
    </xf>
    <xf numFmtId="0" fontId="29" fillId="0" borderId="0" xfId="25" applyFont="1" applyAlignment="1">
      <alignment horizontal="center" vertical="center" wrapText="1"/>
    </xf>
    <xf numFmtId="0" fontId="25" fillId="0" borderId="0" xfId="25" applyFont="1" applyAlignment="1">
      <alignment horizontal="center" vertical="center" wrapText="1"/>
    </xf>
    <xf numFmtId="0" fontId="47" fillId="0" borderId="0" xfId="29" applyFont="1" applyAlignment="1">
      <alignment horizontal="left" wrapText="1" indent="1"/>
    </xf>
    <xf numFmtId="166" fontId="42" fillId="0" borderId="0" xfId="0" applyNumberFormat="1" applyFont="1" applyAlignment="1">
      <alignment horizontal="right" vertical="center" wrapText="1" indent="1"/>
    </xf>
    <xf numFmtId="170" fontId="42" fillId="0" borderId="0" xfId="28" applyNumberFormat="1" applyFont="1" applyBorder="1" applyAlignment="1">
      <alignment horizontal="right" wrapText="1" indent="1"/>
    </xf>
    <xf numFmtId="0" fontId="29" fillId="0" borderId="0" xfId="25" applyFont="1"/>
    <xf numFmtId="0" fontId="10" fillId="0" borderId="0" xfId="25" applyFont="1" applyAlignment="1">
      <alignment horizontal="left" wrapText="1"/>
    </xf>
    <xf numFmtId="170" fontId="10" fillId="0" borderId="0" xfId="28" applyNumberFormat="1" applyFont="1" applyBorder="1" applyAlignment="1">
      <alignment horizontal="right" wrapText="1" indent="1"/>
    </xf>
    <xf numFmtId="0" fontId="30" fillId="0" borderId="0" xfId="25" applyFont="1"/>
    <xf numFmtId="0" fontId="48" fillId="0" borderId="0" xfId="29" applyFont="1" applyAlignment="1">
      <alignment horizontal="left" wrapText="1"/>
    </xf>
    <xf numFmtId="0" fontId="3" fillId="0" borderId="0" xfId="30" applyFont="1" applyAlignment="1">
      <alignment horizontal="left"/>
    </xf>
    <xf numFmtId="0" fontId="5" fillId="0" borderId="0" xfId="30" applyFont="1"/>
    <xf numFmtId="0" fontId="42" fillId="0" borderId="0" xfId="31" applyFont="1"/>
    <xf numFmtId="0" fontId="32" fillId="0" borderId="0" xfId="27" applyFont="1"/>
    <xf numFmtId="0" fontId="3" fillId="0" borderId="0" xfId="12" applyFont="1" applyAlignment="1">
      <alignment horizontal="left"/>
    </xf>
    <xf numFmtId="0" fontId="5" fillId="0" borderId="0" xfId="30" applyFont="1" applyAlignment="1">
      <alignment horizontal="center"/>
    </xf>
    <xf numFmtId="0" fontId="5" fillId="0" borderId="0" xfId="27" applyFont="1"/>
    <xf numFmtId="0" fontId="5" fillId="0" borderId="0" xfId="30" applyFont="1" applyAlignment="1">
      <alignment horizontal="centerContinuous"/>
    </xf>
    <xf numFmtId="0" fontId="5" fillId="0" borderId="1" xfId="30" applyFont="1" applyBorder="1" applyAlignment="1">
      <alignment horizontal="centerContinuous"/>
    </xf>
    <xf numFmtId="0" fontId="18" fillId="0" borderId="1" xfId="30" applyFont="1" applyBorder="1" applyAlignment="1">
      <alignment horizontal="center" vertical="center"/>
    </xf>
    <xf numFmtId="0" fontId="18" fillId="0" borderId="1" xfId="30" quotePrefix="1" applyFont="1" applyBorder="1" applyAlignment="1">
      <alignment horizontal="center" vertical="center"/>
    </xf>
    <xf numFmtId="0" fontId="18" fillId="0" borderId="0" xfId="30" applyFont="1" applyAlignment="1">
      <alignment horizontal="center" vertical="center"/>
    </xf>
    <xf numFmtId="0" fontId="18" fillId="0" borderId="0" xfId="30" quotePrefix="1" applyFont="1" applyAlignment="1">
      <alignment horizontal="center" vertical="center"/>
    </xf>
    <xf numFmtId="0" fontId="18" fillId="0" borderId="0" xfId="27" applyFont="1" applyAlignment="1">
      <alignment horizontal="center" vertical="center"/>
    </xf>
    <xf numFmtId="0" fontId="31" fillId="0" borderId="2" xfId="30" applyFont="1" applyBorder="1" applyAlignment="1">
      <alignment horizontal="center" vertical="center"/>
    </xf>
    <xf numFmtId="0" fontId="18" fillId="0" borderId="2" xfId="30" applyFont="1" applyBorder="1" applyAlignment="1">
      <alignment horizontal="center" vertical="center"/>
    </xf>
    <xf numFmtId="0" fontId="31" fillId="0" borderId="0" xfId="30" applyFont="1" applyAlignment="1">
      <alignment horizontal="center" vertical="center"/>
    </xf>
    <xf numFmtId="0" fontId="18" fillId="0" borderId="0" xfId="25" applyFont="1" applyAlignment="1">
      <alignment horizontal="left"/>
    </xf>
    <xf numFmtId="0" fontId="18" fillId="0" borderId="0" xfId="27" applyFont="1" applyAlignment="1">
      <alignment horizontal="center"/>
    </xf>
    <xf numFmtId="166" fontId="5" fillId="0" borderId="0" xfId="32" applyNumberFormat="1" applyFont="1" applyAlignment="1">
      <alignment wrapText="1"/>
    </xf>
    <xf numFmtId="166" fontId="5" fillId="0" borderId="0" xfId="32" applyNumberFormat="1" applyFont="1" applyAlignment="1">
      <alignment horizontal="right" wrapText="1" indent="2"/>
    </xf>
    <xf numFmtId="166" fontId="5" fillId="0" borderId="0" xfId="33" applyNumberFormat="1" applyFont="1" applyFill="1" applyBorder="1" applyAlignment="1">
      <alignment horizontal="right" wrapText="1" indent="2"/>
    </xf>
    <xf numFmtId="0" fontId="18" fillId="0" borderId="0" xfId="25" applyFont="1" applyAlignment="1">
      <alignment horizontal="left" wrapText="1"/>
    </xf>
    <xf numFmtId="0" fontId="47" fillId="0" borderId="0" xfId="25" applyFont="1" applyAlignment="1">
      <alignment horizontal="left" wrapText="1"/>
    </xf>
    <xf numFmtId="166" fontId="5" fillId="0" borderId="0" xfId="32" applyNumberFormat="1" applyFont="1" applyAlignment="1">
      <alignment vertical="center" wrapText="1"/>
    </xf>
    <xf numFmtId="166" fontId="5" fillId="0" borderId="0" xfId="32" applyNumberFormat="1" applyFont="1" applyAlignment="1">
      <alignment horizontal="right" vertical="center" wrapText="1" indent="2"/>
    </xf>
    <xf numFmtId="0" fontId="18" fillId="0" borderId="0" xfId="25" applyFont="1" applyAlignment="1">
      <alignment horizontal="left" vertical="center"/>
    </xf>
    <xf numFmtId="0" fontId="18" fillId="0" borderId="0" xfId="27" applyFont="1" applyAlignment="1">
      <alignment horizontal="center" vertical="center" wrapText="1"/>
    </xf>
    <xf numFmtId="166" fontId="5" fillId="0" borderId="0" xfId="33" applyNumberFormat="1" applyFont="1" applyFill="1" applyBorder="1" applyAlignment="1">
      <alignment vertical="center" wrapText="1"/>
    </xf>
    <xf numFmtId="166" fontId="42" fillId="0" borderId="0" xfId="31" applyNumberFormat="1" applyFont="1"/>
    <xf numFmtId="0" fontId="3" fillId="0" borderId="0" xfId="34" applyFont="1" applyAlignment="1">
      <alignment horizontal="left" wrapText="1"/>
    </xf>
    <xf numFmtId="0" fontId="18" fillId="0" borderId="0" xfId="34" applyFont="1"/>
    <xf numFmtId="0" fontId="29" fillId="0" borderId="0" xfId="34" applyFont="1" applyAlignment="1">
      <alignment horizontal="left"/>
    </xf>
    <xf numFmtId="0" fontId="25" fillId="0" borderId="0" xfId="34" applyFont="1" applyAlignment="1">
      <alignment horizontal="right"/>
    </xf>
    <xf numFmtId="0" fontId="29" fillId="0" borderId="1" xfId="35" applyFont="1" applyBorder="1" applyAlignment="1">
      <alignment horizontal="center" vertical="center" wrapText="1"/>
      <protection locked="0"/>
    </xf>
    <xf numFmtId="0" fontId="18" fillId="0" borderId="1" xfId="35" applyFont="1" applyBorder="1" applyAlignment="1">
      <alignment horizontal="center" vertical="center" wrapText="1"/>
      <protection locked="0"/>
    </xf>
    <xf numFmtId="0" fontId="50" fillId="0" borderId="0" xfId="36"/>
    <xf numFmtId="0" fontId="29" fillId="0" borderId="0" xfId="35" applyFont="1" applyAlignment="1">
      <alignment horizontal="center" vertical="center" wrapText="1"/>
      <protection locked="0"/>
    </xf>
    <xf numFmtId="0" fontId="18" fillId="0" borderId="0" xfId="35" applyFont="1" applyAlignment="1">
      <alignment horizontal="center" vertical="center" wrapText="1"/>
      <protection locked="0"/>
    </xf>
    <xf numFmtId="14" fontId="18" fillId="0" borderId="0" xfId="35" quotePrefix="1" applyNumberFormat="1" applyFont="1" applyAlignment="1">
      <alignment horizontal="center" vertical="center" wrapText="1"/>
      <protection locked="0"/>
    </xf>
    <xf numFmtId="0" fontId="18" fillId="0" borderId="2" xfId="35" applyFont="1" applyBorder="1" applyAlignment="1">
      <alignment horizontal="center" vertical="center" wrapText="1"/>
      <protection locked="0"/>
    </xf>
    <xf numFmtId="166" fontId="10" fillId="0" borderId="0" xfId="34" applyNumberFormat="1" applyFont="1" applyAlignment="1">
      <alignment horizontal="right" vertical="center" wrapText="1" indent="4"/>
    </xf>
    <xf numFmtId="0" fontId="29" fillId="0" borderId="0" xfId="27" applyFont="1" applyAlignment="1">
      <alignment horizontal="left"/>
    </xf>
    <xf numFmtId="0" fontId="18" fillId="0" borderId="0" xfId="34" applyFont="1" applyAlignment="1">
      <alignment horizontal="center" vertical="center" wrapText="1"/>
    </xf>
    <xf numFmtId="166" fontId="5" fillId="0" borderId="0" xfId="34" applyNumberFormat="1" applyFont="1" applyAlignment="1">
      <alignment horizontal="right" vertical="center" wrapText="1" indent="4"/>
    </xf>
    <xf numFmtId="0" fontId="29" fillId="0" borderId="0" xfId="34" applyFont="1" applyAlignment="1">
      <alignment horizontal="center" vertical="center" wrapText="1"/>
    </xf>
    <xf numFmtId="0" fontId="25" fillId="0" borderId="0" xfId="34" applyFont="1" applyAlignment="1">
      <alignment horizontal="center" vertical="center" wrapText="1"/>
    </xf>
    <xf numFmtId="166" fontId="5" fillId="0" borderId="0" xfId="34" applyNumberFormat="1" applyFont="1" applyAlignment="1">
      <alignment horizontal="right" indent="4"/>
    </xf>
    <xf numFmtId="0" fontId="29" fillId="0" borderId="0" xfId="25" applyFont="1" applyAlignment="1">
      <alignment horizontal="left" wrapText="1"/>
    </xf>
    <xf numFmtId="166" fontId="10" fillId="0" borderId="0" xfId="34" applyNumberFormat="1" applyFont="1" applyAlignment="1">
      <alignment horizontal="right" indent="4"/>
    </xf>
    <xf numFmtId="0" fontId="29" fillId="0" borderId="0" xfId="34" applyFont="1"/>
    <xf numFmtId="0" fontId="30" fillId="0" borderId="0" xfId="34" applyFont="1"/>
    <xf numFmtId="0" fontId="51" fillId="0" borderId="0" xfId="29" applyFont="1" applyAlignment="1">
      <alignment horizontal="left" wrapText="1"/>
    </xf>
    <xf numFmtId="166" fontId="10" fillId="0" borderId="0" xfId="34" applyNumberFormat="1" applyFont="1" applyAlignment="1">
      <alignment horizontal="right" vertical="center" indent="4"/>
    </xf>
    <xf numFmtId="0" fontId="5" fillId="0" borderId="0" xfId="34" applyFont="1"/>
    <xf numFmtId="0" fontId="3" fillId="0" borderId="0" xfId="34" applyFont="1"/>
    <xf numFmtId="0" fontId="3" fillId="0" borderId="0" xfId="34" applyFont="1" applyAlignment="1">
      <alignment wrapText="1"/>
    </xf>
    <xf numFmtId="14" fontId="18" fillId="0" borderId="0" xfId="35" applyNumberFormat="1" applyFont="1" applyAlignment="1">
      <alignment horizontal="center" vertical="center" wrapText="1"/>
      <protection locked="0"/>
    </xf>
    <xf numFmtId="0" fontId="44" fillId="0" borderId="0" xfId="26" applyFont="1"/>
    <xf numFmtId="166" fontId="44" fillId="0" borderId="0" xfId="26" applyNumberFormat="1" applyFont="1" applyAlignment="1">
      <alignment horizontal="right" indent="6"/>
    </xf>
    <xf numFmtId="0" fontId="42" fillId="0" borderId="0" xfId="26" applyFont="1" applyAlignment="1">
      <alignment horizontal="left" indent="2"/>
    </xf>
    <xf numFmtId="166" fontId="42" fillId="0" borderId="0" xfId="26" applyNumberFormat="1" applyFont="1" applyAlignment="1">
      <alignment horizontal="right" indent="6"/>
    </xf>
    <xf numFmtId="0" fontId="1" fillId="0" borderId="0" xfId="26"/>
    <xf numFmtId="0" fontId="3" fillId="0" borderId="0" xfId="34" applyFont="1" applyAlignment="1">
      <alignment horizontal="left"/>
    </xf>
    <xf numFmtId="0" fontId="42" fillId="0" borderId="0" xfId="26" applyFont="1" applyAlignment="1">
      <alignment horizontal="left" indent="1"/>
    </xf>
    <xf numFmtId="172" fontId="42" fillId="0" borderId="0" xfId="26" applyNumberFormat="1" applyFont="1" applyAlignment="1" applyProtection="1">
      <alignment horizontal="right" indent="4"/>
      <protection locked="0"/>
    </xf>
    <xf numFmtId="0" fontId="3" fillId="0" borderId="0" xfId="38" applyFont="1"/>
    <xf numFmtId="0" fontId="5" fillId="0" borderId="0" xfId="38" applyFont="1"/>
    <xf numFmtId="0" fontId="3" fillId="0" borderId="0" xfId="38" applyFont="1" applyAlignment="1">
      <alignment horizontal="center"/>
    </xf>
    <xf numFmtId="0" fontId="32" fillId="0" borderId="0" xfId="38" applyFont="1"/>
    <xf numFmtId="0" fontId="5" fillId="0" borderId="2" xfId="38" applyFont="1" applyBorder="1"/>
    <xf numFmtId="0" fontId="37" fillId="0" borderId="0" xfId="39"/>
    <xf numFmtId="0" fontId="9" fillId="0" borderId="0" xfId="38" applyFont="1" applyAlignment="1">
      <alignment horizontal="right"/>
    </xf>
    <xf numFmtId="0" fontId="53" fillId="0" borderId="1" xfId="23" applyFont="1" applyBorder="1" applyAlignment="1">
      <alignment horizontal="center" vertical="center" wrapText="1"/>
    </xf>
    <xf numFmtId="0" fontId="34" fillId="0" borderId="1" xfId="40" applyFont="1" applyBorder="1" applyAlignment="1">
      <alignment horizontal="center" vertical="center" wrapText="1"/>
    </xf>
    <xf numFmtId="0" fontId="53" fillId="0" borderId="0" xfId="23" applyFont="1" applyAlignment="1">
      <alignment horizontal="center" vertical="center" wrapText="1"/>
    </xf>
    <xf numFmtId="0" fontId="34" fillId="0" borderId="0" xfId="40" applyFont="1" applyAlignment="1">
      <alignment horizontal="center" vertical="center" wrapText="1"/>
    </xf>
    <xf numFmtId="0" fontId="34" fillId="0" borderId="0" xfId="41" applyFont="1" applyAlignment="1">
      <alignment horizontal="center" vertical="center" wrapText="1"/>
    </xf>
    <xf numFmtId="166" fontId="34" fillId="0" borderId="0" xfId="38" applyNumberFormat="1" applyFont="1" applyAlignment="1">
      <alignment horizontal="center" vertical="center"/>
    </xf>
    <xf numFmtId="0" fontId="37" fillId="0" borderId="2" xfId="23" applyBorder="1" applyAlignment="1">
      <alignment wrapText="1"/>
    </xf>
    <xf numFmtId="166" fontId="34" fillId="0" borderId="2" xfId="38" applyNumberFormat="1" applyFont="1" applyBorder="1" applyAlignment="1">
      <alignment horizontal="center" vertical="center"/>
    </xf>
    <xf numFmtId="0" fontId="37" fillId="0" borderId="0" xfId="23" applyAlignment="1">
      <alignment wrapText="1"/>
    </xf>
    <xf numFmtId="0" fontId="10" fillId="0" borderId="0" xfId="38" applyFont="1"/>
    <xf numFmtId="1" fontId="44" fillId="0" borderId="0" xfId="37" applyNumberFormat="1" applyFont="1" applyFill="1" applyBorder="1" applyAlignment="1">
      <alignment horizontal="right" vertical="center" indent="1"/>
    </xf>
    <xf numFmtId="1" fontId="44" fillId="0" borderId="0" xfId="37" applyNumberFormat="1" applyFont="1" applyFill="1" applyBorder="1" applyAlignment="1">
      <alignment vertical="center"/>
    </xf>
    <xf numFmtId="166" fontId="44" fillId="0" borderId="0" xfId="37" applyNumberFormat="1" applyFont="1" applyFill="1" applyBorder="1" applyAlignment="1">
      <alignment horizontal="right" vertical="center" indent="1"/>
    </xf>
    <xf numFmtId="166" fontId="10" fillId="0" borderId="0" xfId="38" applyNumberFormat="1" applyFont="1"/>
    <xf numFmtId="0" fontId="5" fillId="0" borderId="0" xfId="38" applyFont="1" applyAlignment="1">
      <alignment horizontal="left" indent="1"/>
    </xf>
    <xf numFmtId="1" fontId="42" fillId="0" borderId="0" xfId="37" applyNumberFormat="1" applyFont="1" applyFill="1" applyBorder="1" applyAlignment="1">
      <alignment horizontal="right" vertical="center" indent="1"/>
    </xf>
    <xf numFmtId="1" fontId="42" fillId="0" borderId="0" xfId="37" applyNumberFormat="1" applyFont="1" applyFill="1" applyBorder="1" applyAlignment="1">
      <alignment vertical="center"/>
    </xf>
    <xf numFmtId="166" fontId="42" fillId="0" borderId="0" xfId="37" applyNumberFormat="1" applyFont="1" applyFill="1" applyBorder="1" applyAlignment="1">
      <alignment horizontal="right" vertical="center" indent="1"/>
    </xf>
    <xf numFmtId="0" fontId="9" fillId="0" borderId="0" xfId="38" applyFont="1"/>
    <xf numFmtId="1" fontId="5" fillId="0" borderId="0" xfId="38" applyNumberFormat="1" applyFont="1"/>
    <xf numFmtId="166" fontId="5" fillId="0" borderId="0" xfId="38" applyNumberFormat="1" applyFont="1"/>
    <xf numFmtId="0" fontId="5" fillId="0" borderId="0" xfId="40" applyFont="1"/>
    <xf numFmtId="166" fontId="5" fillId="0" borderId="0" xfId="40" applyNumberFormat="1" applyFont="1"/>
    <xf numFmtId="0" fontId="3" fillId="0" borderId="0" xfId="42" applyFont="1"/>
    <xf numFmtId="0" fontId="54" fillId="0" borderId="0" xfId="43" applyFont="1"/>
    <xf numFmtId="0" fontId="37" fillId="0" borderId="0" xfId="23"/>
    <xf numFmtId="0" fontId="1" fillId="0" borderId="0" xfId="44"/>
    <xf numFmtId="0" fontId="36" fillId="0" borderId="0" xfId="43" applyFont="1" applyAlignment="1">
      <alignment horizontal="left"/>
    </xf>
    <xf numFmtId="0" fontId="6" fillId="0" borderId="0" xfId="43" applyFont="1" applyAlignment="1">
      <alignment horizontal="left"/>
    </xf>
    <xf numFmtId="0" fontId="5" fillId="0" borderId="0" xfId="43" applyFont="1"/>
    <xf numFmtId="0" fontId="5" fillId="0" borderId="0" xfId="43" applyFont="1" applyAlignment="1">
      <alignment horizontal="center"/>
    </xf>
    <xf numFmtId="0" fontId="9" fillId="0" borderId="0" xfId="43" applyFont="1" applyAlignment="1">
      <alignment horizontal="right"/>
    </xf>
    <xf numFmtId="0" fontId="5" fillId="0" borderId="1" xfId="43" applyFont="1" applyBorder="1" applyAlignment="1">
      <alignment vertical="center" wrapText="1"/>
    </xf>
    <xf numFmtId="0" fontId="27" fillId="0" borderId="1" xfId="45" applyFont="1" applyBorder="1" applyAlignment="1">
      <alignment horizontal="center" vertical="center" wrapText="1"/>
    </xf>
    <xf numFmtId="0" fontId="5" fillId="0" borderId="0" xfId="43" applyFont="1" applyAlignment="1">
      <alignment vertical="center" wrapText="1"/>
    </xf>
    <xf numFmtId="0" fontId="27" fillId="0" borderId="0" xfId="45" applyFont="1" applyAlignment="1">
      <alignment horizontal="center" vertical="center" wrapText="1"/>
    </xf>
    <xf numFmtId="0" fontId="18" fillId="0" borderId="0" xfId="46" applyFont="1" applyAlignment="1">
      <alignment horizontal="center" vertical="center" wrapText="1"/>
    </xf>
    <xf numFmtId="0" fontId="18" fillId="0" borderId="2" xfId="46" applyFont="1" applyBorder="1" applyAlignment="1">
      <alignment horizontal="center" vertical="center" wrapText="1"/>
    </xf>
    <xf numFmtId="0" fontId="43" fillId="0" borderId="0" xfId="47" applyFont="1" applyAlignment="1">
      <alignment horizontal="left"/>
    </xf>
    <xf numFmtId="166" fontId="10" fillId="2" borderId="0" xfId="26" applyNumberFormat="1" applyFont="1" applyFill="1" applyAlignment="1">
      <alignment vertical="center"/>
    </xf>
    <xf numFmtId="166" fontId="10" fillId="2" borderId="0" xfId="26" applyNumberFormat="1" applyFont="1" applyFill="1" applyAlignment="1">
      <alignment horizontal="right" vertical="center" indent="1"/>
    </xf>
    <xf numFmtId="0" fontId="9" fillId="0" borderId="0" xfId="47" applyFont="1"/>
    <xf numFmtId="0" fontId="5" fillId="0" borderId="0" xfId="47" applyFont="1" applyAlignment="1">
      <alignment horizontal="left" indent="1"/>
    </xf>
    <xf numFmtId="166" fontId="5" fillId="2" borderId="0" xfId="26" applyNumberFormat="1" applyFont="1" applyFill="1" applyAlignment="1">
      <alignment vertical="center"/>
    </xf>
    <xf numFmtId="166" fontId="5" fillId="2" borderId="0" xfId="26" applyNumberFormat="1" applyFont="1" applyFill="1" applyAlignment="1">
      <alignment horizontal="right" vertical="center" indent="1"/>
    </xf>
    <xf numFmtId="166" fontId="1" fillId="0" borderId="0" xfId="44" applyNumberFormat="1"/>
    <xf numFmtId="166" fontId="5" fillId="0" borderId="0" xfId="26" applyNumberFormat="1" applyFont="1" applyAlignment="1">
      <alignment horizontal="right" vertical="center" indent="1"/>
    </xf>
    <xf numFmtId="166" fontId="42" fillId="0" borderId="0" xfId="44" applyNumberFormat="1" applyFont="1"/>
    <xf numFmtId="166" fontId="42" fillId="0" borderId="0" xfId="44" applyNumberFormat="1" applyFont="1" applyAlignment="1">
      <alignment horizontal="right" indent="1"/>
    </xf>
    <xf numFmtId="166" fontId="37" fillId="0" borderId="0" xfId="23" applyNumberFormat="1"/>
    <xf numFmtId="0" fontId="2" fillId="0" borderId="0" xfId="42"/>
    <xf numFmtId="0" fontId="55" fillId="0" borderId="0" xfId="43" applyFont="1"/>
    <xf numFmtId="0" fontId="56" fillId="0" borderId="0" xfId="43" applyFont="1"/>
    <xf numFmtId="0" fontId="50" fillId="0" borderId="0" xfId="48"/>
    <xf numFmtId="0" fontId="57" fillId="0" borderId="0" xfId="43" applyFont="1"/>
    <xf numFmtId="0" fontId="5" fillId="0" borderId="0" xfId="49"/>
    <xf numFmtId="0" fontId="18" fillId="0" borderId="0" xfId="43" applyFont="1" applyAlignment="1">
      <alignment horizontal="center" vertical="top" wrapText="1"/>
    </xf>
    <xf numFmtId="1" fontId="18" fillId="0" borderId="0" xfId="19" applyNumberFormat="1" applyFont="1" applyAlignment="1">
      <alignment horizontal="center" vertical="top" wrapText="1"/>
    </xf>
    <xf numFmtId="0" fontId="18" fillId="0" borderId="0" xfId="38" applyFont="1" applyAlignment="1">
      <alignment horizontal="center" vertical="top" wrapText="1"/>
    </xf>
    <xf numFmtId="166" fontId="10" fillId="2" borderId="0" xfId="26" applyNumberFormat="1" applyFont="1" applyFill="1" applyAlignment="1">
      <alignment horizontal="right" vertical="center" indent="2"/>
    </xf>
    <xf numFmtId="166" fontId="5" fillId="2" borderId="0" xfId="26" applyNumberFormat="1" applyFont="1" applyFill="1" applyAlignment="1">
      <alignment horizontal="right" vertical="center" indent="2"/>
    </xf>
    <xf numFmtId="166" fontId="5" fillId="0" borderId="0" xfId="26" applyNumberFormat="1" applyFont="1" applyAlignment="1">
      <alignment horizontal="right" vertical="center" indent="2"/>
    </xf>
    <xf numFmtId="166" fontId="5" fillId="0" borderId="0" xfId="26" applyNumberFormat="1" applyFont="1" applyAlignment="1">
      <alignment vertical="center"/>
    </xf>
    <xf numFmtId="166" fontId="42" fillId="0" borderId="0" xfId="44" applyNumberFormat="1" applyFont="1" applyAlignment="1">
      <alignment horizontal="right" indent="2"/>
    </xf>
    <xf numFmtId="0" fontId="58" fillId="0" borderId="0" xfId="43" applyFont="1"/>
    <xf numFmtId="0" fontId="59" fillId="0" borderId="0" xfId="43" applyFont="1"/>
    <xf numFmtId="0" fontId="60" fillId="0" borderId="0" xfId="43" applyFont="1"/>
    <xf numFmtId="0" fontId="42" fillId="0" borderId="0" xfId="43" applyFont="1"/>
    <xf numFmtId="0" fontId="42" fillId="0" borderId="0" xfId="43" applyFont="1" applyAlignment="1">
      <alignment horizontal="center"/>
    </xf>
    <xf numFmtId="0" fontId="42" fillId="0" borderId="2" xfId="43" applyFont="1" applyBorder="1" applyAlignment="1">
      <alignment horizontal="center"/>
    </xf>
    <xf numFmtId="0" fontId="61" fillId="0" borderId="0" xfId="43" applyFont="1" applyAlignment="1">
      <alignment horizontal="right"/>
    </xf>
    <xf numFmtId="0" fontId="42" fillId="0" borderId="1" xfId="43" applyFont="1" applyBorder="1" applyAlignment="1">
      <alignment vertical="center" wrapText="1"/>
    </xf>
    <xf numFmtId="0" fontId="42" fillId="0" borderId="0" xfId="45" applyFont="1" applyAlignment="1">
      <alignment horizontal="center" vertical="center" wrapText="1"/>
    </xf>
    <xf numFmtId="0" fontId="42" fillId="0" borderId="1" xfId="45" applyFont="1" applyBorder="1" applyAlignment="1">
      <alignment horizontal="center" vertical="center" wrapText="1"/>
    </xf>
    <xf numFmtId="0" fontId="42" fillId="0" borderId="0" xfId="43" applyFont="1" applyAlignment="1">
      <alignment vertical="center" wrapText="1"/>
    </xf>
    <xf numFmtId="0" fontId="42" fillId="0" borderId="0" xfId="46" applyFont="1" applyAlignment="1">
      <alignment horizontal="center" vertical="center" wrapText="1"/>
    </xf>
    <xf numFmtId="0" fontId="42" fillId="0" borderId="2" xfId="46" applyFont="1" applyBorder="1" applyAlignment="1">
      <alignment horizontal="center" vertical="center" wrapText="1"/>
    </xf>
    <xf numFmtId="0" fontId="42" fillId="0" borderId="0" xfId="43" applyFont="1" applyAlignment="1">
      <alignment horizontal="center" vertical="top" wrapText="1"/>
    </xf>
    <xf numFmtId="1" fontId="42" fillId="0" borderId="0" xfId="19" applyNumberFormat="1" applyFont="1" applyAlignment="1">
      <alignment horizontal="center" vertical="top" wrapText="1"/>
    </xf>
    <xf numFmtId="0" fontId="42" fillId="0" borderId="0" xfId="38" applyFont="1" applyAlignment="1">
      <alignment horizontal="center" vertical="top" wrapText="1"/>
    </xf>
    <xf numFmtId="0" fontId="44" fillId="0" borderId="0" xfId="50" applyFont="1"/>
    <xf numFmtId="1" fontId="10" fillId="0" borderId="0" xfId="51" applyNumberFormat="1" applyFont="1" applyBorder="1" applyAlignment="1">
      <alignment horizontal="right" vertical="center" wrapText="1"/>
    </xf>
    <xf numFmtId="166" fontId="10" fillId="0" borderId="0" xfId="51" applyNumberFormat="1" applyFont="1" applyBorder="1" applyAlignment="1">
      <alignment horizontal="right" vertical="center" wrapText="1" indent="2"/>
    </xf>
    <xf numFmtId="0" fontId="44" fillId="0" borderId="0" xfId="52" applyFont="1"/>
    <xf numFmtId="1" fontId="10" fillId="0" borderId="0" xfId="53" applyNumberFormat="1" applyFont="1" applyAlignment="1">
      <alignment horizontal="right" vertical="center" wrapText="1"/>
    </xf>
    <xf numFmtId="166" fontId="10" fillId="0" borderId="0" xfId="53" applyNumberFormat="1" applyFont="1" applyAlignment="1">
      <alignment horizontal="right" vertical="center" wrapText="1" indent="2"/>
    </xf>
    <xf numFmtId="0" fontId="42" fillId="0" borderId="0" xfId="50" applyFont="1" applyAlignment="1">
      <alignment horizontal="left" indent="1"/>
    </xf>
    <xf numFmtId="1" fontId="5" fillId="0" borderId="0" xfId="51" applyNumberFormat="1" applyFont="1" applyBorder="1" applyAlignment="1">
      <alignment horizontal="right" vertical="center" wrapText="1"/>
    </xf>
    <xf numFmtId="166" fontId="5" fillId="0" borderId="0" xfId="51" applyNumberFormat="1" applyFont="1" applyBorder="1" applyAlignment="1">
      <alignment horizontal="right" vertical="center" wrapText="1" indent="2"/>
    </xf>
    <xf numFmtId="0" fontId="44" fillId="0" borderId="0" xfId="43" applyFont="1"/>
    <xf numFmtId="1" fontId="5" fillId="0" borderId="0" xfId="53" applyNumberFormat="1" applyFont="1" applyAlignment="1">
      <alignment horizontal="right" vertical="center" wrapText="1"/>
    </xf>
    <xf numFmtId="166" fontId="5" fillId="0" borderId="0" xfId="53" applyNumberFormat="1" applyFont="1" applyAlignment="1">
      <alignment horizontal="right" vertical="center" wrapText="1" indent="2"/>
    </xf>
    <xf numFmtId="0" fontId="44" fillId="0" borderId="0" xfId="50" applyFont="1" applyAlignment="1">
      <alignment horizontal="left" indent="1"/>
    </xf>
    <xf numFmtId="0" fontId="42" fillId="0" borderId="0" xfId="50" applyFont="1" applyAlignment="1">
      <alignment horizontal="left" indent="2"/>
    </xf>
    <xf numFmtId="1" fontId="42" fillId="0" borderId="0" xfId="51" applyNumberFormat="1" applyFont="1" applyBorder="1" applyAlignment="1">
      <alignment horizontal="right" vertical="center" wrapText="1"/>
    </xf>
    <xf numFmtId="166" fontId="42" fillId="0" borderId="0" xfId="51" applyNumberFormat="1" applyFont="1" applyBorder="1" applyAlignment="1">
      <alignment horizontal="right" vertical="center" wrapText="1" indent="2"/>
    </xf>
    <xf numFmtId="1" fontId="5" fillId="2" borderId="0" xfId="51" applyNumberFormat="1" applyFont="1" applyFill="1" applyBorder="1" applyAlignment="1">
      <alignment horizontal="right" vertical="center" wrapText="1"/>
    </xf>
    <xf numFmtId="166" fontId="5" fillId="2" borderId="0" xfId="51" applyNumberFormat="1" applyFont="1" applyFill="1" applyBorder="1" applyAlignment="1">
      <alignment horizontal="right" vertical="center" wrapText="1" indent="2"/>
    </xf>
    <xf numFmtId="1" fontId="44" fillId="0" borderId="0" xfId="51" applyNumberFormat="1" applyFont="1" applyBorder="1" applyAlignment="1">
      <alignment horizontal="right" vertical="center" wrapText="1"/>
    </xf>
    <xf numFmtId="166" fontId="44" fillId="0" borderId="0" xfId="51" applyNumberFormat="1" applyFont="1" applyBorder="1" applyAlignment="1">
      <alignment horizontal="right" vertical="center" wrapText="1" indent="2"/>
    </xf>
    <xf numFmtId="1" fontId="1" fillId="0" borderId="0" xfId="44" applyNumberFormat="1"/>
    <xf numFmtId="0" fontId="62" fillId="0" borderId="0" xfId="53" applyFont="1" applyAlignment="1">
      <alignment horizontal="left" indent="2"/>
    </xf>
    <xf numFmtId="1" fontId="62" fillId="0" borderId="0" xfId="53" applyNumberFormat="1" applyFont="1" applyAlignment="1">
      <alignment horizontal="right" vertical="center" wrapText="1"/>
    </xf>
    <xf numFmtId="166" fontId="62" fillId="0" borderId="0" xfId="53" applyNumberFormat="1" applyFont="1" applyAlignment="1">
      <alignment horizontal="right" vertical="center" wrapText="1" indent="2"/>
    </xf>
    <xf numFmtId="1" fontId="5" fillId="0" borderId="0" xfId="51" applyNumberFormat="1" applyFont="1" applyFill="1" applyBorder="1" applyAlignment="1">
      <alignment horizontal="right" vertical="center" wrapText="1"/>
    </xf>
    <xf numFmtId="166" fontId="5" fillId="0" borderId="0" xfId="51" applyNumberFormat="1" applyFont="1" applyFill="1" applyBorder="1" applyAlignment="1">
      <alignment horizontal="right" vertical="center" wrapText="1" indent="2"/>
    </xf>
    <xf numFmtId="0" fontId="63" fillId="0" borderId="0" xfId="43" applyFont="1"/>
    <xf numFmtId="0" fontId="8" fillId="0" borderId="0" xfId="54" applyFont="1"/>
    <xf numFmtId="1" fontId="63" fillId="0" borderId="0" xfId="43" applyNumberFormat="1" applyFont="1"/>
    <xf numFmtId="0" fontId="8" fillId="0" borderId="0" xfId="45" applyFont="1"/>
    <xf numFmtId="0" fontId="64" fillId="0" borderId="0" xfId="43" applyFont="1"/>
    <xf numFmtId="0" fontId="65" fillId="0" borderId="0" xfId="43" applyFont="1"/>
    <xf numFmtId="0" fontId="66" fillId="0" borderId="0" xfId="43" applyFont="1"/>
    <xf numFmtId="0" fontId="58" fillId="0" borderId="0" xfId="55" applyFont="1"/>
    <xf numFmtId="0" fontId="59" fillId="0" borderId="0" xfId="56" applyFont="1"/>
    <xf numFmtId="0" fontId="67" fillId="0" borderId="0" xfId="55" applyFont="1"/>
    <xf numFmtId="0" fontId="42" fillId="0" borderId="0" xfId="56" applyFont="1"/>
    <xf numFmtId="0" fontId="27" fillId="0" borderId="0" xfId="55" applyFont="1"/>
    <xf numFmtId="0" fontId="27" fillId="0" borderId="0" xfId="56" applyFont="1"/>
    <xf numFmtId="0" fontId="68" fillId="0" borderId="0" xfId="56" applyFont="1"/>
    <xf numFmtId="0" fontId="68" fillId="0" borderId="0" xfId="56" applyFont="1" applyAlignment="1">
      <alignment horizontal="right"/>
    </xf>
    <xf numFmtId="0" fontId="45" fillId="0" borderId="0" xfId="56" applyFont="1" applyAlignment="1">
      <alignment horizontal="center" vertical="center"/>
    </xf>
    <xf numFmtId="0" fontId="45" fillId="0" borderId="0" xfId="56" quotePrefix="1" applyFont="1" applyAlignment="1">
      <alignment horizontal="center" vertical="center"/>
    </xf>
    <xf numFmtId="0" fontId="42" fillId="0" borderId="1" xfId="55" applyFont="1" applyBorder="1"/>
    <xf numFmtId="0" fontId="69" fillId="0" borderId="1" xfId="39" applyFont="1" applyBorder="1" applyAlignment="1">
      <alignment horizontal="center" vertical="center" wrapText="1"/>
    </xf>
    <xf numFmtId="0" fontId="69" fillId="0" borderId="1" xfId="39" quotePrefix="1" applyFont="1" applyBorder="1" applyAlignment="1">
      <alignment horizontal="center" vertical="center" wrapText="1"/>
    </xf>
    <xf numFmtId="0" fontId="53" fillId="0" borderId="1" xfId="55" quotePrefix="1" applyFont="1" applyBorder="1" applyAlignment="1">
      <alignment horizontal="center" vertical="center"/>
    </xf>
    <xf numFmtId="0" fontId="42" fillId="0" borderId="0" xfId="55" applyFont="1"/>
    <xf numFmtId="173" fontId="42" fillId="0" borderId="0" xfId="55" applyNumberFormat="1" applyFont="1"/>
    <xf numFmtId="166" fontId="42" fillId="0" borderId="0" xfId="57" applyNumberFormat="1" applyFont="1"/>
    <xf numFmtId="2" fontId="42" fillId="0" borderId="0" xfId="57" applyNumberFormat="1" applyFont="1"/>
    <xf numFmtId="0" fontId="69" fillId="0" borderId="0" xfId="39" applyFont="1" applyAlignment="1">
      <alignment horizontal="center" vertical="center" wrapText="1"/>
    </xf>
    <xf numFmtId="0" fontId="53" fillId="0" borderId="0" xfId="55" applyFont="1" applyAlignment="1">
      <alignment horizontal="center" vertical="center"/>
    </xf>
    <xf numFmtId="166" fontId="42" fillId="0" borderId="0" xfId="55" applyNumberFormat="1" applyFont="1"/>
    <xf numFmtId="0" fontId="34" fillId="0" borderId="0" xfId="30" applyFont="1" applyAlignment="1">
      <alignment horizontal="center" vertical="center"/>
    </xf>
    <xf numFmtId="0" fontId="69" fillId="0" borderId="2" xfId="39" applyFont="1" applyBorder="1" applyAlignment="1">
      <alignment horizontal="center" vertical="center" wrapText="1"/>
    </xf>
    <xf numFmtId="0" fontId="34" fillId="0" borderId="2" xfId="30" applyFont="1" applyBorder="1" applyAlignment="1">
      <alignment horizontal="center" vertical="center"/>
    </xf>
    <xf numFmtId="0" fontId="53" fillId="0" borderId="2" xfId="55" applyFont="1" applyBorder="1" applyAlignment="1">
      <alignment horizontal="center" vertical="center"/>
    </xf>
    <xf numFmtId="0" fontId="42" fillId="0" borderId="0" xfId="56" applyFont="1" applyAlignment="1">
      <alignment horizontal="center" vertical="center" wrapText="1"/>
    </xf>
    <xf numFmtId="0" fontId="53" fillId="0" borderId="0" xfId="55" applyFont="1" applyAlignment="1">
      <alignment vertical="center"/>
    </xf>
    <xf numFmtId="1" fontId="42" fillId="0" borderId="0" xfId="58" applyNumberFormat="1" applyFont="1" applyAlignment="1">
      <alignment horizontal="right" vertical="center"/>
    </xf>
    <xf numFmtId="166" fontId="42" fillId="0" borderId="0" xfId="55" applyNumberFormat="1" applyFont="1" applyAlignment="1">
      <alignment vertical="center"/>
    </xf>
    <xf numFmtId="3" fontId="64" fillId="0" borderId="4" xfId="59" applyNumberFormat="1" applyFont="1" applyBorder="1" applyAlignment="1">
      <alignment horizontal="center" vertical="center"/>
    </xf>
    <xf numFmtId="1" fontId="42" fillId="0" borderId="0" xfId="55" applyNumberFormat="1" applyFont="1"/>
    <xf numFmtId="3" fontId="70" fillId="0" borderId="4" xfId="59" applyNumberFormat="1" applyFont="1" applyBorder="1" applyAlignment="1">
      <alignment horizontal="center" vertical="center" wrapText="1"/>
    </xf>
    <xf numFmtId="0" fontId="53" fillId="0" borderId="0" xfId="55" applyFont="1" applyAlignment="1">
      <alignment vertical="center" wrapText="1"/>
    </xf>
    <xf numFmtId="166" fontId="42" fillId="0" borderId="0" xfId="58" applyNumberFormat="1" applyFont="1" applyAlignment="1">
      <alignment horizontal="right" vertical="center"/>
    </xf>
    <xf numFmtId="0" fontId="44" fillId="0" borderId="0" xfId="55" applyFont="1"/>
    <xf numFmtId="0" fontId="71" fillId="0" borderId="4" xfId="59" applyFont="1" applyBorder="1" applyAlignment="1">
      <alignment horizontal="center" vertical="center"/>
    </xf>
    <xf numFmtId="0" fontId="72" fillId="0" borderId="0" xfId="55" applyFont="1"/>
    <xf numFmtId="1" fontId="72" fillId="0" borderId="0" xfId="55" applyNumberFormat="1" applyFont="1"/>
    <xf numFmtId="2" fontId="27" fillId="0" borderId="0" xfId="55" applyNumberFormat="1" applyFont="1"/>
    <xf numFmtId="0" fontId="1" fillId="0" borderId="0" xfId="55"/>
    <xf numFmtId="0" fontId="59" fillId="0" borderId="0" xfId="55" applyFont="1"/>
    <xf numFmtId="0" fontId="20" fillId="0" borderId="0" xfId="55" applyFont="1" applyAlignment="1">
      <alignment horizontal="right"/>
    </xf>
    <xf numFmtId="0" fontId="73" fillId="0" borderId="1" xfId="55" applyFont="1" applyBorder="1" applyAlignment="1">
      <alignment horizontal="center" wrapText="1"/>
    </xf>
    <xf numFmtId="0" fontId="18" fillId="0" borderId="1" xfId="30" quotePrefix="1" applyFont="1" applyBorder="1" applyAlignment="1">
      <alignment horizontal="center" vertical="center" wrapText="1"/>
    </xf>
    <xf numFmtId="0" fontId="18" fillId="0" borderId="1" xfId="30" applyFont="1" applyBorder="1" applyAlignment="1">
      <alignment horizontal="center" vertical="center" wrapText="1"/>
    </xf>
    <xf numFmtId="0" fontId="73" fillId="0" borderId="0" xfId="55" applyFont="1" applyAlignment="1">
      <alignment horizontal="center" wrapText="1"/>
    </xf>
    <xf numFmtId="0" fontId="18" fillId="0" borderId="2" xfId="30" applyFont="1" applyBorder="1" applyAlignment="1">
      <alignment horizontal="center" vertical="center" wrapText="1"/>
    </xf>
    <xf numFmtId="0" fontId="18" fillId="0" borderId="0" xfId="30" applyFont="1" applyAlignment="1">
      <alignment horizontal="center" vertical="center" wrapText="1"/>
    </xf>
    <xf numFmtId="0" fontId="38" fillId="0" borderId="0" xfId="46" applyFont="1"/>
    <xf numFmtId="1" fontId="44" fillId="0" borderId="0" xfId="55" applyNumberFormat="1" applyFont="1"/>
    <xf numFmtId="166" fontId="44" fillId="0" borderId="0" xfId="55" applyNumberFormat="1" applyFont="1" applyAlignment="1">
      <alignment horizontal="right" wrapText="1"/>
    </xf>
    <xf numFmtId="0" fontId="45" fillId="0" borderId="0" xfId="56" applyFont="1"/>
    <xf numFmtId="0" fontId="74" fillId="0" borderId="0" xfId="60" applyFont="1"/>
    <xf numFmtId="0" fontId="74" fillId="0" borderId="0" xfId="59" applyFont="1"/>
    <xf numFmtId="1" fontId="61" fillId="0" borderId="0" xfId="55" applyNumberFormat="1" applyFont="1"/>
    <xf numFmtId="166" fontId="61" fillId="0" borderId="0" xfId="55" applyNumberFormat="1" applyFont="1" applyAlignment="1">
      <alignment horizontal="right" wrapText="1"/>
    </xf>
    <xf numFmtId="0" fontId="75" fillId="0" borderId="0" xfId="56" applyFont="1"/>
    <xf numFmtId="0" fontId="53" fillId="0" borderId="0" xfId="59" applyFont="1"/>
    <xf numFmtId="0" fontId="69" fillId="0" borderId="0" xfId="59" applyFont="1" applyAlignment="1">
      <alignment horizontal="left" wrapText="1" indent="1"/>
    </xf>
    <xf numFmtId="166" fontId="42" fillId="0" borderId="0" xfId="55" applyNumberFormat="1" applyFont="1" applyAlignment="1">
      <alignment horizontal="right" wrapText="1"/>
    </xf>
    <xf numFmtId="0" fontId="76" fillId="0" borderId="0" xfId="60" applyFont="1"/>
    <xf numFmtId="166" fontId="42" fillId="0" borderId="0" xfId="55" applyNumberFormat="1" applyFont="1" applyAlignment="1">
      <alignment wrapText="1"/>
    </xf>
    <xf numFmtId="166" fontId="42" fillId="0" borderId="0" xfId="56" applyNumberFormat="1" applyFont="1" applyAlignment="1">
      <alignment horizontal="right"/>
    </xf>
    <xf numFmtId="0" fontId="75" fillId="0" borderId="0" xfId="56" applyFont="1" applyAlignment="1">
      <alignment horizontal="right"/>
    </xf>
    <xf numFmtId="0" fontId="10" fillId="0" borderId="0" xfId="46" applyFont="1"/>
    <xf numFmtId="0" fontId="44" fillId="0" borderId="0" xfId="55" applyFont="1" applyAlignment="1">
      <alignment horizontal="right" indent="1"/>
    </xf>
    <xf numFmtId="166" fontId="44" fillId="0" borderId="0" xfId="55" applyNumberFormat="1" applyFont="1" applyAlignment="1">
      <alignment horizontal="right" indent="4"/>
    </xf>
    <xf numFmtId="0" fontId="61" fillId="0" borderId="0" xfId="55" applyFont="1" applyAlignment="1">
      <alignment horizontal="right" indent="1"/>
    </xf>
    <xf numFmtId="166" fontId="61" fillId="0" borderId="0" xfId="55" applyNumberFormat="1" applyFont="1" applyAlignment="1">
      <alignment horizontal="right" indent="4"/>
    </xf>
    <xf numFmtId="0" fontId="77" fillId="0" borderId="0" xfId="58" applyFont="1" applyAlignment="1">
      <alignment horizontal="left" wrapText="1" indent="1"/>
    </xf>
    <xf numFmtId="0" fontId="42" fillId="0" borderId="0" xfId="55" applyFont="1" applyAlignment="1">
      <alignment horizontal="right" indent="1"/>
    </xf>
    <xf numFmtId="166" fontId="42" fillId="0" borderId="0" xfId="55" applyNumberFormat="1" applyFont="1" applyAlignment="1">
      <alignment horizontal="right" indent="4"/>
    </xf>
    <xf numFmtId="0" fontId="61" fillId="0" borderId="0" xfId="58" applyFont="1"/>
    <xf numFmtId="0" fontId="77" fillId="0" borderId="0" xfId="55" applyFont="1" applyAlignment="1">
      <alignment horizontal="left" wrapText="1" indent="1"/>
    </xf>
    <xf numFmtId="166" fontId="44" fillId="0" borderId="0" xfId="55" applyNumberFormat="1" applyFont="1" applyAlignment="1">
      <alignment horizontal="center"/>
    </xf>
    <xf numFmtId="0" fontId="3" fillId="0" borderId="0" xfId="61" applyFont="1" applyAlignment="1">
      <alignment horizontal="left"/>
    </xf>
    <xf numFmtId="0" fontId="32" fillId="0" borderId="0" xfId="61" applyFont="1" applyAlignment="1">
      <alignment horizontal="left"/>
    </xf>
    <xf numFmtId="0" fontId="32" fillId="0" borderId="0" xfId="61" applyFont="1" applyAlignment="1">
      <alignment horizontal="center"/>
    </xf>
    <xf numFmtId="0" fontId="2" fillId="0" borderId="0" xfId="61"/>
    <xf numFmtId="0" fontId="32" fillId="0" borderId="0" xfId="61" applyFont="1"/>
    <xf numFmtId="0" fontId="11" fillId="0" borderId="0" xfId="61" applyFont="1"/>
    <xf numFmtId="0" fontId="11" fillId="0" borderId="0" xfId="61" applyFont="1" applyAlignment="1">
      <alignment horizontal="center"/>
    </xf>
    <xf numFmtId="0" fontId="9" fillId="0" borderId="0" xfId="61" applyFont="1" applyAlignment="1">
      <alignment horizontal="right"/>
    </xf>
    <xf numFmtId="0" fontId="11" fillId="0" borderId="1" xfId="61" applyFont="1" applyBorder="1"/>
    <xf numFmtId="0" fontId="11" fillId="0" borderId="1" xfId="61" applyFont="1" applyBorder="1" applyAlignment="1">
      <alignment vertical="center"/>
    </xf>
    <xf numFmtId="0" fontId="5" fillId="0" borderId="1" xfId="61" applyFont="1" applyBorder="1" applyAlignment="1">
      <alignment horizontal="center" vertical="center"/>
    </xf>
    <xf numFmtId="0" fontId="11" fillId="0" borderId="0" xfId="61" applyFont="1" applyAlignment="1">
      <alignment vertical="center"/>
    </xf>
    <xf numFmtId="0" fontId="5" fillId="0" borderId="2" xfId="61" applyFont="1" applyBorder="1" applyAlignment="1">
      <alignment horizontal="center" vertical="center"/>
    </xf>
    <xf numFmtId="0" fontId="10" fillId="0" borderId="0" xfId="61" applyFont="1"/>
    <xf numFmtId="0" fontId="5" fillId="0" borderId="0" xfId="62"/>
    <xf numFmtId="1" fontId="10" fillId="0" borderId="0" xfId="61" applyNumberFormat="1" applyFont="1" applyAlignment="1">
      <alignment horizontal="right" indent="3"/>
    </xf>
    <xf numFmtId="166" fontId="10" fillId="0" borderId="0" xfId="61" applyNumberFormat="1" applyFont="1" applyAlignment="1">
      <alignment horizontal="right" indent="2"/>
    </xf>
    <xf numFmtId="1" fontId="5" fillId="0" borderId="0" xfId="61" applyNumberFormat="1" applyFont="1" applyAlignment="1">
      <alignment horizontal="right" indent="3"/>
    </xf>
    <xf numFmtId="0" fontId="1" fillId="0" borderId="0" xfId="63" applyAlignment="1">
      <alignment horizontal="right" indent="2"/>
    </xf>
    <xf numFmtId="166" fontId="5" fillId="0" borderId="0" xfId="61" applyNumberFormat="1" applyFont="1" applyAlignment="1">
      <alignment horizontal="right" indent="2"/>
    </xf>
    <xf numFmtId="0" fontId="50" fillId="0" borderId="0" xfId="36" applyAlignment="1">
      <alignment vertical="center" wrapText="1"/>
    </xf>
    <xf numFmtId="0" fontId="5" fillId="0" borderId="0" xfId="64" applyFont="1" applyAlignment="1">
      <alignment horizontal="right" indent="3"/>
    </xf>
    <xf numFmtId="174" fontId="78" fillId="0" borderId="0" xfId="64" applyNumberFormat="1" applyFont="1" applyAlignment="1">
      <alignment horizontal="center"/>
    </xf>
    <xf numFmtId="174" fontId="9" fillId="0" borderId="0" xfId="64" applyNumberFormat="1" applyFont="1" applyAlignment="1">
      <alignment horizontal="right" indent="3"/>
    </xf>
    <xf numFmtId="166" fontId="9" fillId="0" borderId="0" xfId="64" applyNumberFormat="1" applyFont="1" applyAlignment="1">
      <alignment horizontal="right" indent="2"/>
    </xf>
    <xf numFmtId="0" fontId="5" fillId="0" borderId="0" xfId="61" applyFont="1"/>
    <xf numFmtId="43" fontId="64" fillId="0" borderId="0" xfId="37" applyFont="1" applyFill="1" applyBorder="1" applyAlignment="1">
      <alignment vertical="center"/>
    </xf>
    <xf numFmtId="0" fontId="18" fillId="0" borderId="0" xfId="25" applyFont="1" applyAlignment="1">
      <alignment horizontal="right" indent="1"/>
    </xf>
    <xf numFmtId="166" fontId="18" fillId="0" borderId="0" xfId="25" applyNumberFormat="1" applyFont="1" applyAlignment="1">
      <alignment horizontal="right" indent="1"/>
    </xf>
    <xf numFmtId="0" fontId="3" fillId="0" borderId="0" xfId="25" applyFont="1" applyAlignment="1">
      <alignment horizontal="left" wrapText="1"/>
    </xf>
    <xf numFmtId="0" fontId="3" fillId="0" borderId="0" xfId="34" applyFont="1" applyAlignment="1">
      <alignment horizontal="left" wrapText="1"/>
    </xf>
    <xf numFmtId="0" fontId="34" fillId="0" borderId="1" xfId="30" quotePrefix="1" applyFont="1" applyBorder="1" applyAlignment="1">
      <alignment horizontal="center" vertical="center"/>
    </xf>
    <xf numFmtId="0" fontId="34" fillId="0" borderId="2" xfId="30" quotePrefix="1" applyFont="1" applyBorder="1" applyAlignment="1">
      <alignment horizontal="center" vertical="center"/>
    </xf>
    <xf numFmtId="15" fontId="18" fillId="0" borderId="1" xfId="30" quotePrefix="1" applyNumberFormat="1" applyFont="1" applyBorder="1" applyAlignment="1">
      <alignment horizontal="center" vertical="center"/>
    </xf>
    <xf numFmtId="0" fontId="18" fillId="0" borderId="1" xfId="30" applyFont="1" applyBorder="1" applyAlignment="1">
      <alignment horizontal="center" vertical="center"/>
    </xf>
    <xf numFmtId="0" fontId="18" fillId="0" borderId="2" xfId="30" applyFont="1" applyBorder="1" applyAlignment="1">
      <alignment horizontal="center" vertical="center"/>
    </xf>
    <xf numFmtId="0" fontId="18" fillId="0" borderId="1" xfId="30" quotePrefix="1" applyFont="1" applyBorder="1" applyAlignment="1">
      <alignment horizontal="center" vertical="center" wrapText="1"/>
    </xf>
    <xf numFmtId="0" fontId="18" fillId="0" borderId="1" xfId="30" applyFont="1" applyBorder="1" applyAlignment="1">
      <alignment horizontal="center" vertical="center" wrapText="1"/>
    </xf>
    <xf numFmtId="15" fontId="18" fillId="0" borderId="2" xfId="30" quotePrefix="1" applyNumberFormat="1" applyFont="1" applyBorder="1" applyAlignment="1">
      <alignment horizontal="center" vertical="center"/>
    </xf>
    <xf numFmtId="0" fontId="18" fillId="0" borderId="2" xfId="30" applyFont="1" applyBorder="1" applyAlignment="1">
      <alignment horizontal="center" vertical="center" wrapText="1"/>
    </xf>
    <xf numFmtId="0" fontId="53" fillId="0" borderId="1" xfId="23" applyFont="1" applyBorder="1" applyAlignment="1">
      <alignment horizontal="center" vertical="center" wrapText="1"/>
    </xf>
    <xf numFmtId="0" fontId="53" fillId="0" borderId="2" xfId="23" applyFont="1" applyBorder="1" applyAlignment="1">
      <alignment horizontal="center" vertical="center" wrapText="1"/>
    </xf>
    <xf numFmtId="0" fontId="27" fillId="0" borderId="2" xfId="15" applyFont="1" applyBorder="1" applyAlignment="1">
      <alignment horizontal="center" wrapText="1"/>
    </xf>
    <xf numFmtId="0" fontId="27" fillId="0" borderId="1" xfId="15" applyFont="1" applyBorder="1" applyAlignment="1">
      <alignment horizontal="center" wrapText="1"/>
    </xf>
    <xf numFmtId="0" fontId="27" fillId="0" borderId="0" xfId="15" applyFont="1" applyAlignment="1">
      <alignment horizontal="center" wrapText="1"/>
    </xf>
    <xf numFmtId="0" fontId="18" fillId="0" borderId="3" xfId="22" applyFont="1" applyBorder="1" applyAlignment="1">
      <alignment horizontal="center" vertical="center"/>
    </xf>
  </cellXfs>
  <cellStyles count="65">
    <cellStyle name="Comma" xfId="37" builtinId="3"/>
    <cellStyle name="Comma 11 2" xfId="33" xr:uid="{835FA7D9-AE70-478E-80B3-460A8AA44291}"/>
    <cellStyle name="Comma 17 2" xfId="28" xr:uid="{524B1F21-CBEC-4A80-A505-F0D9B7C86EE1}"/>
    <cellStyle name="Comma 2" xfId="51" xr:uid="{8B1530FB-5FD5-4D06-8C24-A608BC0D7B07}"/>
    <cellStyle name="Comma 3 2 5 4 2" xfId="64" xr:uid="{0FA21770-F9CF-4732-A44E-934B2D82B580}"/>
    <cellStyle name="Comma_Bieu 012011" xfId="16" xr:uid="{EA490472-0B42-4AAB-B11F-F40DE36246BA}"/>
    <cellStyle name="Comma_Bieu 012011 2 3" xfId="18" xr:uid="{9234EB5E-161E-4003-9AD7-27E2E72DAF91}"/>
    <cellStyle name="Normal" xfId="0" builtinId="0"/>
    <cellStyle name="Normal - Style1 3" xfId="49" xr:uid="{95CE204E-2B16-405E-B841-CBD7914BD021}"/>
    <cellStyle name="Normal 10 2 2 2 2" xfId="26" xr:uid="{2AF6262D-C5B6-4214-B8F4-503E74A73B73}"/>
    <cellStyle name="Normal 10 2 2 2 3" xfId="45" xr:uid="{86E35D43-238D-47F1-8B1C-BBDED46BC103}"/>
    <cellStyle name="Normal 10 2 2 2 4 2" xfId="59" xr:uid="{A0884B52-9CC1-4066-9EB8-592A9B7FEBA4}"/>
    <cellStyle name="Normal 10 2 2 2 5" xfId="55" xr:uid="{5D86ACC2-74C1-4313-A7C4-13771C2FBAC6}"/>
    <cellStyle name="Normal 10 2 2 2 5 2" xfId="58" xr:uid="{A760E17A-E5FF-4CE1-B87C-317F18DCDBE0}"/>
    <cellStyle name="Normal 10 4 2 2 2" xfId="60" xr:uid="{9E1D75A7-56DD-41D1-9EA0-679FDC9701E3}"/>
    <cellStyle name="Normal 10 4 2 3" xfId="56" xr:uid="{8F9A716B-D1FF-42FA-863E-1B8E17C57576}"/>
    <cellStyle name="Normal 11 4" xfId="36" xr:uid="{F9F6C265-285C-47E0-AB6A-6257DDE20328}"/>
    <cellStyle name="Normal 15" xfId="32" xr:uid="{1798E984-13E2-4F64-A1BC-C5371A60CCE5}"/>
    <cellStyle name="Normal 153 2 2" xfId="63" xr:uid="{859A47E2-75F1-41D2-A191-6678DAAE8F6B}"/>
    <cellStyle name="Normal 154 2" xfId="2" xr:uid="{00000000-0005-0000-0000-000001000000}"/>
    <cellStyle name="Normal 155 2" xfId="31" xr:uid="{1C13A6DB-804B-46DC-893D-B474ADB4DA66}"/>
    <cellStyle name="Normal 156" xfId="23" xr:uid="{15F8F9E0-BAC0-4BB6-B46A-4417C722E8E6}"/>
    <cellStyle name="Normal 157 2" xfId="15" xr:uid="{4E08EBCC-577C-4C7D-96BA-C6931B157189}"/>
    <cellStyle name="Normal 2 13 2" xfId="62" xr:uid="{3797A7B0-286B-4D99-ADAF-3CECE213EACE}"/>
    <cellStyle name="Normal 2 16 2" xfId="39" xr:uid="{366FDB0D-684E-4ED0-BD13-4EA2C19EF8B3}"/>
    <cellStyle name="Normal 2 7 2" xfId="48" xr:uid="{82FD624B-E504-40D7-AF4E-0792CE051B9E}"/>
    <cellStyle name="Normal 3 2 2 2 2" xfId="44" xr:uid="{C71197B8-41F0-44E9-8B92-F5255313B784}"/>
    <cellStyle name="Normal 3 2 2 2 2 3" xfId="54" xr:uid="{03388890-1770-42AD-A69D-0F7F70BB9204}"/>
    <cellStyle name="Normal 3 3" xfId="53" xr:uid="{CC5C5218-358F-484A-B4C6-C3F9CFDE8AE9}"/>
    <cellStyle name="Normal 7" xfId="3" xr:uid="{00000000-0005-0000-0000-000002000000}"/>
    <cellStyle name="Normal 7 4 2" xfId="11" xr:uid="{65DCCD35-0FFA-402D-A676-355A8D66D10B}"/>
    <cellStyle name="Normal_02NN" xfId="1" xr:uid="{00000000-0005-0000-0000-000003000000}"/>
    <cellStyle name="Normal_03&amp;04CN" xfId="27" xr:uid="{DC63295C-10FB-4934-856F-BE3987897AA5}"/>
    <cellStyle name="Normal_05XD 2" xfId="7" xr:uid="{693B968A-26CD-4630-B621-120B5483E29A}"/>
    <cellStyle name="Normal_05XD_Dautu(6-2011) 2" xfId="12" xr:uid="{0EE9912B-160B-460A-97AD-96D4CFA00A17}"/>
    <cellStyle name="Normal_06DTNN 2" xfId="61" xr:uid="{CE9BDC55-3900-42B7-BD3A-59E0F79F0118}"/>
    <cellStyle name="Normal_07Dulich11 2" xfId="50" xr:uid="{21F98370-8307-4042-BD60-69EF055D44CE}"/>
    <cellStyle name="Normal_07gia" xfId="21" xr:uid="{6B16BE58-59CB-4392-9FC6-3A1DD3B31009}"/>
    <cellStyle name="Normal_07gia 2" xfId="22" xr:uid="{B1023840-CC88-4E76-95BC-839296EC3C69}"/>
    <cellStyle name="Normal_07VT 2" xfId="42" xr:uid="{67A46D93-0E8D-4E1A-A1CF-705EF3121A33}"/>
    <cellStyle name="Normal_08-12TM" xfId="13" xr:uid="{E9CB1977-0C9D-4B22-8981-F8D6DF6CBF39}"/>
    <cellStyle name="Normal_08tmt3" xfId="38" xr:uid="{29B16AB5-0425-46CF-8B31-8CF9F17C85D3}"/>
    <cellStyle name="Normal_08tmt3 2" xfId="41" xr:uid="{B57359D5-7E4B-41A6-9E5F-CEEE51795563}"/>
    <cellStyle name="Normal_08tmt3_VT- TM Diep" xfId="40" xr:uid="{A41B3A70-55AC-45CA-9CE9-6FC76BF4471F}"/>
    <cellStyle name="Normal_Bctiendo2000" xfId="5" xr:uid="{00000000-0005-0000-0000-000004000000}"/>
    <cellStyle name="Normal_Bctiendo2000_GDPQuyI" xfId="4" xr:uid="{00000000-0005-0000-0000-000005000000}"/>
    <cellStyle name="Normal_Book2" xfId="24" xr:uid="{44BCE845-7A08-4EA8-AF57-DC97B055BD7A}"/>
    <cellStyle name="Normal_Dau tu 2" xfId="10" xr:uid="{7F2CB518-7EA5-4F6F-B055-407458B41BC5}"/>
    <cellStyle name="Normal_Gui Vu TH-Bao cao nhanh VDT 2006" xfId="9" xr:uid="{61BFADB8-2152-4D0A-A145-0A49FAA6FBE2}"/>
    <cellStyle name="Normal_nhanh sap xep lai 2 2" xfId="19" xr:uid="{093ED8B5-1D76-4273-AFA7-CBF27F7A9046}"/>
    <cellStyle name="Normal_nhanh sap xep lai 3" xfId="14" xr:uid="{56B5E253-44C4-478A-A3D8-DD0929354530}"/>
    <cellStyle name="Normal_Sheet1" xfId="29" xr:uid="{73CA8C8B-4238-4C6D-B107-AF242CEB34FD}"/>
    <cellStyle name="Normal_solieu gdp 2 2" xfId="46" xr:uid="{B19C8452-0868-4E0A-BC41-25ED207C9F0B}"/>
    <cellStyle name="Normal_SPT3-96" xfId="30" xr:uid="{531C8F48-F86A-48BA-BCD7-9FF2196EAA30}"/>
    <cellStyle name="Normal_SPT3-96_Bieu 012011 2" xfId="8" xr:uid="{26078944-06A7-44B4-B2C8-0455D31F7AC2}"/>
    <cellStyle name="Normal_SPT3-96_Bieudautu_Dautu(6-2011)" xfId="6" xr:uid="{BE4053C5-1FA5-497D-AC43-EDDEB924BC5A}"/>
    <cellStyle name="Normal_SPT3-96_Van tai12.2010 2" xfId="47" xr:uid="{ED3F6D2B-B205-4BDE-B213-B9E858258CCF}"/>
    <cellStyle name="Normal_Tieu thu-Ton kho thang 7.2012 (dieu chinh)" xfId="35" xr:uid="{258F9F9C-15DF-49F3-A1CA-E137B5B8487B}"/>
    <cellStyle name="Normal_Xl0000008" xfId="52" xr:uid="{97CA06E3-CE26-4DD9-B059-A1487F03C15B}"/>
    <cellStyle name="Normal_Xl0000107" xfId="34" xr:uid="{D28DC44C-4ED8-47A2-9284-CCC85C75315A}"/>
    <cellStyle name="Normal_Xl0000141" xfId="25" xr:uid="{ED9206AC-92C7-4BC7-9AFE-3BDBD330D5EC}"/>
    <cellStyle name="Normal_Xl0000156" xfId="43" xr:uid="{BBEECB4A-9E68-4DFF-9F1F-6688736D954D}"/>
    <cellStyle name="Normal_Xl0000163" xfId="20" xr:uid="{716D9074-7491-4B6B-AB98-BA7E05989402}"/>
    <cellStyle name="Normal_Xl0000203" xfId="17" xr:uid="{72F8DACD-D586-44DC-B694-3D41B77E5105}"/>
    <cellStyle name="Percent 2" xfId="57" xr:uid="{2624000F-7604-4755-96CC-D196F23EBA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2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externalLink" Target="externalLinks/externalLink1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ung%20Quat\Goi3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ung%20Quat\Goi3\PNT-P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ung%20Quat/Goi3/PNT-P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5nam\Thanh%20Toan\DOCUMENT\DAUTHAU\Dungquat\GOI3\DUNGQUAT-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2.5nam/Thanh%20Toan/DOCUMENT/DAUTHAU/Dungquat/GOI3/DUNGQUAT-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.5nam\Thanh%20Toan\DOCUMENT\DAUTHAU\Dungquat\GOI3\DUNGQUAT-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n\0tonghop1\10Nam\10nam\xaydungcntt98\dung\&#167;&#222;a%20ph&#173;&#172;ng%2095-96%20(V&#232;n,%20TSC&#167;)%20hai%20gi&#18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tqvuong\Local%20Settings\Temporary%20Internet%20Files\Content.IE5\O5IZ0TU7\Hieu\Data\Nien%20giam\Hoan\Nien%20giam%2095-2002\NN95-20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tqvuong\Local%20Settings\Temporary%20Internet%20Files\Content.IE5\O5IZ0TU7\Hieu\Data\Nien%20giam\Hoan\Nien%20giam%2095-2002\NN95-20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qvuong\Local%20Settings\Temporary%20Internet%20Files\Content.IE5\O5IZ0TU7\Hieu\Data\Nien%20giam\Hoan\Nien%20giam%2095-2002\NN95-20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WINDOWS\TEMP\IBASE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IBASE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\IBASE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5nam\Thanh%20Toan\CS3408\Standard\RP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2.5nam/Thanh%20Toan/CS3408/Standard/RP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.5nam\Thanh%20Toan\CS3408\Standard\RPT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nh.T.T\NXLam\NXL-2001\Ha%20Noi%20Plaza\Tham%20dinh%20lai\Tai%20lieu%20A%20cap\TD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nh.T.T\NXLam\Nxl-2000\Chu%20Hoang\Hanoi%20Group\My%20Documents\Phan%20Huy\DGIAGOC\1999\HANOI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03%20Nien%20giam%20day%20du\2013\Vu%20Tong%20hop\Gui%20NXB\Nam\10Nam\xaydungcntt98\dung\&#167;&#222;a%20ph&#173;&#172;ng%2095-96%20(V&#232;n,%20TSC&#167;)%20hai%20gi&#18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3%20Nien%20giam%20day%20du\2013\Vu%20Tong%20hop\Gui%20NXB\Nam\10Nam\xaydungcntt98\dung\&#167;&#222;a%20ph&#173;&#172;ng%2095-96%20(V&#232;n,%20TSC&#167;)%20hai%20gi&#18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03%20Nien%20giam%20day%20du/2013/Vu%20Tong%20hop/Gui%20NXB/Nam/10Nam/xaydungcntt98/dung/&#167;&#222;a%20ph&#173;&#172;ng%2095-96%20(V&#232;n,%20TSC&#167;)%20hai%20gi&#18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Du tnan chi tiet coc nuoc"/>
      <sheetName val="TNghiÖ- VL"/>
      <sheetName val="thaß26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FORM jc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CT.XF1"/>
      <sheetName val="DG "/>
      <sheetName val="I"/>
      <sheetName val="PNT-P3"/>
      <sheetName val="GS11- tÝnh KH_x0014_SC§"/>
      <sheetName val="DŃ02"/>
      <sheetName val="Op"/>
      <sheetName val="gia x"/>
      <sheetName val="⁋㌱Ա"/>
      <sheetName val="bÑi_x0003_"/>
      <sheetName val="_x000f_"/>
      <sheetName val="M pc_x0006_"/>
      <sheetName val="_x0000__x0000_"/>
      <sheetName val="Cong ban 1,5_x0013_"/>
      <sheetName val="bÑi_x0003__x0000_²r_x0013__x0000_"/>
      <sheetName val="_x000f__x0000_½"/>
      <sheetName val="M pc_x0006__x0000_CamPh_x0000_"/>
      <sheetName val="_x000d_âO"/>
      <sheetName val="chieud_x0005_"/>
      <sheetName val="Op mai 2_x000c_"/>
      <sheetName val="Cong ban 1,5„—_x0013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 refreshError="1"/>
      <sheetData sheetId="455" refreshError="1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/>
      <sheetData sheetId="694" refreshError="1"/>
      <sheetData sheetId="695"/>
      <sheetData sheetId="696" refreshError="1"/>
      <sheetData sheetId="697"/>
      <sheetData sheetId="698"/>
      <sheetData sheetId="699" refreshError="1"/>
      <sheetData sheetId="700" refreshError="1"/>
      <sheetData sheetId="701"/>
      <sheetData sheetId="702"/>
      <sheetData sheetId="703" refreshError="1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Du tnan chi tiet coc nuoc"/>
      <sheetName val="TNghiÖ- VL"/>
      <sheetName val="thaß26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FORM jc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DG "/>
      <sheetName val="CT.XF1"/>
      <sheetName val="_x0014_M01"/>
      <sheetName val="I"/>
      <sheetName val="PNT-P3"/>
      <sheetName val="GS11- tÝnh KH_x0014_SC§"/>
      <sheetName val="DŃ02"/>
      <sheetName val="_x000c__x0000__x0000__x0000__x0000__x0000__x0000__x0000__x000d__x0000__x0000__x0000_"/>
      <sheetName val="QD cua HDQ²_x0000__x0000_)"/>
      <sheetName val="_x0000__x000f__x0000__x0000__x0000_‚ž½"/>
      <sheetName val="_x0000__x000d__x0000__x0000__x0000_âOŽ"/>
      <sheetName val="P210-TP20"/>
      <sheetName val="CB32"/>
      <sheetName val="CTT NuiC_x000f_eo"/>
      <sheetName val="TDT-TB?"/>
      <sheetName val="Km280 ? Km281"/>
      <sheetName val="Kluo-_x0008_ phu"/>
      <sheetName val="QD cua HDQ²_x0000__x0000_€)"/>
      <sheetName val="tt chu don"/>
      <sheetName val="DGþ"/>
      <sheetName val="QD cua "/>
      <sheetName val="PNT_QUO"/>
      <sheetName val="PNghiÖm VL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01"/>
      <sheetName val="02"/>
      <sheetName val="03"/>
      <sheetName val="04"/>
      <sheetName val="05"/>
      <sheetName val="07"/>
      <sheetName val="08"/>
      <sheetName val="nam2004"/>
      <sheetName val="Dhp+d"/>
      <sheetName val="T[ 131"/>
      <sheetName val="DC0#"/>
      <sheetName val="DC2@ï4"/>
      <sheetName val="_x000f_p m!i 284"/>
      <sheetName val="AA"/>
      <sheetName val="tuong"/>
      <sheetName val="t01.06"/>
      <sheetName val="chie԰_x0000__x0000__x0000_Ȁ_x0000_"/>
      <sheetName val="Ho la "/>
      <sheetName val="Thue NK"/>
      <sheetName val="Hang NK"/>
      <sheetName val="GS08)B.hµng"/>
      <sheetName val="chieud"/>
      <sheetName val="Tong hop ၑL48 - 2"/>
      <sheetName val="_x0000__x000a__x0000__x0000__x0000_âO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CDKTJT03"/>
      <sheetName val="Tong hnp QL47"/>
      <sheetName val="Cong baj 2x1,5"/>
      <sheetName val="nghi dinhmCP"/>
      <sheetName val="I_x0005__x0000__x0000_"/>
      <sheetName val="_x0000__x000f__x0000__x0000__x0000__x0005__x0000__x0000_"/>
      <sheetName val="CVpden trong tong"/>
      <sheetName val="5 nam (tach) x2)"/>
      <sheetName val="_x0000_۸ܪ࢈ܪ_x0000_"/>
      <sheetName val="Chi tiet"/>
      <sheetName val="HHQ2"/>
      <sheetName val="Quy I"/>
      <sheetName val="PTPQIII"/>
      <sheetName val="QuyIII"/>
      <sheetName val="Quy II"/>
      <sheetName val="Q.IV"/>
      <sheetName val="PTPQIV"/>
      <sheetName val="6TDN"/>
      <sheetName val="PTP"/>
      <sheetName val="PTPQII"/>
      <sheetName val="S2_x0000__x0000_1"/>
      <sheetName val="FUONDER TAN UYEN T12"/>
      <sheetName val=" CHIEU XA  T01"/>
      <sheetName val="ANH KHANH DONG NAI T12 (2)"/>
      <sheetName val="XANG DAU K5"/>
      <sheetName val="ANH HAI T01"/>
      <sheetName val="NAVITRAN T1"/>
      <sheetName val="VAN PHU T01"/>
      <sheetName val="DUONG BDT 11  823282ms Hao"/>
      <sheetName val="CKTANDINHT1 782346 Huong (2)"/>
      <sheetName val="UNZAT01743972- Phuong(vp) (2)"/>
      <sheetName val="LONGVANT12 759469 Ms Van (2)"/>
      <sheetName val="Cong ban 1,5_x0013_?"/>
      <sheetName val="⁋㌱Ա_x0000_䭔㌱س_x0000_䭔ㄠㄴ_x0006_牴湯⁧琠湯౧_x0000_杮楨搠湩⵨偃_x0006_匀頀ᎆ"/>
      <sheetName val="_x000d_â_x0005__x0000_"/>
      <sheetName val="_x000c__x0000__x0000__x0000__x0000__x0000__x0000__x0000__x000a__x0000__x0000__x0000_"/>
      <sheetName val="_x0000__x000a__x0000__x0000__x0000_âOŽ"/>
      <sheetName val="HNI"/>
      <sheetName val="Tong hop$Op mai"/>
      <sheetName val="bÑi_x0003_"/>
      <sheetName val="???????-BLDG"/>
      <sheetName val="⁋㌱Ա_x0000_䭔㌱س_x0000_䭔ㄠㄴ_x0006_牴湯⁧琠湯౧_x0000_杮楨搠湩⵨偃_x0006_匀䈀ᅪ"/>
      <sheetName val="Temp"/>
      <sheetName val="TO 141"/>
      <sheetName val="⁋㌱Ա_x0000_䭔㌱س_x0000_䭔ㄠㄴ_x0006_牴湯⁧琠湯౧_x0000_杮楨搠湩⵨偃_x0006_匀렀቟"/>
      <sheetName val="Tong hopQ48­1"/>
      <sheetName val="⁋㌱Ա_x0000_䭔㌱س_x0000_䭔ㄠㄴ_x0006_牴湯⁧琠湯౧_x0000_杮楨搠湩⵨偃_x0006_匀︀ᇕ"/>
      <sheetName val="XXXXX_XX"/>
      <sheetName val="DGh"/>
      <sheetName val="tra-vat-lieu"/>
      <sheetName val="XL4Toppy"/>
      <sheetName val="Op?mai 280"/>
      <sheetName val="chieud_x0005_???"/>
      <sheetName val="Op mai 2_x000c_?"/>
      <sheetName val="?bÑi_x0003_????²r_x0013_?"/>
      <sheetName val="?_x000f_???½"/>
      <sheetName val="??²r"/>
      <sheetName val="?????M pc_x0006_??CamPh??"/>
      <sheetName val="?_x000d_???âO"/>
      <sheetName val="Cong ban 1,5„—_x0013_?"/>
      <sheetName val="??"/>
      <sheetName val="gia x? may"/>
      <sheetName val="⁋㌱Ա?䭔㌱س?䭔ㄠㄴ_x0006_牴湯⁧琠湯౧?杮楨搠湩⵨偃_x0006_匀敨瑥"/>
      <sheetName val="K,uon' ph5"/>
      <sheetName val="_x000c_an #an"/>
      <sheetName val="C/c t)eu"/>
      <sheetName val="Bi%n bao"/>
      <sheetName val="Ran("/>
      <sheetName val="_x0014_ong hop_x0011_48-1"/>
      <sheetName val="Cong &quot;an 0,7x0,7"/>
      <sheetName val="Co.g b!n 0,8x0,8"/>
      <sheetName val="Con' ba. 1x1"/>
      <sheetName val="_x0003_ong ban 1x1,2"/>
      <sheetName val="baocaochi.h(q5i1.05) (DC)"/>
      <sheetName val="C4ulu/ngq.1.05"/>
      <sheetName val="_x0002_ANG PHA_x000e_ BO qui1.05(DC)"/>
      <sheetName val="B_x0001_NG PHAN BO quiII.05"/>
      <sheetName val="DG("/>
      <sheetName val="bÑi_x0003_?²r_x0013_?"/>
      <sheetName val="TK33313"/>
      <sheetName val="UK 911"/>
      <sheetName val="CEPS1"/>
      <sheetName val="Km285"/>
      <sheetName val="T±1 "/>
      <sheetName val="411"/>
      <sheetName val="632"/>
      <sheetName val="333"/>
      <sheetName val="1uÝ1"/>
      <sheetName val="TH Ky Afh"/>
      <sheetName val="KHTS_x0000__x000d_2"/>
      <sheetName val="LuÞ_x0016_gT2"/>
      <sheetName val="luongt_x0000_ang12"/>
      <sheetName val="FORM (c"/>
      <sheetName val="02.05.07"/>
      <sheetName val="03.05.07"/>
      <sheetName val="04.05.07"/>
      <sheetName val="05.05.07"/>
      <sheetName val="06.05.07"/>
      <sheetName val="07.05.07"/>
      <sheetName val="08.05.07"/>
      <sheetName val="09.05.07"/>
      <sheetName val="Ther cao "/>
      <sheetName val="152"/>
      <sheetName val="111"/>
      <sheetName val="156"/>
      <sheetName val="So NVL"/>
      <sheetName val="511"/>
      <sheetName val="Nhat ký chung"/>
      <sheetName val="So 131"/>
      <sheetName val="So 331"/>
      <sheetName val="So 133"/>
      <sheetName val="So 3331"/>
      <sheetName val="So 334"/>
      <sheetName val="So 911"/>
      <sheetName val="So 421"/>
      <sheetName val="241"/>
      <sheetName val="642"/>
      <sheetName val="[PNT-P3.xls?KQKDKT'04-1"/>
      <sheetName val="CV di ngoai tone (2)"/>
      <sheetName val="[PNT-P3.xlsMMatduong"/>
      <sheetName val="???_x0000_???_x0000_???_x0006_??????_x0000_??????_x0006_???"/>
      <sheetName val="[PNT-P3.xls]XXXXX\XX"/>
      <sheetName val="[PNT-P3.xls]C/c t)eu"/>
      <sheetName val="[PNT-P3.xls]C4ulu/ngq.1.05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u lich"/>
      <sheetName val="XXXXXX08"/>
      <sheetName val="XXXXXX09"/>
      <sheetName val="XXXXXX0A"/>
      <sheetName val="XXXXXX0B"/>
      <sheetName val="XXXXXX0C"/>
      <sheetName val="XXXXXX0D"/>
      <sheetName val="XXXXXX0E"/>
      <sheetName val="XXXXXX0F"/>
      <sheetName val="XXXXXX0G"/>
      <sheetName val="_x0000__x000f__x0000_︀ᇕ԰_x0000_缀"/>
      <sheetName val="[PNT-P3.xlsѝKQKDKTﴀ셅u淪洂"/>
      <sheetName val="GS09-chi TM"/>
      <sheetName val="_x0000__x000f__x0000__x0000__x0000_‚竈_x0013_"/>
      <sheetName val="⁋㌱Ա_x0000_䭔㌱س_x0000_䭔ㄠㄴ_x0006_牴湯⁧琠湯౧_x0000_杮楨搠湩⵨偃_x0006_匀저፺"/>
      <sheetName val="⁋㌱Ա_x0000_䭔㌱س_x0000_䭔ㄠㄴ_x0006_牴湯⁧琠湯౧_x0000_杮楨搠湩⵨偃_x0006_匀㠀ᎍ"/>
      <sheetName val="_x0000__x000f__x0000__x0000__x0000_‚헾】"/>
      <sheetName val="⁋㌱Ա_x0000_䭔㌱س_x0000_䭔ㄠㄴ_x0006_牴湯⁧琠湯౧_x0000_杮楨搠湩⵨偃_x0006_匀ࠀ╵"/>
      <sheetName val="⁋㌱Ա_x0000_䭔㌱س_x0000_䭔ㄠㄴ_x0006_牴湯⁧琠湯౧_x0000_杮楨搠湩⵨偃_x0006_匀렀፶"/>
      <sheetName val="⁋㌱Ա_x0000_䭔㌱س_x0000_䭔ㄠㄴ_x0006_牴湯⁧琠湯౧_x0000_杮楨搠湩⵨偃_x0006_匀԰_x0000_"/>
      <sheetName val="⁋㌱Ա_x0000_䭔㌱س_x0000_䭔ㄠㄴ_x0006_牴湯⁧琠湯౧_x0000_杮楨搠湩⵨偃_x0006_匀㠀Ẅ"/>
      <sheetName val="⁋㌱Ա_x0000_䭔㌱س_x0000_䭔ㄠㄴ_x0006_牴湯⁧琠湯౧_x0000_杮楨搠湩⵨偃_x0006_匀᥸"/>
      <sheetName val="⁋㌱Ա_x0000_䭔㌱س_x0000_䭔ㄠㄴ_x0006_牴湯⁧琠湯౧_x0000_杮楨搠湩⵨偃_x0006_匀栀ṵ"/>
      <sheetName val="⁋㌱Ա_x0000_䭔㌱س_x0000_䭔ㄠㄴ_x0006_牴湯⁧琠湯౧_x0000_杮楨搠湩⵨偃_x0006_匀︀㗕"/>
      <sheetName val="⁋㌱Ա_x0000_䭔㌱س_x0000_䭔ㄠㄴ_x0006_牴湯⁧琠湯౧_x0000_杮楨搠湩⵨偃_x0006_匀栀▆"/>
      <sheetName val="⁋㌱Ա_x0000_䭔㌱س_x0000_䭔ㄠㄴ_x0006_牴湯⁧琠湯౧_x0000_杮楨搠湩⵨偃_x0006_匀╿"/>
      <sheetName val="_x000c__x0000__x0000__x0000__x0000__x0000__x0000__x0000__x000d__x0000__x0000_Õ"/>
      <sheetName val="GO THUAN AN T 01 784026 (2)"/>
      <sheetName val="COMPOSIITE SAI SON T 1(2)"/>
      <sheetName val="PEMARAT01 (2)"/>
      <sheetName val="SYSTEMT1 780851-Ms thao (2)"/>
      <sheetName val="PUKYONG T1"/>
      <sheetName val="ASIAPAINT T11"/>
      <sheetName val="SEUNGBO T11 782173 Ms Suong (2)"/>
      <sheetName val="KONICAT12(2)"/>
      <sheetName val=" CHAN NUOIT12750622 Ms Tinh (2)"/>
      <sheetName val="NS t01784465 Ms quyen (2)"/>
      <sheetName val="POMINAT01  (2)"/>
      <sheetName val="COTTOT01 711018 Ms nuong (2)"/>
      <sheetName val="SuBINHDUONGT 01 "/>
      <sheetName val="bÑi_x0003__x0000_²r_x0013_"/>
      <sheetName val="bÑi_x0003__x0000_²r_x0013_("/>
      <sheetName val="_x0000__x000f__x0000__x0000__x0000_‚眨,"/>
      <sheetName val="_x0000__x000f__x0000__x0000__x0000_‚禈."/>
      <sheetName val="bÑi_x0003__x0000_²r_x0013_"/>
      <sheetName val="gìIÏÝ_x001c_齘_x0013_龜저ងఀ"/>
      <sheetName val="_x0000__x000f__x0000__x0000__x0000_‚稸1"/>
      <sheetName val="gìIÏÝ_x001c_齘_x0013_龜저ᥲఀ"/>
      <sheetName val="CDÕTKT2002"/>
      <sheetName val="⁋㌱Ա_x0000_䭔㌱س_x0000_䭔ㄠㄴ_x0006_牴湯⁧琠湯౧_x0000_杮楨搠湩⵨偃_x0006_匀렀⪈"/>
      <sheetName val="⁋㌱Ա_x0000_䭔㌱س_x0000_䭔ㄠㄴ_x0006_牴湯⁧琠湯౧_x0000_杮楨搠湩⵨偃_x0006_匀⠀⩶"/>
      <sheetName val="⁋㌱Ա_x0000_䭔㌱س_x0000_䭔ㄠㄴ_x0006_牴湯⁧琠湯౧_x0000_杮楨搠湩⵨偃_x0006_匀⎅"/>
      <sheetName val="⁋㌱Ա_x0000_䭔㌱س_x0000_䭔ㄠㄴ_x0006_牴湯⁧琠湯౧_x0000_杮楨搠湩⵨偃_x0006_匀᠀⍺"/>
      <sheetName val="⁋㌱Ա_x0000_䭔㌱س_x0000_䭔ㄠㄴ_x0006_牴湯⁧琠湯౧_x0000_杮楨搠湩⵨偃_x0006_匀ࠀ⩷"/>
      <sheetName val="QUY IV _x0005__x0000_"/>
      <sheetName val="p"/>
      <sheetName val="KHTS"/>
      <sheetName val="co_x0005__x0000__x0000__x0000_"/>
      <sheetName val="Tong hop Mctduong"/>
      <sheetName val="KHTS?_x000d_2"/>
      <sheetName val="⁋㌱Ա_x0000_䭔㌱س_x0000_䭔ㄠㄴ_x0006_牴湯⁧琠湯౧_x0000_杮楨搠湩⵨偃_x0006_匀㠀䂅"/>
      <sheetName val="_x0000__x000f__x0000_䠀᡿谀᡿︀"/>
      <sheetName val="chie԰???Ȁ?"/>
      <sheetName val="_x000c_???????_x000d_???"/>
      <sheetName val="?_x000f_???‚ž½"/>
      <sheetName val="?_x000d_???âOŽ"/>
      <sheetName val="I_x0005_??"/>
      <sheetName val="S2??1"/>
      <sheetName val="TH  goi _x0014_-x"/>
      <sheetName val="_x0000__x0000_di trong  tong"/>
      <sheetName val="Monthly production actual"/>
      <sheetName val="P201-TP20"/>
      <sheetName val="[PNT-P3.xls][PNT-P3.xls]XXXXX\X"/>
      <sheetName val="Tkng hop QL48 - 2"/>
      <sheetName val="MHET1 784028 lan anh (2)"/>
      <sheetName val="⁋㌱Ա_x0000_䭔㌱س_x0000_䭔ㄠㄴ_x0006_牴湯⁧琠湯౧_x0000_杮楨搠湩_x0005__x0000__x0000__x0000__x0000_"/>
      <sheetName val="t_x0000_1-01"/>
      <sheetName val="So_Do"/>
      <sheetName val="KTTSCD_-_DLNA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_7"/>
      <sheetName val="T_8"/>
      <sheetName val="T8_(2)"/>
      <sheetName val="T_9"/>
      <sheetName val="T_10"/>
      <sheetName val="T_11"/>
      <sheetName val="T_12"/>
      <sheetName val="T11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K_154"/>
      <sheetName val="TK_632"/>
      <sheetName val="5_nam_(tach)"/>
      <sheetName val="5_nam_(tach)_(2)"/>
      <sheetName val="KH_2003"/>
      <sheetName val="Km277_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_Ky_Anh"/>
      <sheetName val="Sheet2_(2)"/>
      <sheetName val="TH__goi_4-x"/>
      <sheetName val="tæng_hîp"/>
      <sheetName val="GS01-chi_TM"/>
      <sheetName val="GS02-thu_TM"/>
      <sheetName val="PFT_QUOT__3"/>
      <sheetName val="khung ten TD"/>
      <sheetName val="\NT1MC"/>
      <sheetName val="GS10-lai t)en vay"/>
      <sheetName val="Km278 - Jm279"/>
      <sheetName val="Chi tiet don 'ia khoi phuc"/>
      <sheetName val="XNT2_x000d_C"/>
      <sheetName val="Shee46"/>
      <sheetName val="X_x000c_4Poppy"/>
      <sheetName val="CV den ng/ai TCT (3)"/>
      <sheetName val="[PNT-P3.xls][PNT-P3.xls][PNT-P3"/>
      <sheetName val="DS"/>
      <sheetName val="_x000f_?½"/>
      <sheetName val="M pc_x0006_?CamPh?"/>
      <sheetName val="Toan tinh"/>
      <sheetName val="phan loai"/>
      <sheetName val="ty le"/>
      <sheetName val="DBP"/>
      <sheetName val="DB"/>
      <sheetName val="LC"/>
      <sheetName val="TG"/>
      <sheetName val="PT"/>
      <sheetName val="MT"/>
      <sheetName val="DBD"/>
      <sheetName val="SH"/>
      <sheetName val="ML"/>
      <sheetName val="TC"/>
      <sheetName val="Tinh khac"/>
      <sheetName val="Phan theo huyen"/>
      <sheetName val="Sheet17"/>
      <sheetName val="Sheet18"/>
      <sheetName val="Sheet19"/>
      <sheetName val="Sheet20"/>
      <sheetName val="Sheet21"/>
      <sheetName val="Sheet22"/>
      <sheetName val="Èoasen"/>
      <sheetName val="_PNT-P3.xlsUTong hop (2)"/>
      <sheetName val="_PNT-P3.xlsUKm279 - Km280"/>
      <sheetName val="Op"/>
      <sheetName val="_PNT-P3.xlsѝKQKDKT'04-1"/>
      <sheetName val="CV den trong to_g"/>
      <sheetName val="_0000000"/>
      <sheetName val="__-BLDG"/>
      <sheetName val="gia x"/>
      <sheetName val="K_284"/>
      <sheetName val="_ong hop QL48 - 2"/>
      <sheetName val="⁋㌱Ա"/>
      <sheetName val="PDcua TGD"/>
      <sheetName val="CV di ngoai tnng (2)"/>
      <sheetName val="Tk triNh"/>
      <sheetName val="Gian nhiem vu"/>
      <sheetName val="QD!ua TGD (2)"/>
      <sheetName val="CV den_x0000_trong tong"/>
      <sheetName val="Tuongcha."/>
      <sheetName val="Km27_x0015_"/>
      <sheetName val="5 lam (tach) (2)"/>
      <sheetName val="TK 134"/>
      <sheetName val="KHTSBD2"/>
      <sheetName val="CDKTKD03"/>
      <sheetName val="KPKDKT'03-1"/>
      <sheetName val="_x0000__x000a__x0000__x0000__x0000_âO԰"/>
      <sheetName val="Cong ban _x0000_ _x0000__x0004__x0000__x0003_"/>
      <sheetName val="Cong ban_x0009__x0000__x0009__x0000__x0004__x0000__x0003_"/>
      <sheetName val="_x0005_"/>
      <sheetName val="_x000c_"/>
      <sheetName val="QD cua HDQ²"/>
      <sheetName val="chie԰"/>
      <sheetName val="S2"/>
      <sheetName val="_x000f_"/>
      <sheetName val="M pc_x0006_"/>
      <sheetName val="luongt"/>
      <sheetName val="???"/>
      <sheetName val="chieuda"/>
      <sheetName val="⁋㌱Ա_x0000_䭔㌱س_x0000_䭔ㄠㄴ_x0006_牴湯⁧琠湯౧_x0000_杮楨搠湩⵨偃_x0006_匀뀀콙"/>
      <sheetName val="IBASE"/>
      <sheetName val="7 nam (tach)"/>
      <sheetName val="KQKD02-0 (2)"/>
      <sheetName val="KH&quot;2003"/>
      <sheetName val="Tuongchah"/>
      <sheetName val="Km2:4"/>
      <sheetName val="TK 931"/>
      <sheetName val="CDKP"/>
      <sheetName val="TDT-TB_"/>
      <sheetName val="Km280 _ Km281"/>
      <sheetName val="T_ 131"/>
      <sheetName val="Cong ban 1,5_x0013__"/>
      <sheetName val="_______-BLDG"/>
      <sheetName val="Op_mai 280"/>
      <sheetName val="chieud_x0005____"/>
      <sheetName val="Op mai 2_x000c__"/>
      <sheetName val="_bÑi_x0003_____²r_x0013__"/>
      <sheetName val="__x000f____½"/>
      <sheetName val="__²r"/>
      <sheetName val="_____M pc_x0006___CamPh__"/>
      <sheetName val="__x000d____âO"/>
      <sheetName val="Cong ban 1,5„—_x0013__"/>
      <sheetName val="__"/>
      <sheetName val="gia x_ may"/>
      <sheetName val="⁋㌱Ա_䭔㌱س_䭔ㄠㄴ_x0006_牴湯⁧琠湯౧_杮楨搠湩⵨偃_x0006_匀敨瑥"/>
      <sheetName val="C_c t)eu"/>
      <sheetName val="C4ulu_ngq.1.05"/>
      <sheetName val="_âO"/>
      <sheetName val="_âOŽ"/>
      <sheetName val="luongt?ang12"/>
      <sheetName val="?_x000a_???âO"/>
      <sheetName val="_x000c_???????_x000a_???"/>
      <sheetName val="QD cua HDQ²??)"/>
      <sheetName val="?_x000a_???âOŽ"/>
      <sheetName val="QD cua HDQ²??€)"/>
      <sheetName val="_x0000__x000f__x0000__x0000__x0000_‚嫌_x001a_"/>
      <sheetName val="41¹"/>
      <sheetName val="Cong ban`1,5x1,5"/>
      <sheetName val="gia!he1"/>
      <sheetName val="k angluc"/>
      <sheetName val="giai he  "/>
      <sheetName val="CC@S03"/>
      <sheetName val="_x000f_?‚ž½"/>
      <sheetName val="_x000c_?_x000d_"/>
      <sheetName val="_x000c_?_x000a_"/>
      <sheetName val="M pc_x0006__x0000_CamPhþ"/>
      <sheetName val="chieuday"/>
      <sheetName val="TK42ı"/>
      <sheetName val="tÿ-01"/>
      <sheetName val="SoCaiT_x0000_"/>
      <sheetName val="⁋㌱Ա_x0000_䭔㌱س_x0000_䭔ㄠㄴ_x0006_牴湯⁧琠湯౧_x0000_杮楨搠湩_x0005__x0000__x0000__x0000_타_x0012_"/>
      <sheetName val="Cong ban "/>
      <sheetName val="t"/>
      <sheetName val="CV den"/>
      <sheetName val="[PNT-P3.xls][PNT-P3.xls]C/c t)e"/>
      <sheetName val="[PNT-P3.xls][PNT-P3.xls]C4ulu/n"/>
      <sheetName val="7 THAI NGUYEN"/>
      <sheetName val="gia԰_x0000__x0000__x0000_"/>
      <sheetName val="_x0000__x000f__x0000__x0000__x0000_‚ž興"/>
      <sheetName val="Np mai 280"/>
      <sheetName val="Thu hồi cá nhân"/>
      <sheetName val="UNZA(xuong)T11743972 phuong (2)"/>
      <sheetName val="JEBSENT12(2)"/>
      <sheetName val="KIKIT1 784453Ms Chau  (2)"/>
      <sheetName val="ASEFOODT 01(vp) (2)"/>
      <sheetName val="NAMKIMT12  MS (2)"/>
      <sheetName val="KORYOT T 12 (2)"/>
      <sheetName val="NHAT DONG T1 817035 msDung (2)"/>
      <sheetName val=" COMPASST 01784933 ms Dung (2)"/>
      <sheetName val="HA LONG T12(2)"/>
      <sheetName val="MBT T01 (2)"/>
      <sheetName val="CLARIAN T1 (2)"/>
      <sheetName val="URCT 1 767025 Ms Mai (2)"/>
      <sheetName val="bao cao t 01 (2)"/>
      <sheetName val="VISON T 01(2)"/>
      <sheetName val="178 t 12"/>
      <sheetName val="Be tong 620 t01"/>
      <sheetName val="XE DAP T1"/>
      <sheetName val="WAY WAY T01"/>
      <sheetName val="DON VI K5 T01"/>
      <sheetName val="ETECH VINA T1"/>
      <sheetName val="MINH DUONG T11"/>
      <sheetName val="EVERICH T01"/>
      <sheetName val="DAILYMANY T01"/>
      <sheetName val="UNITED GARMENT T11"/>
      <sheetName val="HA PHAT T1"/>
      <sheetName val="CA PHE MIEN BAC T1"/>
      <sheetName val="THEO DOI SO XERI T11"/>
      <sheetName val="ILJUNG T12"/>
      <sheetName val="LIENHIEP T12"/>
      <sheetName val="buu chinh binh duong t12"/>
      <sheetName val="TSUCHIYA TSCO T12"/>
      <sheetName val="B-TECH T12"/>
      <sheetName val="MY DUNG T1 (WTJ)"/>
      <sheetName val="HSIANG JIUH T1"/>
      <sheetName val="VIET HONG T12"/>
      <sheetName val="SHUAN HWA T01"/>
      <sheetName val="KHAI HONG T12"/>
      <sheetName val="ANH LY DONG NAI T01"/>
      <sheetName val="THEP VIET T01"/>
      <sheetName val="BUU CHINH BINH T11 (2)"/>
      <sheetName val="Cong ɢan 0,7x0,7"/>
      <sheetName val="10.05.07"/>
      <sheetName val="11.05.07"/>
      <sheetName val="12.05.07"/>
      <sheetName val="14.05.07"/>
      <sheetName val="15.05.07"/>
      <sheetName val="16.05.07"/>
      <sheetName val="17.05.07"/>
      <sheetName val="18.05.07"/>
      <sheetName val="19.05.07"/>
      <sheetName val="21.05.07"/>
      <sheetName val="22.05.07"/>
      <sheetName val="23.05.07"/>
      <sheetName val="24.05.07"/>
      <sheetName val="25.05.07"/>
      <sheetName val="26.05.07"/>
      <sheetName val="28.05.07"/>
      <sheetName val="29.05.07"/>
      <sheetName val="30.05.07"/>
      <sheetName val="31.05.07"/>
      <sheetName val="Luong"/>
      <sheetName val="BD"/>
      <sheetName val="Gia_GC_Satthep"/>
      <sheetName val="_x0003_hah"/>
      <sheetName val="_x0003_ha_x0000_"/>
      <sheetName val="_x0003_haÖ"/>
      <sheetName val="TNghiÖm VD"/>
      <sheetName val="KHTS_x0000__x000a_2"/>
      <sheetName val="_x0000__x000f__x0000__x0000__x0000_‚_x0000__x0000_"/>
      <sheetName val="_x0000__x000f__x0000__x0000__x0000_‚_x0010__x0000_"/>
      <sheetName val="Cong ban 0,7p0,_x0005_"/>
      <sheetName val="Data"/>
      <sheetName val="Nov19 Plan"/>
      <sheetName val="xnt 1ãµP"/>
      <sheetName val="bÑi_x0003__x0000_²r_x0013_¸"/>
      <sheetName val="bÑi_x0003__x0000_²r_x0013__x0005_"/>
      <sheetName val="bÑi_x0003__x0000_²r_x0013_X"/>
      <sheetName val="20_x0000__x0000__x0000__x0000__x0000__x0000__x0000__x0000__x0000__x0000__x0000_瀐ϔ_x0000__x0004__x0000__x0000__x0000__x0000__x0000__x0000_좔ϑ_x0000__x0000__x0000__x0000__x0000__x0000_"/>
      <sheetName val="QHC Ha Noi11.3.2010_Thang"/>
      <sheetName val="Cm276 - Ke277"/>
      <sheetName val="bÑi_x0003__²r_x0013__"/>
      <sheetName val="_PNT-P3.xls_KQKDKT'04-1"/>
      <sheetName val="_PNT-P3.xlsMMatduong"/>
      <sheetName val="___"/>
      <sheetName val="_PNT-P3.xls_XXXXX_XX"/>
      <sheetName val="_PNT-P3.xls_C_c t)eu"/>
      <sheetName val="_PNT-P3.xls_C4ulu_ngq.1.05"/>
      <sheetName val="_PNT-P3.xlsѝKQKDKTﴀ셅u淪洂"/>
      <sheetName val="KHTS__x000d_2"/>
      <sheetName val="chie԰___Ȁ_"/>
      <sheetName val="_x000c_________x000d____"/>
      <sheetName val="__x000f____‚ž½"/>
      <sheetName val="__x000d____âOŽ"/>
      <sheetName val="I_x0005___"/>
      <sheetName val="S2__1"/>
      <sheetName val="_PNT-P3.xls__PNT-P3.xls_XXXXX_X"/>
      <sheetName val="_NT1MC"/>
      <sheetName val="CV den ng_ai TCT (3)"/>
      <sheetName val="_PNT-P3.xls__PNT-P3.xls__PNT-P3"/>
      <sheetName val="_x000f__½"/>
      <sheetName val="M pc_x0006__CamPh_"/>
      <sheetName val="Km2_4"/>
      <sheetName val="luongt_ang12"/>
      <sheetName val="_____âO"/>
      <sheetName val="_x000c____________"/>
      <sheetName val="QD cua HDQ²__)"/>
      <sheetName val="_____âOŽ"/>
      <sheetName val="QD cua HDQ²__€)"/>
      <sheetName val="_x000f__‚ž½"/>
      <sheetName val="_x000c___x000d_"/>
      <sheetName val="_x000c___"/>
      <sheetName val="_x0000__x0000_"/>
      <sheetName val="Cong ban 1,5_x0013_"/>
      <sheetName val="bÑi_x0003__x0000_²r_x0013__x0000_"/>
      <sheetName val="_x000f__x0000_½"/>
      <sheetName val="M pc_x0006__x0000_CamPh_x0000_"/>
      <sheetName val="_x000d_âO"/>
      <sheetName val="Op mai 2_x000c_"/>
      <sheetName val="_x000f__x0000_‚ž½"/>
      <sheetName val="_x000d_âOŽ"/>
      <sheetName val="_x000c__x0000__x000d_"/>
      <sheetName val="Cong ban 1,5„—_x0013_"/>
      <sheetName val="_x000a_âO"/>
      <sheetName val="_x000c__x0000__x000a_"/>
      <sheetName val="_x000a_âOŽ"/>
      <sheetName val="chieud_x0005_"/>
      <sheetName val="_x000d_â_x0005_"/>
      <sheetName val="I_x0005_"/>
      <sheetName val="QUY IV _x0005_"/>
      <sheetName val="co_x0005_"/>
      <sheetName val="SoCaiT"/>
      <sheetName val="Opmai 280"/>
      <sheetName val="M pc_x0006_CamPh"/>
      <sheetName val="gia x may"/>
      <sheetName val="_x000c__x000d_"/>
      <sheetName val="_x000c__x000a_"/>
      <sheetName val="_x000f__x0005_"/>
      <sheetName val="KHTS_x000d_2"/>
      <sheetName val="luongtang12"/>
      <sheetName val="?????????_x0006_????????????_x0006_???"/>
      <sheetName val="_x000f_︀ᇕ԰缀"/>
      <sheetName val="_x000f_‚竈_x0013_"/>
      <sheetName val="_x000f_‚헾】"/>
      <sheetName val="_x000c__x000d_Õ"/>
      <sheetName val="_x000f_‚眨,"/>
      <sheetName val="_x000f_‚禈."/>
      <sheetName val="_x000f_‚稸1"/>
      <sheetName val="_x000f_䠀᡿谀᡿︀"/>
      <sheetName val="t1-01"/>
      <sheetName val="CV dentrong tong"/>
      <sheetName val="_x000a_âO԰"/>
      <sheetName val="Cong ban  _x0004__x0003_"/>
      <sheetName val="_x000f_‚嫌_x001a_"/>
      <sheetName val="M pc_x0006_CamPhþ"/>
      <sheetName val="_x000f_‚ž興"/>
      <sheetName val="gia԰"/>
      <sheetName val="Du_lie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/>
      <sheetData sheetId="255"/>
      <sheetData sheetId="256" refreshError="1"/>
      <sheetData sheetId="257"/>
      <sheetData sheetId="258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/>
      <sheetData sheetId="297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/>
      <sheetData sheetId="405"/>
      <sheetData sheetId="406" refreshError="1"/>
      <sheetData sheetId="407" refreshError="1"/>
      <sheetData sheetId="408"/>
      <sheetData sheetId="409"/>
      <sheetData sheetId="410"/>
      <sheetData sheetId="411" refreshError="1"/>
      <sheetData sheetId="412" refreshError="1"/>
      <sheetData sheetId="413"/>
      <sheetData sheetId="414"/>
      <sheetData sheetId="415"/>
      <sheetData sheetId="416"/>
      <sheetData sheetId="417" refreshError="1"/>
      <sheetData sheetId="418"/>
      <sheetData sheetId="419" refreshError="1"/>
      <sheetData sheetId="420" refreshError="1"/>
      <sheetData sheetId="42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 refreshError="1"/>
      <sheetData sheetId="439"/>
      <sheetData sheetId="440" refreshError="1"/>
      <sheetData sheetId="441" refreshError="1"/>
      <sheetData sheetId="442"/>
      <sheetData sheetId="443" refreshError="1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 refreshError="1"/>
      <sheetData sheetId="455"/>
      <sheetData sheetId="456"/>
      <sheetData sheetId="457"/>
      <sheetData sheetId="458" refreshError="1"/>
      <sheetData sheetId="459" refreshError="1"/>
      <sheetData sheetId="460" refreshError="1"/>
      <sheetData sheetId="461" refreshError="1"/>
      <sheetData sheetId="462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 refreshError="1"/>
      <sheetData sheetId="479" refreshError="1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/>
      <sheetData sheetId="487"/>
      <sheetData sheetId="488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 refreshError="1"/>
      <sheetData sheetId="497" refreshError="1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 refreshError="1"/>
      <sheetData sheetId="519"/>
      <sheetData sheetId="520"/>
      <sheetData sheetId="52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/>
      <sheetData sheetId="583"/>
      <sheetData sheetId="584"/>
      <sheetData sheetId="585"/>
      <sheetData sheetId="586" refreshError="1"/>
      <sheetData sheetId="587" refreshError="1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/>
      <sheetData sheetId="620"/>
      <sheetData sheetId="62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 refreshError="1"/>
      <sheetData sheetId="636" refreshError="1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 refreshError="1"/>
      <sheetData sheetId="661" refreshError="1"/>
      <sheetData sheetId="662" refreshError="1"/>
      <sheetData sheetId="663" refreshError="1"/>
      <sheetData sheetId="664"/>
      <sheetData sheetId="665" refreshError="1"/>
      <sheetData sheetId="666" refreshError="1"/>
      <sheetData sheetId="667"/>
      <sheetData sheetId="668"/>
      <sheetData sheetId="669"/>
      <sheetData sheetId="670"/>
      <sheetData sheetId="671"/>
      <sheetData sheetId="672" refreshError="1"/>
      <sheetData sheetId="673" refreshError="1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 refreshError="1"/>
      <sheetData sheetId="685" refreshError="1"/>
      <sheetData sheetId="686"/>
      <sheetData sheetId="687" refreshError="1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/>
      <sheetData sheetId="699"/>
      <sheetData sheetId="700" refreshError="1"/>
      <sheetData sheetId="701"/>
      <sheetData sheetId="702" refreshError="1"/>
      <sheetData sheetId="703"/>
      <sheetData sheetId="704"/>
      <sheetData sheetId="705" refreshError="1"/>
      <sheetData sheetId="706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 refreshError="1"/>
      <sheetData sheetId="718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/>
      <sheetData sheetId="777" refreshError="1"/>
      <sheetData sheetId="778" refreshError="1"/>
      <sheetData sheetId="779"/>
      <sheetData sheetId="780"/>
      <sheetData sheetId="781" refreshError="1"/>
      <sheetData sheetId="782"/>
      <sheetData sheetId="783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/>
      <sheetData sheetId="835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/>
      <sheetData sheetId="987"/>
      <sheetData sheetId="988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/>
      <sheetData sheetId="1043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/>
      <sheetData sheetId="1057"/>
      <sheetData sheetId="1058"/>
      <sheetData sheetId="1059"/>
      <sheetData sheetId="1060"/>
      <sheetData sheetId="1061" refreshError="1"/>
      <sheetData sheetId="1062" refreshError="1"/>
      <sheetData sheetId="1063" refreshError="1"/>
      <sheetData sheetId="1064" refreshError="1"/>
      <sheetData sheetId="1065"/>
      <sheetData sheetId="1066" refreshError="1"/>
      <sheetData sheetId="1067" refreshError="1"/>
      <sheetData sheetId="1068" refreshError="1"/>
      <sheetData sheetId="1069" refreshError="1"/>
      <sheetData sheetId="1070"/>
      <sheetData sheetId="1071" refreshError="1"/>
      <sheetData sheetId="1072"/>
      <sheetData sheetId="1073" refreshError="1"/>
      <sheetData sheetId="1074"/>
      <sheetData sheetId="1075"/>
      <sheetData sheetId="1076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/>
      <sheetData sheetId="1094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/>
      <sheetData sheetId="1131"/>
      <sheetData sheetId="1132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/>
      <sheetData sheetId="1155"/>
      <sheetData sheetId="1156" refreshError="1"/>
      <sheetData sheetId="1157"/>
      <sheetData sheetId="1158"/>
      <sheetData sheetId="1159"/>
      <sheetData sheetId="1160"/>
      <sheetData sheetId="1161" refreshError="1"/>
      <sheetData sheetId="1162" refreshError="1"/>
      <sheetData sheetId="1163" refreshError="1"/>
      <sheetData sheetId="1164" refreshError="1"/>
      <sheetData sheetId="1165"/>
      <sheetData sheetId="1166" refreshError="1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/>
      <sheetData sheetId="1175"/>
      <sheetData sheetId="1176"/>
      <sheetData sheetId="1177"/>
      <sheetData sheetId="1178"/>
      <sheetData sheetId="1179" refreshError="1"/>
      <sheetData sheetId="1180" refreshError="1"/>
      <sheetData sheetId="1181"/>
      <sheetData sheetId="1182"/>
      <sheetData sheetId="1183"/>
      <sheetData sheetId="1184"/>
      <sheetData sheetId="1185"/>
      <sheetData sheetId="1186" refreshError="1"/>
      <sheetData sheetId="1187" refreshError="1"/>
      <sheetData sheetId="1188" refreshError="1"/>
      <sheetData sheetId="1189"/>
      <sheetData sheetId="1190"/>
      <sheetData sheetId="1191"/>
      <sheetData sheetId="1192"/>
      <sheetData sheetId="1193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/>
      <sheetData sheetId="1215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 refreshError="1"/>
      <sheetData sheetId="1290" refreshError="1"/>
      <sheetData sheetId="1291"/>
      <sheetData sheetId="1292"/>
      <sheetData sheetId="1293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/>
      <sheetData sheetId="1300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/>
      <sheetData sheetId="1362"/>
      <sheetData sheetId="1363"/>
      <sheetData sheetId="1364" refreshError="1"/>
      <sheetData sheetId="1365" refreshError="1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/>
      <sheetData sheetId="1381" refreshError="1"/>
      <sheetData sheetId="1382" refreshError="1"/>
      <sheetData sheetId="1383"/>
      <sheetData sheetId="138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Du tnan chi tiet coc nuoc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thaß26"/>
      <sheetName val="FORM jc"/>
      <sheetName val="TNghiÖ- VL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_x0000__x0000_"/>
      <sheetName val="Cong ban 1,5_x0013_"/>
      <sheetName val="bÑi_x0003__x0000_²r_x0013__x0000_"/>
      <sheetName val="_x000f__x0000_½"/>
      <sheetName val="CT.XF1"/>
      <sheetName val="DG "/>
      <sheetName val="M pc_x0006__x0000_CamPh_x0000_"/>
      <sheetName val="_x000d_âO"/>
      <sheetName val="I"/>
      <sheetName val="PNT-P3"/>
      <sheetName val="GS11- tÝnh KH_x0014_SC§"/>
      <sheetName val="DŃ02"/>
      <sheetName val="XXXXX_XX"/>
      <sheetName val="QD cua "/>
      <sheetName val="_x000c__x0000__x0000__x0000__x0000__x0000__x0000__x0000__x000d__x0000__x0000__x0000_"/>
      <sheetName val="_x0000__x000f__x0000__x0000__x0000_‚ž½"/>
      <sheetName val="Temp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01"/>
      <sheetName val="02"/>
      <sheetName val="03"/>
      <sheetName val="04"/>
      <sheetName val="05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u lich"/>
      <sheetName val="XXXXXX08"/>
      <sheetName val="XXXXXX09"/>
      <sheetName val="XXXXXX0A"/>
      <sheetName val="XXXXXX0B"/>
      <sheetName val="XXXXXX0C"/>
      <sheetName val="XXXXXX0D"/>
      <sheetName val="XXXXXX0E"/>
      <sheetName val="XXXXXX0F"/>
      <sheetName val="XXXXXX0G"/>
      <sheetName val="DC2@ï4"/>
      <sheetName val="T[ 131"/>
      <sheetName val="Op"/>
      <sheetName val="gia x"/>
      <sheetName val="⁋㌱Ա"/>
      <sheetName val="chieud_x0005_"/>
      <sheetName val="Op mai 2_x000c_"/>
      <sheetName val="Cong ban 1,5„—_x0013_"/>
      <sheetName val="TDT-TB?"/>
      <sheetName val="I_x0005__x0000__x0000_"/>
      <sheetName val="GS08)B.hµng"/>
      <sheetName val="QUY IV _x0005__x0000_"/>
      <sheetName val="Cong baj 2x1,5"/>
      <sheetName val="CDKTJT03"/>
      <sheetName val="Tong hnp QL47"/>
      <sheetName val="Thue NK"/>
      <sheetName val="Hang NK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tuong"/>
      <sheetName val="Ho la "/>
      <sheetName val="chie԰_x0000__x0000__x0000_Ȁ_x0000_"/>
      <sheetName val="S2_x0000__x0000_1"/>
      <sheetName val="t01.06"/>
      <sheetName val="bÑi_x0003_"/>
      <sheetName val="_x000f_"/>
      <sheetName val="M pc_x0006_"/>
      <sheetName val="nghi dinhmCP"/>
      <sheetName val="CVpden trong tong"/>
      <sheetName val="5 nam (tach) x2)"/>
      <sheetName val="_x0014_M01"/>
      <sheetName val="QD cua HDQ²_x0000__x0000_)"/>
      <sheetName val="_x0000__x000d__x0000__x0000__x0000_âOŽ"/>
      <sheetName val="P210-TP20"/>
      <sheetName val="CB32"/>
      <sheetName val="CTT NuiC_x000f_eo"/>
      <sheetName val="Km280 ? Km281"/>
      <sheetName val="Kluo-_x0008_ phu"/>
      <sheetName val="QD cua HDQ²_x0000__x0000_€)"/>
      <sheetName val="tt chu don"/>
      <sheetName val="nam2004"/>
      <sheetName val="Dhp+d"/>
      <sheetName val="DC0#"/>
      <sheetName val="_x000f_p m!i 284"/>
      <sheetName val="AA"/>
      <sheetName val="PNT_QUO"/>
      <sheetName val="PNghiÖm VL"/>
      <sheetName val="DGþ"/>
      <sheetName val="chieud"/>
      <sheetName val="Tong hop ၑL48 - 2"/>
      <sheetName val="_x0000__x000a__x0000__x0000__x0000_âO"/>
      <sheetName val="_x0000__x000f__x0000__x0000__x0000__x0005__x0000__x0000_"/>
      <sheetName val="_x0000_۸ܪ࢈ܪ_x0000_"/>
      <sheetName val="Chi tiet"/>
      <sheetName val="HHQ2"/>
      <sheetName val="Quy I"/>
      <sheetName val="PTPQIII"/>
      <sheetName val="QuyIII"/>
      <sheetName val="Quy II"/>
      <sheetName val="Q.IV"/>
      <sheetName val="PTPQIV"/>
      <sheetName val="6TDN"/>
      <sheetName val="PTP"/>
      <sheetName val="PTPQII"/>
      <sheetName val="FUONDER TAN UYEN T12"/>
      <sheetName val=" CHIEU XA  T01"/>
      <sheetName val="ANH KHANH DONG NAI T12 (2)"/>
      <sheetName val="XANG DAU K5"/>
      <sheetName val="ANH HAI T01"/>
      <sheetName val="NAVITRAN T1"/>
      <sheetName val="VAN PHU T01"/>
      <sheetName val="DUONG BDT 11  823282ms Hao"/>
      <sheetName val="CKTANDINHT1 782346 Huong (2)"/>
      <sheetName val="UNZAT01743972- Phuong(vp) (2)"/>
      <sheetName val="LONGVANT12 759469 Ms Van (2)"/>
      <sheetName val="Cong ban 1,5_x0013_?"/>
      <sheetName val="DGh"/>
      <sheetName val="_x000c__x0000__x0000__x0000__x0000__x0000__x0000__x0000__x000a__x0000__x0000__x0000_"/>
      <sheetName val="_x0000__x000a__x0000__x0000__x0000_âOŽ"/>
      <sheetName val="HNI"/>
      <sheetName val="Tong hop$Op mai"/>
      <sheetName val="???????-BLDG"/>
      <sheetName val="Tong hopQ48­1"/>
      <sheetName val="tra-vat-lieu"/>
      <sheetName val="XL4Toppy"/>
      <sheetName val="TO 141"/>
      <sheetName val="Op?mai 280"/>
      <sheetName val="chieud_x0005_???"/>
      <sheetName val="Op mai 2_x000c_?"/>
      <sheetName val="?bÑi_x0003_????²r_x0013_?"/>
      <sheetName val="?_x000f_???½"/>
      <sheetName val="??²r"/>
      <sheetName val="?????M pc_x0006_??CamPh??"/>
      <sheetName val="?_x000d_???âO"/>
      <sheetName val="Cong ban 1,5„—_x0013_?"/>
      <sheetName val="??"/>
      <sheetName val="gia x? may"/>
      <sheetName val="⁋㌱Ա?䭔㌱س?䭔ㄠㄴ_x0006_牴湯⁧琠湯౧?杮楨搠湩⵨偃_x0006_匀敨瑥"/>
      <sheetName val="K,uon' ph5"/>
      <sheetName val="_x000c_an #an"/>
      <sheetName val="C/c t)eu"/>
      <sheetName val="Bi%n bao"/>
      <sheetName val="Ran("/>
      <sheetName val="_x0014_ong hop_x0011_48-1"/>
      <sheetName val="Cong &quot;an 0,7x0,7"/>
      <sheetName val="Co.g b!n 0,8x0,8"/>
      <sheetName val="Con' ba. 1x1"/>
      <sheetName val="_x0003_ong ban 1x1,2"/>
      <sheetName val="baocaochi.h(q5i1.05) (DC)"/>
      <sheetName val="C4ulu/ngq.1.05"/>
      <sheetName val="_x0002_ANG PHA_x000e_ BO qui1.05(DC)"/>
      <sheetName val="B_x0001_NG PHAN BO quiII.05"/>
      <sheetName val="⁋㌱Ա_x0000_䭔㌱س_x0000_䭔ㄠㄴ_x0006_牴湯⁧琠湯౧_x0000_杮楨搠湩⵨偃_x0006_匀頀ᎆ"/>
      <sheetName val="_x000d_â_x0005__x0000_"/>
      <sheetName val="⁋㌱Ա_x0000_䭔㌱س_x0000_䭔ㄠㄴ_x0006_牴湯⁧琠湯౧_x0000_杮楨搠湩⵨偃_x0006_匀䈀ᅪ"/>
      <sheetName val="⁋㌱Ա_x0000_䭔㌱س_x0000_䭔ㄠㄴ_x0006_牴湯⁧琠湯౧_x0000_杮楨搠湩⵨偃_x0006_匀렀቟"/>
      <sheetName val="⁋㌱Ա_x0000_䭔㌱س_x0000_䭔ㄠㄴ_x0006_牴湯⁧琠湯౧_x0000_杮楨搠湩⵨偃_x0006_匀︀ᇕ"/>
      <sheetName val="DG("/>
      <sheetName val="TK33313"/>
      <sheetName val="UK 911"/>
      <sheetName val="CEPS1"/>
      <sheetName val="Km285"/>
      <sheetName val="bÑi_x0003_?²r_x0013_?"/>
      <sheetName val="T±1 "/>
      <sheetName val="411"/>
      <sheetName val="632"/>
      <sheetName val="333"/>
      <sheetName val="1uÝ1"/>
      <sheetName val="TH Ky Afh"/>
      <sheetName val="KHTS_x0000__x000d_2"/>
      <sheetName val="LuÞ_x0016_gT2"/>
      <sheetName val="luongt_x0000_ang12"/>
      <sheetName val="FORM (c"/>
      <sheetName val="02.05.07"/>
      <sheetName val="03.05.07"/>
      <sheetName val="04.05.07"/>
      <sheetName val="05.05.07"/>
      <sheetName val="06.05.07"/>
      <sheetName val="07.05.07"/>
      <sheetName val="08.05.07"/>
      <sheetName val="09.05.07"/>
      <sheetName val="Ther cao "/>
      <sheetName val="152"/>
      <sheetName val="111"/>
      <sheetName val="156"/>
      <sheetName val="So NVL"/>
      <sheetName val="511"/>
      <sheetName val="Nhat ký chung"/>
      <sheetName val="So 131"/>
      <sheetName val="So 331"/>
      <sheetName val="So 133"/>
      <sheetName val="So 3331"/>
      <sheetName val="So 334"/>
      <sheetName val="So 911"/>
      <sheetName val="So 421"/>
      <sheetName val="241"/>
      <sheetName val="642"/>
      <sheetName val="[PNT-P3.xls?KQKDKT'04-1"/>
      <sheetName val="CV di ngoai tone (2)"/>
      <sheetName val="[PNT-P3.xlsMMatduong"/>
      <sheetName val="???_x0000_???_x0000_???_x0006_??????_x0000_??????_x0006_???"/>
      <sheetName val="[PNT-P3.xls]XXXXX\XX"/>
      <sheetName val="[PNT-P3.xls]C/c t)eu"/>
      <sheetName val="[PNT-P3.xls]C4ulu/ngq.1.05"/>
      <sheetName val="_x0000__x000f__x0000_︀ᇕ԰_x0000_缀"/>
      <sheetName val="[PNT-P3.xlsѝKQKDKTﴀ셅u淪洂"/>
      <sheetName val="GS09-chi TM"/>
      <sheetName val="_x0000__x000f__x0000__x0000__x0000_‚竈_x0013_"/>
      <sheetName val="⁋㌱Ա_x0000_䭔㌱س_x0000_䭔ㄠㄴ_x0006_牴湯⁧琠湯౧_x0000_杮楨搠湩⵨偃_x0006_匀저፺"/>
      <sheetName val="⁋㌱Ա_x0000_䭔㌱س_x0000_䭔ㄠㄴ_x0006_牴湯⁧琠湯౧_x0000_杮楨搠湩⵨偃_x0006_匀㠀ᎍ"/>
      <sheetName val="_x0000__x000f__x0000__x0000__x0000_‚헾】"/>
      <sheetName val="⁋㌱Ա_x0000_䭔㌱س_x0000_䭔ㄠㄴ_x0006_牴湯⁧琠湯౧_x0000_杮楨搠湩⵨偃_x0006_匀ࠀ╵"/>
      <sheetName val="⁋㌱Ա_x0000_䭔㌱س_x0000_䭔ㄠㄴ_x0006_牴湯⁧琠湯౧_x0000_杮楨搠湩⵨偃_x0006_匀렀፶"/>
      <sheetName val="⁋㌱Ա_x0000_䭔㌱س_x0000_䭔ㄠㄴ_x0006_牴湯⁧琠湯౧_x0000_杮楨搠湩⵨偃_x0006_匀԰_x0000_"/>
      <sheetName val="⁋㌱Ա_x0000_䭔㌱س_x0000_䭔ㄠㄴ_x0006_牴湯⁧琠湯౧_x0000_杮楨搠湩⵨偃_x0006_匀㠀Ẅ"/>
      <sheetName val="⁋㌱Ա_x0000_䭔㌱س_x0000_䭔ㄠㄴ_x0006_牴湯⁧琠湯౧_x0000_杮楨搠湩⵨偃_x0006_匀᥸"/>
      <sheetName val="⁋㌱Ա_x0000_䭔㌱س_x0000_䭔ㄠㄴ_x0006_牴湯⁧琠湯౧_x0000_杮楨搠湩⵨偃_x0006_匀栀ṵ"/>
      <sheetName val="⁋㌱Ա_x0000_䭔㌱س_x0000_䭔ㄠㄴ_x0006_牴湯⁧琠湯౧_x0000_杮楨搠湩⵨偃_x0006_匀︀㗕"/>
      <sheetName val="⁋㌱Ա_x0000_䭔㌱س_x0000_䭔ㄠㄴ_x0006_牴湯⁧琠湯౧_x0000_杮楨搠湩⵨偃_x0006_匀栀▆"/>
      <sheetName val="⁋㌱Ա_x0000_䭔㌱س_x0000_䭔ㄠㄴ_x0006_牴湯⁧琠湯౧_x0000_杮楨搠湩⵨偃_x0006_匀╿"/>
      <sheetName val="bÑi_x0003__x0000_²r_x0013_"/>
      <sheetName val="bÑi_x0003__x0000_²r_x0013_("/>
      <sheetName val="_x0000__x000f__x0000__x0000__x0000_‚眨,"/>
      <sheetName val="_x0000__x000f__x0000__x0000__x0000_‚禈."/>
      <sheetName val="bÑi_x0003__x0000_²r_x0013_"/>
      <sheetName val="gìIÏÝ_x001c_齘_x0013_龜저ងఀ"/>
      <sheetName val="_x0000__x000f__x0000__x0000__x0000_‚稸1"/>
      <sheetName val="gìIÏÝ_x001c_齘_x0013_龜저ᥲఀ"/>
      <sheetName val="CDÕTKT2002"/>
      <sheetName val="⁋㌱Ա_x0000_䭔㌱س_x0000_䭔ㄠㄴ_x0006_牴湯⁧琠湯౧_x0000_杮楨搠湩⵨偃_x0006_匀렀⪈"/>
      <sheetName val="⁋㌱Ա_x0000_䭔㌱س_x0000_䭔ㄠㄴ_x0006_牴湯⁧琠湯౧_x0000_杮楨搠湩⵨偃_x0006_匀⠀⩶"/>
      <sheetName val="⁋㌱Ա_x0000_䭔㌱س_x0000_䭔ㄠㄴ_x0006_牴湯⁧琠湯౧_x0000_杮楨搠湩⵨偃_x0006_匀⎅"/>
      <sheetName val="⁋㌱Ա_x0000_䭔㌱س_x0000_䭔ㄠㄴ_x0006_牴湯⁧琠湯౧_x0000_杮楨搠湩⵨偃_x0006_匀᠀⍺"/>
      <sheetName val="⁋㌱Ա_x0000_䭔㌱س_x0000_䭔ㄠㄴ_x0006_牴湯⁧琠湯౧_x0000_杮楨搠湩⵨偃_x0006_匀ࠀ⩷"/>
      <sheetName val="p"/>
      <sheetName val="KHTS"/>
      <sheetName val="co_x0005__x0000__x0000__x0000_"/>
      <sheetName val="Tong hop Mctduong"/>
      <sheetName val="KHTS?_x000d_2"/>
      <sheetName val="_x000c__x0000__x0000__x0000__x0000__x0000__x0000__x0000__x000d__x0000__x0000_Õ"/>
      <sheetName val="_x0000__x000f__x0000_䠀᡿谀᡿︀"/>
      <sheetName val="chie԰???Ȁ?"/>
      <sheetName val="_x000c_???????_x000d_???"/>
      <sheetName val="?_x000f_???‚ž½"/>
      <sheetName val="?_x000d_???âOŽ"/>
      <sheetName val="I_x0005_??"/>
      <sheetName val="S2??1"/>
      <sheetName val="TH  goi _x0014_-x"/>
      <sheetName val="_x0000__x0000_di trong  tong"/>
      <sheetName val="Monthly production actual"/>
      <sheetName val="P201-TP20"/>
      <sheetName val="⁋㌱Ա_x0000_䭔㌱س_x0000_䭔ㄠㄴ_x0006_牴湯⁧琠湯౧_x0000_杮楨搠湩⵨偃_x0006_匀㠀䂅"/>
      <sheetName val="[PNT-P3.xls][PNT-P3.xls]XXXXX\X"/>
      <sheetName val="Tkng hop QL48 - 2"/>
      <sheetName val="GO THUAN AN T 01 784026 (2)"/>
      <sheetName val="COMPOSIITE SAI SON T 1(2)"/>
      <sheetName val="PEMARAT01 (2)"/>
      <sheetName val="SYSTEMT1 780851-Ms thao (2)"/>
      <sheetName val="PUKYONG T1"/>
      <sheetName val="ASIAPAINT T11"/>
      <sheetName val="SEUNGBO T11 782173 Ms Suong (2)"/>
      <sheetName val="KONICAT12(2)"/>
      <sheetName val=" CHAN NUOIT12750622 Ms Tinh (2)"/>
      <sheetName val="NS t01784465 Ms quyen (2)"/>
      <sheetName val="POMINAT01  (2)"/>
      <sheetName val="COTTOT01 711018 Ms nuong (2)"/>
      <sheetName val="SuBINHDUONGT 01 "/>
      <sheetName val="MHET1 784028 lan anh (2)"/>
      <sheetName val="t_x0000_1-01"/>
      <sheetName val="So_Do"/>
      <sheetName val="KTTSCD_-_DLNA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_7"/>
      <sheetName val="T_8"/>
      <sheetName val="T8_(2)"/>
      <sheetName val="T_9"/>
      <sheetName val="T_10"/>
      <sheetName val="T_11"/>
      <sheetName val="T_12"/>
      <sheetName val="T11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K_154"/>
      <sheetName val="TK_632"/>
      <sheetName val="5_nam_(tach)"/>
      <sheetName val="5_nam_(tach)_(2)"/>
      <sheetName val="KH_2003"/>
      <sheetName val="Km277_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_Ky_Anh"/>
      <sheetName val="Sheet2_(2)"/>
      <sheetName val="TH__goi_4-x"/>
      <sheetName val="tæng_hîp"/>
      <sheetName val="GS01-chi_TM"/>
      <sheetName val="GS02-thu_TM"/>
      <sheetName val="PFT_QUOT__3"/>
      <sheetName val="khung ten TD"/>
      <sheetName val="\NT1MC"/>
      <sheetName val="GS10-lai t)en vay"/>
      <sheetName val="Km278 - Jm279"/>
      <sheetName val="Chi tiet don 'ia khoi phuc"/>
      <sheetName val="XNT2_x000d_C"/>
      <sheetName val="Shee46"/>
      <sheetName val="X_x000c_4Poppy"/>
      <sheetName val="CV den ng/ai TCT (3)"/>
      <sheetName val="[PNT-P3.xls][PNT-P3.xls][PNT-P3"/>
      <sheetName val="DS"/>
      <sheetName val="_x000f_?½"/>
      <sheetName val="M pc_x0006_?CamPh?"/>
      <sheetName val="⁋㌱Ա_x0000_䭔㌱س_x0000_䭔ㄠㄴ_x0006_牴湯⁧琠湯౧_x0000_杮楨搠湩_x0005__x0000__x0000__x0000__x0000_"/>
      <sheetName val="_PNT-P3.xlsUTong hop (2)"/>
      <sheetName val="_PNT-P3.xlsUKm279 - Km280"/>
      <sheetName val="_PNT-P3.xlsѝKQKDKT'04-1"/>
      <sheetName val="CV den trong to_g"/>
      <sheetName val="_0000000"/>
      <sheetName val="__-BLDG"/>
      <sheetName val="K_284"/>
      <sheetName val="_ong hop QL48 - 2"/>
      <sheetName val="Toan tinh"/>
      <sheetName val="phan loai"/>
      <sheetName val="ty le"/>
      <sheetName val="DBP"/>
      <sheetName val="DB"/>
      <sheetName val="LC"/>
      <sheetName val="TG"/>
      <sheetName val="PT"/>
      <sheetName val="MT"/>
      <sheetName val="DBD"/>
      <sheetName val="SH"/>
      <sheetName val="ML"/>
      <sheetName val="TC"/>
      <sheetName val="Tinh khac"/>
      <sheetName val="Phan theo huyen"/>
      <sheetName val="Sheet17"/>
      <sheetName val="Sheet18"/>
      <sheetName val="Sheet19"/>
      <sheetName val="Sheet20"/>
      <sheetName val="Sheet21"/>
      <sheetName val="Sheet22"/>
      <sheetName val="PDcua TGD"/>
      <sheetName val="CV di ngoai tnng (2)"/>
      <sheetName val="Tk triNh"/>
      <sheetName val="Gian nhiem vu"/>
      <sheetName val="QD!ua TGD (2)"/>
      <sheetName val="CV den_x0000_trong tong"/>
      <sheetName val="Tuongcha."/>
      <sheetName val="Km27_x0015_"/>
      <sheetName val="5 lam (tach) (2)"/>
      <sheetName val="TK 134"/>
      <sheetName val="KHTSBD2"/>
      <sheetName val="CDKTKD03"/>
      <sheetName val="KPKDKT'03-1"/>
      <sheetName val="_x0000__x000a__x0000__x0000__x0000_âO԰"/>
      <sheetName val="_x000c_"/>
      <sheetName val="QD cua HDQ²"/>
      <sheetName val="chie԰"/>
      <sheetName val="S2"/>
      <sheetName val="luongt"/>
      <sheetName val="???"/>
      <sheetName val="Cong ban _x0000_ _x0000__x0004__x0000__x0003_"/>
      <sheetName val="TDT-TB_"/>
      <sheetName val="Km280 _ Km281"/>
      <sheetName val="T_ 131"/>
      <sheetName val="Cong ban 1,5_x0013__"/>
      <sheetName val="_______-BLDG"/>
      <sheetName val="Op_mai 280"/>
      <sheetName val="chieud_x0005____"/>
      <sheetName val="Op mai 2_x000c__"/>
      <sheetName val="_bÑi_x0003_____²r_x0013__"/>
      <sheetName val="__x000f____½"/>
      <sheetName val="__²r"/>
      <sheetName val="_____M pc_x0006___CamPh__"/>
      <sheetName val="__x000d____âO"/>
      <sheetName val="Cong ban 1,5„—_x0013__"/>
      <sheetName val="__"/>
      <sheetName val="gia x_ may"/>
      <sheetName val="⁋㌱Ա_䭔㌱س_䭔ㄠㄴ_x0006_牴湯⁧琠湯౧_杮楨搠湩⵨偃_x0006_匀敨瑥"/>
      <sheetName val="C_c t)eu"/>
      <sheetName val="C4ulu_ngq.1.05"/>
      <sheetName val="_âO"/>
      <sheetName val="_âOŽ"/>
      <sheetName val="luongt?ang12"/>
      <sheetName val="?_x000a_???âO"/>
      <sheetName val="_x000c_???????_x000a_???"/>
      <sheetName val="QD cua HDQ²??)"/>
      <sheetName val="?_x000a_???âOŽ"/>
      <sheetName val="QD cua HDQ²??€)"/>
      <sheetName val="chieuda"/>
      <sheetName val="7 nam (tach)"/>
      <sheetName val="KQKD02-0 (2)"/>
      <sheetName val="KH&quot;2003"/>
      <sheetName val="Tuongchah"/>
      <sheetName val="Km2:4"/>
      <sheetName val="TK 931"/>
      <sheetName val="CDKP"/>
      <sheetName val="_x0000__x000f__x0000__x0000__x0000_‚嫌_x001a_"/>
      <sheetName val="Èoasen"/>
      <sheetName val="41¹"/>
      <sheetName val="Cong ban`1,5x1,5"/>
      <sheetName val="gia!he1"/>
      <sheetName val="k angluc"/>
      <sheetName val="giai he  "/>
      <sheetName val="_x0005_"/>
      <sheetName val="_x000f_?‚ž½"/>
      <sheetName val="_x000c_?_x000d_"/>
      <sheetName val="_x000c_?_x000a_"/>
      <sheetName val="⁋㌱Ա_x0000_䭔㌱س_x0000_䭔ㄠㄴ_x0006_牴湯⁧琠湯౧_x0000_杮楨搠湩⵨偃_x0006_匀뀀콙"/>
      <sheetName val="Cong ban_x0009__x0000__x0009__x0000__x0004__x0000__x0003_"/>
      <sheetName val="Opmai 280"/>
      <sheetName val="M pc_x0006_CamPh"/>
      <sheetName val="gia x may"/>
      <sheetName val="_x000c__x000d_"/>
      <sheetName val="_x000f_‚ž½"/>
      <sheetName val="t"/>
      <sheetName val="CV den"/>
      <sheetName val="Cong ban "/>
      <sheetName val="I_x0005_"/>
      <sheetName val="QUY IV _x0005_"/>
      <sheetName val="_x000d_â_x0005_"/>
      <sheetName val="co_x0005_"/>
      <sheetName val="_x000d_âOŽ"/>
      <sheetName val="_x000a_âO"/>
      <sheetName val="_x000f__x0005_"/>
      <sheetName val="_x000c__x000a_"/>
      <sheetName val="_x000a_âOŽ"/>
      <sheetName val="KHTS_x000d_2"/>
      <sheetName val="luongtang12"/>
      <sheetName val="?????????_x0006_????????????_x0006_???"/>
      <sheetName val="_x000f_︀ᇕ԰缀"/>
      <sheetName val="_x000f_‚竈_x0013_"/>
      <sheetName val="_x000f_‚헾】"/>
      <sheetName val="_x000f_‚眨,"/>
      <sheetName val="_x000f_‚禈."/>
      <sheetName val="_x000f_‚稸1"/>
      <sheetName val="_x000c__x000d_Õ"/>
      <sheetName val="_x000f_䠀᡿谀᡿︀"/>
      <sheetName val="t1-01"/>
      <sheetName val="CV dentrong tong"/>
      <sheetName val="_x000a_âO԰"/>
      <sheetName val="Cong ban  _x0004__x0003_"/>
      <sheetName val="_x000f_‚嫌_x001a_"/>
      <sheetName val="xdcb_01-2003"/>
      <sheetName val="KQKD02-2_(2)"/>
      <sheetName val="KQKD-2_(2)"/>
      <sheetName val="KQKD_thu2004"/>
      <sheetName val="GS03-thu_TGNH"/>
      <sheetName val="GS04-chi_TGNH"/>
      <sheetName val="GS06-X_kho"/>
      <sheetName val="GS08-B_hµng"/>
      <sheetName val="GS09-k_c_VAT_DV"/>
      <sheetName val="GS10-lai_tien_vay"/>
      <sheetName val="GS11-_tÝnh_KHTSC§"/>
      <sheetName val="tong_hop"/>
      <sheetName val="phan_tich_DG"/>
      <sheetName val="gia_vat_lieu"/>
      <sheetName val="gia_xe_may"/>
      <sheetName val="gia_nhan_cong"/>
      <sheetName val="CV_den_trong_to聮g"/>
      <sheetName val="Cong_cu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Cot_thep"/>
      <sheetName val="Tong_hop_(2)"/>
      <sheetName val="Km274_-_Km275"/>
      <sheetName val="Km275_-_Km276"/>
      <sheetName val="Km276_-_Km277"/>
      <sheetName val="Km277_-_Km278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Op_mai"/>
      <sheetName val="Km277_-_Km278_"/>
      <sheetName val="Tong_hop_Matduong"/>
      <sheetName val="Kluong_phu"/>
      <sheetName val="Lan_can"/>
      <sheetName val="Ho_lan"/>
      <sheetName val="Coc_tieu"/>
      <sheetName val="Bien_bao"/>
      <sheetName val="kl_m_m_d"/>
      <sheetName val="kl_vt_tho"/>
      <sheetName val="kl_dat"/>
      <sheetName val="xin_kinh_phi"/>
      <sheetName val="lan_trai"/>
      <sheetName val="thuoc_no"/>
      <sheetName val="so_thuc_pham"/>
      <sheetName val="FORM_hc"/>
      <sheetName val="FORM_pc"/>
      <sheetName val="Oð_mai_279"/>
      <sheetName val="XN_1"/>
      <sheetName val="CT_XN1"/>
      <sheetName val="CT_XNCK"/>
      <sheetName val="S_hai"/>
      <sheetName val="CT_N02"/>
      <sheetName val="C_Sap_CT3"/>
      <sheetName val="CT_Csap_CT3"/>
      <sheetName val="Quan_trac"/>
      <sheetName val="CS_LB"/>
      <sheetName val="88_HBT"/>
      <sheetName val="CT_69II"/>
      <sheetName val="37_HV"/>
      <sheetName val="CT_VPCP_6tang"/>
      <sheetName val="Son_nha_kinh_VPCP"/>
      <sheetName val="CT_VPCP_son"/>
      <sheetName val="CT_HMVPCP"/>
      <sheetName val="mau_kiem_ke"/>
      <sheetName val="quyet_toan_HD_2000"/>
      <sheetName val="quyet_toan_hoa_don_2001"/>
      <sheetName val="kiem_ke_hoa_don_2001"/>
      <sheetName val="QUY_III_02"/>
      <sheetName val="QUY_IV_02"/>
      <sheetName val="QUYET_TOAN_02"/>
      <sheetName val="Xaylap_"/>
      <sheetName val="Nhan_cong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xnt_1_CP"/>
      <sheetName val="xnt_2_cp"/>
      <sheetName val="xnt_3_CP"/>
      <sheetName val="xnt_4_CP"/>
      <sheetName val="BC_tuan1"/>
      <sheetName val="BC_tuan2"/>
      <sheetName val="BC_tuan3"/>
      <sheetName val="BC_tuan4"/>
      <sheetName val="DSo_NVBH"/>
      <sheetName val="Km27'_-_Km278"/>
      <sheetName val="Cong_ban_1,5"/>
      <sheetName val="Coc_6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0000000"/>
      <sheetName val="Thang10-2002_"/>
      <sheetName val="Sheet1_(3)"/>
      <sheetName val="XLÇoppy"/>
      <sheetName val="Bao_cao_KQTH_quy_hoach_135"/>
      <sheetName val="ct_luong_"/>
      <sheetName val="Nhap_6T"/>
      <sheetName val="baocaochinh(qui1_05)_(DC)"/>
      <sheetName val="Ctuluongq_1_05"/>
      <sheetName val="BANG_PHAN_BO_qui1_05(DC)"/>
      <sheetName val="BANG_PHAN_BO_quiII_05"/>
      <sheetName val="bao_cac_cinh_Qui_II-2005"/>
      <sheetName val="BAO_CAO_AN"/>
      <sheetName val="T331"/>
      <sheetName val="Khac_DP"/>
      <sheetName val="Khoi_than_"/>
      <sheetName val="Km283_-_Jm284"/>
      <sheetName val="cocB40_5B"/>
      <sheetName val="cocD50_9A"/>
      <sheetName val="cocD75_16"/>
      <sheetName val="coc_B80_TD25"/>
      <sheetName val="P27_B80"/>
      <sheetName val="Coc23_B80"/>
      <sheetName val="cong_B80_C4"/>
      <sheetName val="O0_mai_279"/>
      <sheetName val="Opmai_280"/>
      <sheetName val="Op_mai_28"/>
      <sheetName val="5_nam_(tac`)_(2)"/>
      <sheetName val="D%o_nai"/>
      <sheetName val="CTT_cao_so_"/>
      <sheetName val="XNxlva_sxdhanKCII"/>
      <sheetName val="CTxay_lap_mo_C"/>
      <sheetName val="Song_ban_0,7x0,7"/>
      <sheetName val="Cong_ban_0,8x_,8"/>
      <sheetName val="Khach_iang_le_"/>
      <sheetName val="[PNT-P3_xlsѝKQKDKT'04-1"/>
      <sheetName val="Du_tnan_chi_tiet_coc_nuoc"/>
      <sheetName val="TNghiÖ-_VL"/>
      <sheetName val="So_lieu"/>
      <sheetName val="tt_chu_dong"/>
      <sheetName val="Tinh_j+cvi"/>
      <sheetName val="Tinh_MoP"/>
      <sheetName val="giai_he_2"/>
      <sheetName val="TL33-13_14"/>
      <sheetName val="TL033_,2,4"/>
      <sheetName val="TL_0331,2"/>
      <sheetName val="Lap_®at_®hÖn"/>
      <sheetName val="[PNT-P3_xlsUTong_hop_(2)"/>
      <sheetName val="Km276_-_Ke277"/>
      <sheetName val="[PNT-P3_xlsUKm279_-_Km280"/>
      <sheetName val="7000_000"/>
      <sheetName val="XNxlva_sxthanKCIÉ"/>
      <sheetName val="K43+0_00_-_338_Trai"/>
      <sheetName val="Tong_(op"/>
      <sheetName val="Coc_4ieu"/>
      <sheetName val="gìIÏÝÃç¾{è"/>
      <sheetName val="ESTI_"/>
      <sheetName val="CV_den_trong_to?g"/>
      <sheetName val="Don_gia"/>
      <sheetName val="Nhap_du_lieu"/>
      <sheetName val="ၔong_hop_QL48_-_2"/>
      <sheetName val="Mp_mai_275"/>
      <sheetName val="Ton_31_1"/>
      <sheetName val="NhapT_2"/>
      <sheetName val="Xuat_T_2"/>
      <sheetName val="Ton_28_2"/>
      <sheetName val="H_Tra"/>
      <sheetName val="Hang_CTY_TRA_LAI"/>
      <sheetName val="Hang_NV_Tra_Lai"/>
      <sheetName val="TNghiªm_T_"/>
      <sheetName val="tt-BA"/>
      <sheetName val="TD"/>
      <sheetName val="_12"/>
      <sheetName val="QD_c5a_HDQT_(2)"/>
      <sheetName val="hart1"/>
      <sheetName val="mua_vao"/>
      <sheetName val="chi_phi_"/>
      <sheetName val="ban_ra_10%"/>
      <sheetName val="Ban_pha_2"/>
      <sheetName val="luong_phu"/>
      <sheetName val="gìIÏÝ齘龜ꗃ〒"/>
      <sheetName val="Op_mai_2"/>
      <sheetName val="bÑi²r"/>
      <sheetName val="k,_vt_tho"/>
      <sheetName val="Km77_"/>
      <sheetName val="K-280_-_Km281"/>
      <sheetName val="Km280_࠭_Km281"/>
      <sheetName val="½"/>
      <sheetName val="M_pcCamPh"/>
      <sheetName val="Cong_ban_1,5„—"/>
      <sheetName val="Xa9lap_"/>
      <sheetName val="So_TSCD"/>
      <sheetName val="Bang_phan_bo_KH_TSCD"/>
      <sheetName val="The_TSCD"/>
      <sheetName val="BTH-_P_Chi_"/>
      <sheetName val="BTH_NVL"/>
      <sheetName val="NK_SO_CAI"/>
      <sheetName val="The_tinh_Z"/>
      <sheetName val="So_CFSXKD"/>
      <sheetName val="So_TGNH_2002"/>
      <sheetName val="So_quy_TM_2002"/>
      <sheetName val="SCT_NVL"/>
      <sheetName val="SCT_TK_131"/>
      <sheetName val="So_theo_doi_thue_GTGT_2002"/>
      <sheetName val="BTH-_P_Thu"/>
      <sheetName val="LV_®at_®iÖn"/>
      <sheetName val="Cong_ban_0,7p0,7"/>
      <sheetName val="Km275_-_Ke276"/>
      <sheetName val="Km280_-_Km2(1"/>
      <sheetName val="Km282_-_Kl283"/>
      <sheetName val="Tong_hop_Op_m!i"/>
      <sheetName val="K_O"/>
      <sheetName val="xang__clc"/>
      <sheetName val="Thang_07"/>
      <sheetName val="Giao_nhie-_vu"/>
      <sheetName val="Diem_mon_hoc"/>
      <sheetName val="Tong_hop_diem"/>
      <sheetName val="HoTen-khong_duoc_xoa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CT_cong"/>
      <sheetName val="dg_cong"/>
      <sheetName val="Giao_nhiem_fu"/>
      <sheetName val="QDcea_TGD_(2)"/>
      <sheetName val="For_Summary"/>
      <sheetName val="For_Summary(KG)"/>
      <sheetName val="PP_Cloth"/>
      <sheetName val="Mix-PP_Cloth"/>
      <sheetName val="Material_Price-PP"/>
      <sheetName val="har"/>
      <sheetName val="VÃt_liÖu"/>
      <sheetName val="CVden_nw8ai_TCT_(1)"/>
      <sheetName val="gia_x_may"/>
      <sheetName val="FORM_jc"/>
      <sheetName val="?ong_hop_QL48_-_2"/>
      <sheetName val="Giao_nhÿÿÿÿvu"/>
      <sheetName val="⁋㌱Ա䭔㌱س䭔ㄠㄴ牴湯⁧琠湯౧杮楨搠湩⵨偃匀敨瑥"/>
      <sheetName val="Cac_cang_UT_mua_thal_Dong_bac"/>
      <sheetName val="CV_di_ngoai_to~g"/>
      <sheetName val="CT_XF1"/>
      <sheetName val="DG_"/>
      <sheetName val="GS11-_tÝnh_KHSC§"/>
      <sheetName val="gia_x"/>
      <sheetName val="2.withQSX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/>
      <sheetData sheetId="455"/>
      <sheetData sheetId="456"/>
      <sheetData sheetId="457" refreshError="1"/>
      <sheetData sheetId="458" refreshError="1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 refreshError="1"/>
      <sheetData sheetId="584" refreshError="1"/>
      <sheetData sheetId="585"/>
      <sheetData sheetId="586" refreshError="1"/>
      <sheetData sheetId="587" refreshError="1"/>
      <sheetData sheetId="588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/>
      <sheetData sheetId="614"/>
      <sheetData sheetId="615"/>
      <sheetData sheetId="616"/>
      <sheetData sheetId="617"/>
      <sheetData sheetId="618"/>
      <sheetData sheetId="619" refreshError="1"/>
      <sheetData sheetId="620" refreshError="1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/>
      <sheetData sheetId="692" refreshError="1"/>
      <sheetData sheetId="693"/>
      <sheetData sheetId="694" refreshError="1"/>
      <sheetData sheetId="695"/>
      <sheetData sheetId="696"/>
      <sheetData sheetId="697" refreshError="1"/>
      <sheetData sheetId="698"/>
      <sheetData sheetId="699"/>
      <sheetData sheetId="700" refreshError="1"/>
      <sheetData sheetId="701"/>
      <sheetData sheetId="702"/>
      <sheetData sheetId="703" refreshError="1"/>
      <sheetData sheetId="704" refreshError="1"/>
      <sheetData sheetId="705" refreshError="1"/>
      <sheetData sheetId="706"/>
      <sheetData sheetId="707"/>
      <sheetData sheetId="708" refreshError="1"/>
      <sheetData sheetId="709" refreshError="1"/>
      <sheetData sheetId="710" refreshError="1"/>
      <sheetData sheetId="711"/>
      <sheetData sheetId="712" refreshError="1"/>
      <sheetData sheetId="713" refreshError="1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/>
      <sheetData sheetId="843" refreshError="1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 refreshError="1"/>
      <sheetData sheetId="853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/>
      <sheetData sheetId="1050"/>
      <sheetData sheetId="1051"/>
      <sheetData sheetId="1052" refreshError="1"/>
      <sheetData sheetId="1053" refreshError="1"/>
      <sheetData sheetId="1054" refreshError="1"/>
      <sheetData sheetId="1055"/>
      <sheetData sheetId="1056"/>
      <sheetData sheetId="1057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/>
      <sheetData sheetId="1119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/>
      <sheetData sheetId="1130"/>
      <sheetData sheetId="1131"/>
      <sheetData sheetId="1132"/>
      <sheetData sheetId="1133"/>
      <sheetData sheetId="1134" refreshError="1"/>
      <sheetData sheetId="1135" refreshError="1"/>
      <sheetData sheetId="1136" refreshError="1"/>
      <sheetData sheetId="1137" refreshError="1"/>
      <sheetData sheetId="1138"/>
      <sheetData sheetId="1139" refreshError="1"/>
      <sheetData sheetId="1140" refreshError="1"/>
      <sheetData sheetId="1141" refreshError="1"/>
      <sheetData sheetId="1142" refreshError="1"/>
      <sheetData sheetId="1143"/>
      <sheetData sheetId="1144" refreshError="1"/>
      <sheetData sheetId="1145"/>
      <sheetData sheetId="1146" refreshError="1"/>
      <sheetData sheetId="1147"/>
      <sheetData sheetId="1148"/>
      <sheetData sheetId="1149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/>
      <sheetData sheetId="1173" refreshError="1"/>
      <sheetData sheetId="1174" refreshError="1"/>
      <sheetData sheetId="1175" refreshError="1"/>
      <sheetData sheetId="1176"/>
      <sheetData sheetId="1177" refreshError="1"/>
      <sheetData sheetId="1178" refreshError="1"/>
      <sheetData sheetId="1179" refreshError="1"/>
      <sheetData sheetId="1180" refreshError="1"/>
      <sheetData sheetId="1181"/>
      <sheetData sheetId="1182" refreshError="1"/>
      <sheetData sheetId="1183"/>
      <sheetData sheetId="1184" refreshError="1"/>
      <sheetData sheetId="1185"/>
      <sheetData sheetId="1186"/>
      <sheetData sheetId="1187"/>
      <sheetData sheetId="1188" refreshError="1"/>
      <sheetData sheetId="1189" refreshError="1"/>
      <sheetData sheetId="1190" refreshError="1"/>
      <sheetData sheetId="1191" refreshError="1"/>
      <sheetData sheetId="1192"/>
      <sheetData sheetId="1193"/>
      <sheetData sheetId="1194"/>
      <sheetData sheetId="1195"/>
      <sheetData sheetId="1196"/>
      <sheetData sheetId="1197" refreshError="1"/>
      <sheetData sheetId="1198" refreshError="1"/>
      <sheetData sheetId="1199"/>
      <sheetData sheetId="1200"/>
      <sheetData sheetId="1201"/>
      <sheetData sheetId="1202"/>
      <sheetData sheetId="1203"/>
      <sheetData sheetId="1204"/>
      <sheetData sheetId="1205"/>
      <sheetData sheetId="1206" refreshError="1"/>
      <sheetData sheetId="1207" refreshError="1"/>
      <sheetData sheetId="1208"/>
      <sheetData sheetId="1209"/>
      <sheetData sheetId="1210"/>
      <sheetData sheetId="1211"/>
      <sheetData sheetId="1212"/>
      <sheetData sheetId="1213" refreshError="1"/>
      <sheetData sheetId="1214"/>
      <sheetData sheetId="1215"/>
      <sheetData sheetId="1216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PNT-QUOT-#3"/>
      <sheetName val="COAT&amp;WRAP-QIOT-#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PNT-QUOT-#3"/>
      <sheetName val="COAT&amp;WRAP-QIOT-#3"/>
      <sheetName val="DATA"/>
      <sheetName val="CH"/>
      <sheetName val="LN"/>
      <sheetName val="TONGHOP"/>
      <sheetName val="GHI CHU"/>
      <sheetName val="MTL$-PRODTANO-AG"/>
      <sheetName val="Cong cu dung cu"/>
      <sheetName val="Kiem ke Quy"/>
      <sheetName val="Kiem ke TSCD"/>
      <sheetName val="vat tu"/>
      <sheetName val="Cong trinh do dang 2002"/>
      <sheetName val="Sheet6"/>
      <sheetName val="Sheet7"/>
      <sheetName val="Sheet8"/>
      <sheetName val="Sheet9"/>
      <sheetName val="Sheet10"/>
      <sheetName val="Sheet1"/>
      <sheetName val="Sheet2"/>
      <sheetName val="Sheet3"/>
      <sheetName val="Sheet4"/>
      <sheetName val="Sheet5"/>
      <sheetName val="CN"/>
      <sheetName val="Capphoivua"/>
      <sheetName val="Gia VL"/>
      <sheetName val="cau"/>
      <sheetName val="cong"/>
      <sheetName val="nhua"/>
      <sheetName val="chitiet"/>
      <sheetName val="DuThauSuaLoi"/>
      <sheetName val="TongHopSuaLoi"/>
      <sheetName val="GT"/>
      <sheetName val="TH"/>
      <sheetName val="tienluong"/>
      <sheetName val="00000000"/>
      <sheetName val="NC10"/>
      <sheetName val="VL10"/>
      <sheetName val="CFmay10"/>
      <sheetName val="627(10)"/>
      <sheetName val="T1"/>
      <sheetName val="TH du toan "/>
      <sheetName val="Du toan "/>
      <sheetName val="C.Tinh"/>
      <sheetName val="TK_cap"/>
      <sheetName val="MTO REV.2(ARMOR)"/>
      <sheetName val="Bang gia ca may"/>
      <sheetName val="Bang luong CB"/>
      <sheetName val="Bang P.tich CT"/>
      <sheetName val="D.toan chi tiet"/>
      <sheetName val="Bang TH Dtoan"/>
      <sheetName val="XXXXXXXX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T.hop -T1"/>
      <sheetName val="T.Hop-T2"/>
      <sheetName val="T.Hop-T3"/>
      <sheetName val="SD1"/>
      <sheetName val="SD2"/>
      <sheetName val="SD7"/>
      <sheetName val="SD8"/>
      <sheetName val="SD9"/>
      <sheetName val="SD11"/>
      <sheetName val="SD12"/>
      <sheetName val="TVSD"/>
      <sheetName val="KLMAY"/>
      <sheetName val="long-xe"/>
      <sheetName val="hoa"/>
      <sheetName val="viet"/>
      <sheetName val="hung"/>
      <sheetName val="tuan"/>
      <sheetName val="dai"/>
      <sheetName val="truong"/>
      <sheetName val="cuong"/>
      <sheetName val="thanh-bx"/>
      <sheetName val="minh-bl"/>
      <sheetName val="kh-hd"/>
      <sheetName val="binh"/>
      <sheetName val="cung"/>
      <sheetName val="chien"/>
      <sheetName val="chien (2)"/>
      <sheetName val="chien (3)"/>
      <sheetName val="xa"/>
      <sheetName val="huy"/>
      <sheetName val="thuan"/>
      <sheetName val="thang"/>
      <sheetName val="dong"/>
      <sheetName val="thai"/>
      <sheetName val="ngoc"/>
      <sheetName val="hien"/>
      <sheetName val="long"/>
      <sheetName val="phuong"/>
      <sheetName val="kieu"/>
      <sheetName val="thucong1"/>
      <sheetName val="Thucong2"/>
      <sheetName val="KL DUONG DC L = 90m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tong hop"/>
      <sheetName val="phan tich DG"/>
      <sheetName val="gia vat lieu"/>
      <sheetName val="gia xe may"/>
      <sheetName val="gia nhan cong"/>
      <sheetName val="XL4Test5"/>
      <sheetName val="Sua (2)"/>
      <sheetName val="Sua"/>
      <sheetName val="DGKSDA"/>
      <sheetName val="TH_BVTC"/>
      <sheetName val="BVTC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KM"/>
      <sheetName val="KHOANMUC"/>
      <sheetName val="QTNC"/>
      <sheetName val="CPQL"/>
      <sheetName val="SANLUONG"/>
      <sheetName val="SSCP-SL"/>
      <sheetName val="CPSX"/>
      <sheetName val="KQKD"/>
      <sheetName val="CDSL (2)"/>
      <sheetName val="TH theo tinh"/>
      <sheetName val="TH theo hang muc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9-2004"/>
      <sheetName val="T9-MD1"/>
      <sheetName val="T10-2004"/>
      <sheetName val="T10-MD1"/>
      <sheetName val="T11-2004"/>
      <sheetName val="T11-MD1"/>
      <sheetName val="T12-2004"/>
      <sheetName val="T12-MD1"/>
      <sheetName val="QTNC-2002"/>
      <sheetName val="QTNC2003"/>
      <sheetName val="QTNC-Tong hop"/>
      <sheetName val="QTVT-Tong hop"/>
      <sheetName val="GTQT-Tong hop"/>
      <sheetName val="QT - Duet"/>
      <sheetName val="Sheet11"/>
      <sheetName val="Sheet12"/>
      <sheetName val="Sheet13"/>
      <sheetName val="Sheet14"/>
      <sheetName val="Sheet15"/>
      <sheetName val="Sheet16"/>
      <sheetName val="HDGK-02"/>
      <sheetName val="HDGK-03"/>
      <sheetName val="HDGK-06"/>
      <sheetName val="Cover"/>
      <sheetName val="Explain"/>
      <sheetName val="General"/>
      <sheetName val="General (2)"/>
      <sheetName val="Detail price"/>
      <sheetName val="Material"/>
      <sheetName val="Machinery"/>
      <sheetName val="Material (2)"/>
      <sheetName val="Machinery (2)"/>
      <sheetName val="HDGK-D3"/>
      <sheetName val="TLGK-D3"/>
      <sheetName val="TLSon"/>
      <sheetName val="HDGK"/>
      <sheetName val="DTTC"/>
      <sheetName val="Xuong KCT"/>
      <sheetName val="HDGK-Xuong KCT (2)"/>
      <sheetName val="Doi CTlap"/>
      <sheetName val="Doi PCS"/>
      <sheetName val="Xuong DT"/>
      <sheetName val=""/>
      <sheetName val="20% BHXH"/>
      <sheetName val="TrÝch 2%KPC§"/>
      <sheetName val="TrÝch 3% BHYT"/>
      <sheetName val="SD cac TK"/>
      <sheetName val="TK336"/>
      <sheetName val="Chart1"/>
      <sheetName val="chi tiet 131"/>
      <sheetName val="Ke chi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MTL__INTER"/>
      <sheetName val="PC"/>
      <sheetName val="Ph-Thu"/>
      <sheetName val="Ph-Thu (2)"/>
      <sheetName val="PC (2)"/>
      <sheetName val="Chart2"/>
      <sheetName val="PC (3)"/>
      <sheetName val="DTCT"/>
      <sheetName val="PTVT"/>
      <sheetName val="THDT"/>
      <sheetName val="THVT"/>
      <sheetName val="THGT"/>
      <sheetName val="TongHopSuaLoé"/>
      <sheetName val="Bang ke chi tiet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Bang TH Dtman"/>
      <sheetName val="BKXN"/>
      <sheetName val="Tokhai"/>
      <sheetName val="Tokhai (2)"/>
      <sheetName val="BKHT"/>
      <sheetName val="HT"/>
      <sheetName val="giait"/>
      <sheetName val="PLbkhh"/>
      <sheetName val="TKDC11"/>
      <sheetName val="giait (2)"/>
      <sheetName val="TH thue"/>
      <sheetName val="XN Thue"/>
      <sheetName val="BH"/>
      <sheetName val="BH (2)"/>
      <sheetName val="BTH -L"/>
      <sheetName val="SLQ3"/>
      <sheetName val="QTD1"/>
      <sheetName val="THQT"/>
      <sheetName val="THQT (2)"/>
      <sheetName val="ms2"/>
      <sheetName val="TKSDD"/>
      <sheetName val="XNthue"/>
      <sheetName val="TR"/>
      <sheetName val="KTVT"/>
      <sheetName val="ktvt2"/>
      <sheetName val="TB-D2"/>
      <sheetName val="TB-D4"/>
      <sheetName val="TB-D5"/>
      <sheetName val="QT-TSCD"/>
      <sheetName val="MTB"/>
      <sheetName val="XN CUC THUE"/>
      <sheetName val="TT-THUE"/>
      <sheetName val="GXN"/>
      <sheetName val="Gthue"/>
      <sheetName val="T.TRI"/>
      <sheetName val="thkk"/>
      <sheetName val="GTr"/>
      <sheetName val="TK01 (2)"/>
      <sheetName val="M02B"/>
      <sheetName val="TK01"/>
      <sheetName val="bk mua"/>
      <sheetName val="bk ban"/>
      <sheetName val="moi11"/>
      <sheetName val="bk moi 02"/>
      <sheetName val="bk DC"/>
      <sheetName val="bk moi03"/>
      <sheetName val="bcn (2)"/>
      <sheetName val="bcn (3)"/>
      <sheetName val="bcn T3"/>
      <sheetName val="bcnM"/>
      <sheetName val="4b-TC"/>
      <sheetName val="03-TC"/>
      <sheetName val="06-TC"/>
      <sheetName val="01-TC"/>
      <sheetName val="KHVLD"/>
      <sheetName val="11TC"/>
      <sheetName val="01-KHTC"/>
      <sheetName val="06 -TC"/>
      <sheetName val="06 -TC (2)"/>
      <sheetName val="PPLN 05-tc"/>
      <sheetName val="PPLN 05-tc (3)"/>
      <sheetName val="TH ghi so"/>
      <sheetName val="dieu chinh"/>
      <sheetName val="PPLN Q4"/>
      <sheetName val="kk"/>
      <sheetName val="PPLN 05-tc (2)"/>
      <sheetName val="01-KH"/>
      <sheetName val="PPLN Q1-04"/>
      <sheetName val="PPLN Q1-04 (2)"/>
      <sheetName val="ptgt"/>
      <sheetName val="ptgt (2)"/>
      <sheetName val="th thue dt"/>
      <sheetName val="QT SDV"/>
      <sheetName val="QTTHUE TNDN"/>
      <sheetName val="qt thue gtgt"/>
      <sheetName val="th thue gtgt"/>
      <sheetName val="TK-TDT-CP-TN"/>
      <sheetName val="pl thue"/>
      <sheetName val="QTCBH-YT"/>
      <sheetName val="BCTHXDCB"/>
      <sheetName val="DTXDCB"/>
      <sheetName val="qt chi snyt"/>
      <sheetName val="BCKPCD"/>
      <sheetName val="BCthunop BHXH"/>
      <sheetName val="BCthunop BHYT"/>
      <sheetName val="BCTH-BHXH-YT"/>
      <sheetName val="BTH TTT"/>
      <sheetName val="khai thue tndn"/>
      <sheetName val="khai thue tndn (2)"/>
      <sheetName val="sdt1"/>
      <sheetName val="dc sdu thue"/>
      <sheetName val="cac CT (2)"/>
      <sheetName val="nv"/>
      <sheetName val="m.cdkt-ts"/>
      <sheetName val="m.nv"/>
      <sheetName val="m.cac CT"/>
      <sheetName val="BC KHDT"/>
      <sheetName val="III - NV"/>
      <sheetName val="BC-SDNVKH"/>
      <sheetName val="bc nam"/>
      <sheetName val="KH TSCD"/>
      <sheetName val="KE LV"/>
      <sheetName val="KH6TH"/>
      <sheetName val="KH KHCB-QI"/>
      <sheetName val="M.QII"/>
      <sheetName val="TH2XE"/>
      <sheetName val="bcKH-SC Q3"/>
      <sheetName val="bcKH-SC Q4"/>
      <sheetName val="bcKH-SC (3)"/>
      <sheetName val="bcKK TS"/>
      <sheetName val="bcKK 2003"/>
      <sheetName val="bcKK 2004 (2)"/>
      <sheetName val="bcKK T9"/>
      <sheetName val="TKHtruoc"/>
      <sheetName val="bc SCL"/>
      <sheetName val="KHCB2003"/>
      <sheetName val="m.BC kh KhH (2)"/>
      <sheetName val="KH KHCB"/>
      <sheetName val="mKH KHCB"/>
      <sheetName val="01qtdn"/>
      <sheetName val="03"/>
      <sheetName val="04"/>
      <sheetName val="05"/>
      <sheetName val="08"/>
      <sheetName val="scl-1"/>
      <sheetName val="scl-2"/>
      <sheetName val="bc mua ts"/>
      <sheetName val="(2)"/>
      <sheetName val="bbkk"/>
      <sheetName val="131"/>
      <sheetName val="331"/>
      <sheetName val="131-2 (2)"/>
      <sheetName val="ke muaTB"/>
      <sheetName val="THCP-HD4"/>
      <sheetName val="bcqt"/>
      <sheetName val="10000000"/>
      <sheetName val="Phieu cao do K95"/>
      <sheetName val="Lop 1 K98"/>
      <sheetName val="KTQT-AFC"/>
      <sheetName val="KTQT-KH"/>
      <sheetName val="CLDG"/>
      <sheetName val="CLKL"/>
      <sheetName val="Bang du toan"/>
      <sheetName val="Bu gia"/>
      <sheetName val="PT vat tu"/>
      <sheetName val="DT"/>
      <sheetName val="CP"/>
      <sheetName val="BCT6"/>
      <sheetName val="bk1"/>
      <sheetName val="nk1"/>
      <sheetName val="TK133"/>
      <sheetName val="TK 136"/>
      <sheetName val="TK 138"/>
      <sheetName val="TK141"/>
      <sheetName val="TK142"/>
      <sheetName val="BK3"/>
      <sheetName val="BPBNVL"/>
      <sheetName val="TK 155"/>
      <sheetName val="TK211"/>
      <sheetName val="TK214"/>
      <sheetName val="BPBKH"/>
      <sheetName val="TK 331"/>
      <sheetName val="BPBTL"/>
      <sheetName val="TK335"/>
      <sheetName val="TK 336"/>
      <sheetName val="TK 338"/>
      <sheetName val="BK4"/>
      <sheetName val="BK5"/>
      <sheetName val="NK7 P1"/>
      <sheetName val="NK7 P2"/>
      <sheetName val="NK7 P3"/>
      <sheetName val="NKCT 8"/>
      <sheetName val="BCDPS"/>
      <sheetName val="tuၡn"/>
      <sheetName val="km345+400-km345+500 (6'-"/>
      <sheetName val="T9"/>
      <sheetName val="T6"/>
      <sheetName val="T3"/>
      <sheetName val="T10"/>
      <sheetName val="T2"/>
      <sheetName val="SD0"/>
      <sheetName val="KL DUONG DC L_x0004_Í"/>
      <sheetName val="Y_x0004_ÏY_x0004_ÐY_x0004_ÑY_x0004_"/>
      <sheetName val="Y_x0004_ÝY_x0004_ÞY_x0004_ßY_x0004_"/>
      <sheetName val="Y_x0004_éY_x0004_êY_x0004_ëY_x0004_"/>
      <sheetName val="Y_x0004_õY_x0004_öY_x0004_÷Y_x0004_"/>
      <sheetName val="_x0001_Y_x0004__x0001__x0001_Y_x0004__x0002__x0001_Y_x0004__x0003__x0001_Y_x0004_"/>
      <sheetName val="_x0001_Y_x0004__x000d__x0001_Y_x0004__x000e__x0001_Y_x0004__x000f__x0001_Y_x0004_"/>
      <sheetName val="_x0001_Y_x0004__x0019__x0001_Y_x0004__x001a__x0001_Y_x0004__x001b__x0001_Y_x0004_"/>
      <sheetName val="_x0001_Y_x0004_&amp;_x0001_Y_x0004_'_x0001_Y_x0004_(_x0001_Y_x0004_"/>
      <sheetName val="_x0001_Y_x0004_2_x0001_Y_x0004_3_x0001_Y_x0004_4_x0001_Y_x0004_"/>
      <sheetName val="_x0001_Y_x0004_&gt;_x0001_Y_x0004_?_x0001_Y_x0004_@_x0001_Y_x0004_"/>
      <sheetName val="_x0001_Y_x0004_J_x0001_Y_x0004_K_x0001_Y_x0004_L_x0001_Y_x0004_"/>
      <sheetName val="Co quan TCT"/>
      <sheetName val="BOT"/>
      <sheetName val="BOT (PA chon)"/>
      <sheetName val="Yaly &amp; Ri Ninh"/>
      <sheetName val="Thuy dien Na Loi"/>
      <sheetName val="mau c47"/>
      <sheetName val="km337+136-ki337-350"/>
      <sheetName val="Du toan"/>
      <sheetName val="Phan tich vat tu"/>
      <sheetName val="Tong hop vat tu"/>
      <sheetName val="Tong hop gia"/>
      <sheetName val="Tro giup"/>
      <sheetName val="Nhan cong"/>
      <sheetName val="May thi cong"/>
      <sheetName val="Chi phi chung"/>
      <sheetName val="Config"/>
      <sheetName val="Thang 1"/>
      <sheetName val="Thang 10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Duong con' vu hcm (6)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ccvo12q405   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1380"/>
      <sheetName val="1381"/>
      <sheetName val="1382"/>
      <sheetName val="1383"/>
      <sheetName val="1384"/>
      <sheetName val="1385"/>
      <sheetName val="1387"/>
      <sheetName val="138"/>
      <sheetName val="141"/>
      <sheetName val="311-1"/>
      <sheetName val="3112"/>
      <sheetName val="3113"/>
      <sheetName val="3881-dl"/>
      <sheetName val="3882"/>
      <sheetName val="3881"/>
      <sheetName val="131-2"/>
      <sheetName val="1386"/>
      <sheetName val="131-1"/>
      <sheetName val="3882-l"/>
      <sheetName val="Giao"/>
      <sheetName val="CHIET TINH"/>
      <sheetName val="Bang Gia VL"/>
      <sheetName val="Tong Hop KP"/>
      <sheetName val=" DON GIA"/>
      <sheetName val="CHIET TINH THEO KH.SAT"/>
      <sheetName val="Con NCS thu"/>
      <sheetName val="BHCond_Batch"/>
      <sheetName val="KHTT"/>
      <sheetName val="KHCBthan"/>
      <sheetName val="KHTTthan"/>
      <sheetName val="KHPC"/>
      <sheetName val="KHPCthan"/>
      <sheetName val="BC tån kho than"/>
      <sheetName val="KHPCthan2002"/>
      <sheetName val="VCTT"/>
      <sheetName val="VCTh"/>
      <sheetName val="143"/>
      <sheetName val="161"/>
      <sheetName val="162"/>
      <sheetName val="163"/>
      <sheetName val="164"/>
      <sheetName val="171"/>
      <sheetName val="172"/>
      <sheetName val="310"/>
      <sheetName val="320"/>
      <sheetName val="330"/>
      <sheetName val="360"/>
      <sheetName val="410"/>
      <sheetName val="420"/>
      <sheetName val="500"/>
      <sheetName val="GIAO TBI"/>
      <sheetName val="20000000"/>
      <sheetName val="BKmua vao"/>
      <sheetName val="BKBan ra"/>
      <sheetName val="BCsudunghd"/>
      <sheetName val="TOkhaithue"/>
      <sheetName val="MTL$-JDTTY"/>
      <sheetName val="A6"/>
      <sheetName val="5 nam (tach)"/>
      <sheetName val="5 nam (tach) (2)"/>
      <sheetName val="KH 2003"/>
      <sheetName val="shorequant"/>
      <sheetName val="MV06"/>
      <sheetName val="BR06"/>
      <sheetName val="TH06"/>
      <sheetName val="TL10PH"/>
      <sheetName val="bth "/>
      <sheetName val="Khoan"/>
      <sheetName val="cvc"/>
      <sheetName val="bcl "/>
      <sheetName val="6 T-2003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BIABAO"/>
      <sheetName val="PHAN TICH VAT TU NGANG"/>
      <sheetName val="BANG DU TOAN DRC"/>
      <sheetName val="DIEN GIAI TIEN LUONG"/>
      <sheetName val="TONGKET"/>
      <sheetName val="TMINH"/>
      <sheetName val="CHIET TINH DON GIA"/>
      <sheetName val="KHOILUONG"/>
      <sheetName val="THIETBI"/>
      <sheetName val="PHAN TICH VAT TU THEO NHOM"/>
      <sheetName val="TONG HOP NHAN CONG"/>
      <sheetName val="TONG HOP CA MAY"/>
      <sheetName val="DON GIA TONG HOP"/>
      <sheetName val="DIEN GIAI CPSX"/>
      <sheetName val="BANG GIA DU TOAN THUY LOI"/>
      <sheetName val="DON GIA TONG HOP THUY LOI"/>
      <sheetName val="BANG GIA DAU THAU"/>
      <sheetName val="DIEN GIAI TIEN LUONG DRC"/>
      <sheetName val="BANG GIA DEN CHAN CT"/>
      <sheetName val="BANG BU VAN CHUYEN"/>
      <sheetName val="CHI PHI CA MAY"/>
      <sheetName val="CHI PHI NHAN CONG"/>
      <sheetName val="PHAN TICH DGCT"/>
      <sheetName val="PHAN TICH DGCT TP"/>
      <sheetName val="Khe uoc vay"/>
      <sheetName val="Tom tat"/>
      <sheetName val="TH tien vay"/>
      <sheetName val="KH tra no vay NH "/>
      <sheetName val="vay NHNo LS"/>
      <sheetName val="tr.han No LS"/>
      <sheetName val="NHNo Thanh hoa"/>
      <sheetName val="vay NHCT"/>
      <sheetName val="vay NHDT"/>
      <sheetName val="Dai han HTPT"/>
      <sheetName val="Lai quy 3 "/>
      <sheetName val="Tr.han NHCT"/>
      <sheetName val="Tr.han NHDT"/>
      <sheetName val="Von tu co HTPT"/>
      <sheetName val="KH NH"/>
      <sheetName val="HDTD BKLS"/>
      <sheetName val="LEGEND"/>
      <sheetName val="Outlets"/>
      <sheetName val="PGs"/>
      <sheetName val="KHo152"/>
      <sheetName val="Kho153"/>
      <sheetName val="Bia"/>
      <sheetName val="KL Tram Cty"/>
      <sheetName val="Gam may Cty"/>
      <sheetName val="KL tram KH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BKNHAP"/>
      <sheetName val="BKX"/>
      <sheetName val="MSVT"/>
      <sheetName val="MSSP"/>
      <sheetName val="§V"/>
      <sheetName val="N-X -T"/>
      <sheetName val="ESTI."/>
      <sheetName val="DI-ESTI"/>
      <sheetName val="Lists"/>
      <sheetName val="bang tinh chi phi KSSB"/>
      <sheetName val="bang ke khoi luong"/>
      <sheetName val="bang tinh don gia khao sat"/>
      <sheetName val="bu nha cong"/>
      <sheetName val="phu cap"/>
      <sheetName val="bang luong"/>
      <sheetName val="bangtinhchiphi"/>
      <sheetName val="VC-bocdo"/>
      <sheetName val="Chiettinh"/>
      <sheetName val="Chiphi"/>
      <sheetName val="T-nghiem"/>
      <sheetName val="T.hop-TN"/>
      <sheetName val="TH-DIEN"/>
      <sheetName val="KS-Thietke"/>
      <sheetName val="Vattu-tuphan"/>
      <sheetName val="Pbtru-trungthe"/>
      <sheetName val="PBcapABC"/>
      <sheetName val="vtthop"/>
      <sheetName val="BangTTKLQIV2000"/>
      <sheetName val="THTKnam 2000"/>
      <sheetName val="Kho than 9 thang"/>
      <sheetName val="KLQIII"/>
      <sheetName val="KL6thang"/>
      <sheetName val="KLQIV"/>
      <sheetName val="KL2000"/>
      <sheetName val="Kho gach 9 thang"/>
      <sheetName val="Kho gach2000"/>
      <sheetName val="BM moiBC2000"/>
      <sheetName val="KLQI2001"/>
      <sheetName val="KLQII2001"/>
      <sheetName val="BC ton kho than QI2001"/>
      <sheetName val="TonkhoQII"/>
      <sheetName val="THTon khoQ1&amp;GC"/>
      <sheetName val="TH ton kho 6 thang"/>
      <sheetName val="KL6 thang"/>
      <sheetName val="TKho QIV2000"/>
      <sheetName val="Ton kho 6 thang 2001"/>
      <sheetName val="KL QIV2001"/>
      <sheetName val="KL QI 2002"/>
      <sheetName val="Disch"/>
      <sheetName val="Pack"/>
      <sheetName val="Delivery"/>
      <sheetName val="M50"/>
      <sheetName val="M48"/>
      <sheetName val="M45"/>
      <sheetName val="M38"/>
      <sheetName val="D.Order"/>
      <sheetName val="Report"/>
      <sheetName val="Report.Delivery"/>
      <sheetName val="Monthly"/>
      <sheetName val="km342+500-km342+690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Mÿÿ$-PRODÿÿÿÿ-UG"/>
      <sheetName val="MTL$-PÿÿDTANK-AG"/>
      <sheetName val="Thong so chinh"/>
      <sheetName val="44"/>
      <sheetName val="43"/>
      <sheetName val="42"/>
      <sheetName val="41"/>
      <sheetName val="40"/>
      <sheetName val="39"/>
      <sheetName val="38"/>
      <sheetName val="37"/>
      <sheetName val="36"/>
      <sheetName val="35"/>
      <sheetName val="34"/>
      <sheetName val="33"/>
      <sheetName val="32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aung"/>
      <sheetName val="DUNGQUAT-6"/>
      <sheetName val="DP NOI"/>
      <sheetName val="DP NGOAI"/>
      <sheetName val="YCU-HC"/>
      <sheetName val="KHO 21ST"/>
      <sheetName val="KHO 49 TN"/>
      <sheetName val="KHO 82 TN"/>
      <sheetName val="KHO 28 TN"/>
      <sheetName val="TTBLII-58 NGT"/>
      <sheetName val="4 VT SAU"/>
      <sheetName val="74TN"/>
      <sheetName val="108 NG TRAI"/>
      <sheetName val="68A QTRUNG"/>
      <sheetName val="HT QUAY"/>
      <sheetName val="BTK TKHO"/>
      <sheetName val="818"/>
      <sheetName val="km345+661-kms45+000 (2)"/>
      <sheetName val="km338+1w6-km338+230"/>
      <sheetName val="km338+439-km388+571.x9"/>
      <sheetName val="km337+u33.60-km338 (2)"/>
      <sheetName val="km345+400-km345+5 0 (3) (2)"/>
      <sheetName val="km346+00-k_x000d_346+240 (2)"/>
      <sheetName val="k_x000d_338+60-km338+130"/>
      <sheetName val="km342+376.41- km342+52_x0010_.29"/>
      <sheetName val="km33_x0018_+571.89-km338+652"/>
      <sheetName val="km341+275-km341+35_x0010_"/>
      <sheetName val="km341+612-_x0013_41+682"/>
      <sheetName val="THChi"/>
      <sheetName val="THthu"/>
      <sheetName val="BCD"/>
      <sheetName val="111"/>
      <sheetName val="112"/>
      <sheetName val="133"/>
      <sheetName val="142"/>
      <sheetName val="152"/>
      <sheetName val="153"/>
      <sheetName val="154"/>
      <sheetName val="211"/>
      <sheetName val="214"/>
      <sheetName val="3331"/>
      <sheetName val="3334"/>
      <sheetName val="334"/>
      <sheetName val="Proj.Sum"/>
      <sheetName val="5.1TB"/>
      <sheetName val="HT1"/>
      <sheetName val="5.1"/>
      <sheetName val="HT5.1"/>
      <sheetName val="kich thuoc"/>
      <sheetName val="DTHH"/>
      <sheetName val="DTHU-T8"/>
      <sheetName val="Ch-tinh"/>
      <sheetName val="Chiet tinh dz35"/>
      <sheetName val="Quantity"/>
      <sheetName val="Trunggian"/>
      <sheetName val="Danh Sach"/>
      <sheetName val="8. Danh muc chuc danh"/>
      <sheetName val="De11A"/>
      <sheetName val="Gia vat tu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??-BLDG"/>
      <sheetName val="уровни"/>
      <sheetName val="PVGC"/>
      <sheetName val="phuluc1"/>
      <sheetName val="phuluc2"/>
      <sheetName val="phuluc3A"/>
      <sheetName val="phuluc3b"/>
      <sheetName val="Phuluc4"/>
      <sheetName val="phuluc5"/>
      <sheetName val="phuluc9"/>
      <sheetName val="phuluc10"/>
      <sheetName val="PHULUC11"/>
      <sheetName val="phuluc12"/>
      <sheetName val="CCDN"/>
      <sheetName val="_x0000_Y_x0000__x0004__x0000__x0000__x0000_Ï_x0000_Y_x0000__x0004__x0000__x0000__x0000_Ð_x0000_Y_x0000__x0004__x0000__x0000__x0000_Ñ_x0000_Y_x0000__x0004__x0000__x0000__x0000_"/>
      <sheetName val="_x0000_Y_x0000__x0004__x0000__x0000__x0000_Ý_x0000_Y_x0000__x0004__x0000__x0000__x0000_Þ_x0000_Y_x0000__x0004__x0000__x0000__x0000_ß_x0000_Y_x0000__x0004__x0000__x0000__x0000_"/>
      <sheetName val="_x0000_Y_x0000__x0004__x0000__x0000__x0000_é_x0000_Y_x0000__x0004__x0000__x0000__x0000_ê_x0000_Y_x0000__x0004__x0000__x0000__x0000_ë_x0000_Y_x0000__x0004__x0000__x0000__x0000_"/>
      <sheetName val="_x0000_Y_x0000__x0004__x0000__x0000__x0000_õ_x0000_Y_x0000__x0004__x0000__x0000__x0000_ö_x0000_Y_x0000__x0004__x0000__x0000__x0000_÷_x0000_Y_x0000__x0004__x0000__x0000__x0000_"/>
      <sheetName val="_x0001_Y_x0000__x0004__x0000__x0000__x0000__x0001__x0001_Y_x0000__x0004__x0000__x0000__x0000__x0002__x0001_Y_x0000__x0004__x0000__x0000__x0000__x0003__x0001_Y_x0000__x0004__x0000__x0000__x0000_"/>
      <sheetName val="_x0001_Y_x0000__x0004__x0000__x0000__x0000__x000d__x0001_Y_x0000__x0004__x0000__x0000__x0000__x000e__x0001_Y_x0000__x0004__x0000__x0000__x0000__x000f__x0001_Y_x0000__x0004__x0000__x0000__x0000_"/>
      <sheetName val="_x0001_Y_x0000__x0004__x0000__x0000__x0000__x0019__x0001_Y_x0000__x0004__x0000__x0000__x0000__x001a__x0001_Y_x0000__x0004__x0000__x0000__x0000__x001b__x0001_Y_x0000__x0004__x0000__x0000__x0000_"/>
      <sheetName val="_x0001_Y_x0000__x0004__x0000__x0000__x0000_&amp;_x0001_Y_x0000__x0004__x0000__x0000__x0000_'_x0001_Y_x0000__x0004__x0000__x0000__x0000_(_x0001_Y_x0000__x0004__x0000__x0000__x0000_"/>
      <sheetName val="_x0001_Y_x0000__x0004__x0000__x0000__x0000_2_x0001_Y_x0000__x0004__x0000__x0000__x0000_3_x0001_Y_x0000__x0004__x0000__x0000__x0000_4_x0001_Y_x0000__x0004__x0000__x0000__x0000_"/>
      <sheetName val="_x0001_Y_x0000__x0004__x0000__x0000__x0000_&gt;_x0001_Y_x0000__x0004__x0000__x0000__x0000_?_x0001_Y_x0000__x0004__x0000__x0000__x0000_@_x0001_Y_x0000__x0004__x0000__x0000__x0000_"/>
      <sheetName val="_x0001_Y_x0000__x0004__x0000__x0000__x0000_J_x0001_Y_x0000__x0004__x0000__x0000__x0000_K_x0001_Y_x0000__x0004__x0000__x0000__x0000_L_x0001_Y_x0000__x0004__x0000__x0000__x0000_"/>
      <sheetName val="KS"/>
      <sheetName val="DG"/>
      <sheetName val="CPTV"/>
      <sheetName val="TM"/>
      <sheetName val="Duong"/>
      <sheetName val="VLHT"/>
      <sheetName val="LT sua"/>
      <sheetName val="30000000"/>
      <sheetName val="40000000"/>
      <sheetName val="Thau"/>
      <sheetName val="Mong"/>
      <sheetName val="CT-BT"/>
      <sheetName val="bao ve"/>
      <sheetName val="doi xe"/>
      <sheetName val="lap may"/>
      <sheetName val="Co quan"/>
      <sheetName val="Xay dung"/>
      <sheetName val="ket cau"/>
      <sheetName val="luong le"/>
      <sheetName val="co khi"/>
      <sheetName val="KLQII02"/>
      <sheetName val="KL QIII02"/>
      <sheetName val="KL ca nam"/>
      <sheetName val="Bieu M4"/>
      <sheetName val="KLQ III2003"/>
      <sheetName val="KLQI2004"/>
      <sheetName val="TK 6&amp;ca nam 03"/>
      <sheetName val="Bieu M5"/>
      <sheetName val="TKQ3-04-m3a"/>
      <sheetName val="TK-Q3-04-M2A-dc,td"/>
      <sheetName val=" 2"/>
      <sheetName val="8+9"/>
      <sheetName val="15+16"/>
      <sheetName val=" 20"/>
      <sheetName val=" 21"/>
      <sheetName val=" 22+23"/>
      <sheetName val="KH23"/>
      <sheetName val=" 27"/>
      <sheetName val=" 28"/>
      <sheetName val=" "/>
      <sheetName val="TL"/>
      <sheetName val="CT"/>
      <sheetName val="GK"/>
      <sheetName val="917"/>
      <sheetName val="CB"/>
      <sheetName val="VP"/>
      <sheetName val="TQT"/>
      <sheetName val="VC"/>
      <sheetName val="VL"/>
      <sheetName val="ND"/>
      <sheetName val="411"/>
      <sheetName val="421"/>
      <sheetName val="511"/>
      <sheetName val="621"/>
      <sheetName val="622"/>
      <sheetName val="623"/>
      <sheetName val="627b"/>
      <sheetName val="_x0001_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 refreshError="1"/>
      <sheetData sheetId="1078" refreshError="1"/>
      <sheetData sheetId="1079" refreshError="1"/>
      <sheetData sheetId="1080" refreshError="1"/>
      <sheetData sheetId="1081"/>
      <sheetData sheetId="1082"/>
      <sheetData sheetId="1083"/>
      <sheetData sheetId="1084"/>
      <sheetData sheetId="1085"/>
      <sheetData sheetId="1086"/>
      <sheetData sheetId="1087"/>
      <sheetData sheetId="108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PNT-QUOT-#3"/>
      <sheetName val="COAT&amp;WRAP-QIOT-#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  <sheetName val="NEW-PANEL"/>
      <sheetName val="Du_lieu"/>
      <sheetName val="DanhMuc"/>
      <sheetName val="IBASE"/>
      <sheetName val="MTL$-INTER"/>
      <sheetName val="THKP"/>
      <sheetName val="gia vt,nc,may"/>
      <sheetName val="LKVL-CK-HT-GD1"/>
      <sheetName val="VT,NC,M"/>
      <sheetName val="1_HAGIANG"/>
      <sheetName val="2_TUYEN_QUANG"/>
      <sheetName val="3_CAOBANG"/>
      <sheetName val="4_LANGSON"/>
      <sheetName val="5_LAOCAI"/>
      <sheetName val="6_YENBAI"/>
      <sheetName val="7_THAI_NGUYEN"/>
      <sheetName val="8_BAC_CAN"/>
      <sheetName val="9_PHU_THO"/>
      <sheetName val="10_VINH_PHUC"/>
      <sheetName val="11_BAC_GIANG"/>
      <sheetName val="12_BAC_NINH"/>
      <sheetName val="13_QUANG_NINH"/>
      <sheetName val="14_HOA_BINH"/>
      <sheetName val="15_SON_LA"/>
      <sheetName val="16_LAI_CHAU"/>
      <sheetName val="17_HA_NOI"/>
      <sheetName val="18_HAI_PHONG"/>
      <sheetName val="19_HAI_DUONG"/>
      <sheetName val="20_HUNG_YEN"/>
      <sheetName val="21_HA_TAY"/>
      <sheetName val="22_THAI_BINH"/>
      <sheetName val="23_NAM_DINH"/>
      <sheetName val="24_HA_NAM"/>
      <sheetName val="25_NINH_BINH"/>
      <sheetName val="26_THANH_HOA"/>
      <sheetName val="27_NGHE_AN"/>
      <sheetName val="28_HA_TINH"/>
      <sheetName val="29_QUANG_BINH"/>
      <sheetName val="30_QUANG_TRI"/>
      <sheetName val="31_THUA_THIEN_HUE"/>
      <sheetName val="32_TP_DA_NANG"/>
      <sheetName val="33_QUANG_NAM"/>
      <sheetName val="34_QUANG_NGAI_"/>
      <sheetName val="35_BINH_DINH"/>
      <sheetName val="36_PHU_YEN"/>
      <sheetName val="37_KHANH_HOA"/>
      <sheetName val="38_DAC_LAC_"/>
      <sheetName val="39_GIA_LAI"/>
      <sheetName val="40_KON_TUM_"/>
      <sheetName val="41_LAM_DONG"/>
      <sheetName val="42_TP_HO_CHI_MINH"/>
      <sheetName val="43_DONG_NAI"/>
      <sheetName val="44_BINH_DUONG"/>
      <sheetName val="45_BINH_PHUOC"/>
      <sheetName val="46_TAY_NINH"/>
      <sheetName val="47_BA_RIA_VT"/>
      <sheetName val="48_NINH_THUAN"/>
      <sheetName val="49_BINH_THUAN_"/>
      <sheetName val="50_LONG_AN"/>
      <sheetName val="51_TIEN_GIANG"/>
      <sheetName val="52_BEN_TRE"/>
      <sheetName val="53_TRA_VINH"/>
      <sheetName val="54_VINH_LONG"/>
      <sheetName val="55_CAN_THO"/>
      <sheetName val="56_SOC_TRANG"/>
      <sheetName val="57_AN_GIANG"/>
      <sheetName val="58_DONG_THAP"/>
      <sheetName val="59_KIEN_GIANG"/>
      <sheetName val="60_BAC_LIEU"/>
      <sheetName val="61_CA_MAU"/>
      <sheetName val="NS"/>
      <sheetName val="J(Priv.Cap)"/>
      <sheetName val="Old Table"/>
      <sheetName val="GVL"/>
      <sheetName val="gia_vt,nc,may"/>
      <sheetName val="KH-Q1,Q2,01"/>
      <sheetName val="2.7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  <sheetName val="NS"/>
      <sheetName val="dtxl"/>
      <sheetName val="2.withQSXK"/>
      <sheetName val="2_59_1"/>
      <sheetName val="2_1"/>
      <sheetName val="2_2"/>
      <sheetName val="2_3_"/>
      <sheetName val="2_4"/>
      <sheetName val="2_5"/>
      <sheetName val="2_6"/>
      <sheetName val="2_7"/>
      <sheetName val="2_8"/>
      <sheetName val="2_9"/>
      <sheetName val="2_10"/>
      <sheetName val="2_11"/>
      <sheetName val="2_12"/>
      <sheetName val="2_13"/>
      <sheetName val="2_14"/>
      <sheetName val="2_15"/>
      <sheetName val="2_16"/>
      <sheetName val="2_17"/>
      <sheetName val="2_18"/>
      <sheetName val="2_19"/>
      <sheetName val="2_20"/>
      <sheetName val="2_21"/>
      <sheetName val="2_22"/>
      <sheetName val="2_23"/>
      <sheetName val="2_24"/>
      <sheetName val="2_25"/>
      <sheetName val="2_26"/>
      <sheetName val="2_27"/>
      <sheetName val="2_28"/>
      <sheetName val="2_29"/>
      <sheetName val="2_30"/>
      <sheetName val="2_31"/>
      <sheetName val="2_32"/>
      <sheetName val="2_33"/>
      <sheetName val="2_34"/>
      <sheetName val="2_35"/>
      <sheetName val="2_36"/>
      <sheetName val="2_37"/>
      <sheetName val="2_38"/>
      <sheetName val="2_38_1"/>
      <sheetName val="2_38_2"/>
      <sheetName val="2_38_3"/>
      <sheetName val="2_39"/>
      <sheetName val="2_40"/>
      <sheetName val="2_41"/>
      <sheetName val="2_42"/>
      <sheetName val="2_43"/>
      <sheetName val="2_44"/>
      <sheetName val="2_45"/>
      <sheetName val="2_46"/>
      <sheetName val="2_47"/>
      <sheetName val="2_48"/>
      <sheetName val="2_49"/>
      <sheetName val="2_50"/>
      <sheetName val="2_51"/>
      <sheetName val="2_52"/>
      <sheetName val="2_53"/>
      <sheetName val="2_54"/>
      <sheetName val="2_55"/>
      <sheetName val="2_56"/>
      <sheetName val="2_57"/>
      <sheetName val="2_58"/>
      <sheetName val="2_59"/>
      <sheetName val="2_60"/>
      <sheetName val="2_61"/>
      <sheetName val="2_62"/>
      <sheetName val="2_63"/>
      <sheetName val="2_64"/>
      <sheetName val="2_65"/>
      <sheetName val="2_66"/>
      <sheetName val="2_67"/>
      <sheetName val="2_68"/>
      <sheetName val="2_69"/>
      <sheetName val="2_70"/>
      <sheetName val="2_71"/>
      <sheetName val="2_72"/>
      <sheetName val="2_73"/>
      <sheetName val="2_74"/>
      <sheetName val="2_74_1"/>
      <sheetName val="2_90"/>
      <sheetName val="7_THAI_NGUYEN"/>
      <sheetName val="Ban_ra"/>
      <sheetName val="2_withQSXK"/>
      <sheetName val="HT"/>
      <sheetName val="VT,NC,M"/>
      <sheetName val="I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Nhap_lieu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CDSPS"/>
      <sheetName val="BCDKT"/>
      <sheetName val="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Km282-Km_x0003_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V70">
            <v>406</v>
          </cell>
        </row>
        <row r="71">
          <cell r="AI71" t="str">
            <v xml:space="preserve">SILICONE RESIN 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Nhap_lieu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CDSPS"/>
      <sheetName val="BCDKT"/>
      <sheetName val="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Km282-Km_x0003_"/>
      <sheetName val="23+327"/>
      <sheetName val="23+468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km22+267.96-km22+283.96"/>
      <sheetName val="km22+304.31-km22+344.31"/>
      <sheetName val="km22+460.92-km22+614.57"/>
      <sheetName val="km22+671.78-km22+713.32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2.74"/>
      <sheetName val="NS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BaTrieu-L.con"/>
      <sheetName val="EDT - Ro"/>
      <sheetName val=".tuanM"/>
      <sheetName val="Dinh_ha nha"/>
      <sheetName val="[IBASE2.XLS}BHXH"/>
      <sheetName val="Chart3"/>
      <sheetName val="Chart2"/>
      <sheetName val="T8-9)"/>
      <sheetName val="T6"/>
      <sheetName val="01"/>
      <sheetName val="THU T12"/>
      <sheetName val="CHI T12"/>
      <sheetName val="THU T11"/>
      <sheetName val="CHI T11"/>
      <sheetName val="THU T10"/>
      <sheetName val="CHI T10"/>
      <sheetName val="THU T9"/>
      <sheetName val="CHI T9"/>
      <sheetName val="THU T8"/>
      <sheetName val="CHI T8"/>
      <sheetName val="THU T7"/>
      <sheetName val="CHI T7"/>
      <sheetName val="THU T6"/>
      <sheetName val="CHI T6"/>
      <sheetName val="THU T5"/>
      <sheetName val="CHI T5"/>
      <sheetName val="THU T4"/>
      <sheetName val="CHI T4"/>
      <sheetName val="THU T3"/>
      <sheetName val="CHI T3"/>
      <sheetName val="THU T2"/>
      <sheetName val="CHI T2"/>
      <sheetName val="THU T1"/>
      <sheetName val="CHI T1"/>
      <sheetName val="CDSM (2)"/>
      <sheetName val="02.1"/>
      <sheetName val="2.1"/>
      <sheetName val="2.3"/>
      <sheetName val="02.3"/>
      <sheetName val="05"/>
      <sheetName val="03"/>
      <sheetName val="06"/>
      <sheetName val="B 01"/>
      <sheetName val="B 03"/>
      <sheetName val="D 13"/>
      <sheetName val="Q-03"/>
      <sheetName val="Q-04"/>
      <sheetName val="Q-05"/>
      <sheetName val="D15"/>
      <sheetName val="D20"/>
      <sheetName val="D19"/>
      <sheetName val="120"/>
      <sheetName val="IFAD"/>
      <sheetName val="CVHN"/>
      <sheetName val="TCVM"/>
      <sheetName val="RIDP"/>
      <sheetName val="LDNN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e"/>
      <sheetName val="Sheed5"/>
      <sheetName val="TL"/>
      <sheetName val="GK"/>
      <sheetName val="CB"/>
      <sheetName val="VP"/>
      <sheetName val="Km274-Km274"/>
      <sheetName val="Km27'-Km278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KHVô XL"/>
      <sheetName val="Coc 6"/>
      <sheetName val="THQII"/>
      <sheetName val="Trung"/>
      <sheetName val="THQIII"/>
      <sheetName val="THT nam 04"/>
      <sheetName val="142201ȭT4"/>
      <sheetName val="BTH"/>
      <sheetName val="luongt 13"/>
      <sheetName val="LUONG 1"/>
      <sheetName val="LUONG 2"/>
      <sheetName val="LUONG 3"/>
      <sheetName val="Luong 4"/>
      <sheetName val="CTP 4"/>
      <sheetName val="Thuno"/>
      <sheetName val="Anca 4"/>
      <sheetName val="THUONG TET"/>
      <sheetName val="thuong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Bia¸"/>
      <sheetName val="T8-9B"/>
      <sheetName val="T8-9þ"/>
      <sheetName val="Bia_x0018_"/>
      <sheetName val="QD cua HDQT (ÿÿ"/>
      <sheetName val="ÿÿÿÿi ngoai tongÿÿ2)"/>
      <sheetName val="Mix-Tarpaulin"/>
      <sheetName val="Tarpaulin"/>
      <sheetName val="Price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΄Cxdcb"/>
      <sheetName val="HD CTrinh1"/>
      <sheetName val="HD benA"/>
      <sheetName val="KHTC"/>
      <sheetName val="BCTC"/>
      <sheetName val="Soqui"/>
      <sheetName val="Tienvay"/>
      <sheetName val="CTthanhtoan"/>
      <sheetName val="CTietHD"/>
      <sheetName val="Theodoi HD"/>
      <sheetName val="Theodoi HD (2)"/>
      <sheetName val="VLieu"/>
      <sheetName val="May"/>
      <sheetName val="NCong"/>
      <sheetName val="gia vt,nc,may"/>
      <sheetName val="THKP"/>
      <sheetName val="CHITIET VL-NC"/>
      <sheetName val="DON GIA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Sheet12"/>
      <sheetName val="BC§ 2001"/>
      <sheetName val="BBC§ 2002"/>
      <sheetName val="TSC§ 2001"/>
      <sheetName val="TSc® 2002"/>
      <sheetName val="Thang1"/>
      <sheetName val="Thang2"/>
      <sheetName val="Thang3"/>
      <sheetName val="Thang 4"/>
      <sheetName val="23+32þ"/>
      <sheetName val="[IBASE2.XLS_Tong hop Matduong"/>
      <sheetName val="PXKT1"/>
      <sheetName val="PXKT2"/>
      <sheetName val="PXKT3"/>
      <sheetName val="PXKT4"/>
      <sheetName val="PXKT5"/>
      <sheetName val="May khau"/>
      <sheetName val="PXKT6Via 11"/>
      <sheetName val="PXKT7"/>
      <sheetName val="PXKTLo Thien V 14A"/>
      <sheetName val="V14 phu"/>
      <sheetName val="V15"/>
      <sheetName val="V7"/>
      <sheetName val="V9"/>
      <sheetName val="Via 16 Lthien"/>
      <sheetName val="V6a"/>
      <sheetName val="PXKT8"/>
      <sheetName val="XXXXXXX0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7 THAI NGUYEN"/>
      <sheetName val="[IBASE2.XLS䁝BC6tT17"/>
      <sheetName val="TK13_x0005_"/>
      <sheetName val="02"/>
      <sheetName val="04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Bia¬"/>
      <sheetName val="THQþ"/>
      <sheetName val="Nhap_lieÈ"/>
      <sheetName val="PNT-QUOT-#3"/>
      <sheetName val="COAT&amp;WRAP-QIOT-#3"/>
      <sheetName val="T8-9@"/>
      <sheetName val="tô rôiDY"/>
      <sheetName val="ATCANING"/>
      <sheetName val="KNH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Tonf hop"/>
      <sheetName val="CoquyTM"/>
      <sheetName val="TH_B¸"/>
      <sheetName val="T8-9_x0008_"/>
      <sheetName val="det VP"/>
      <sheetName val="det hn"/>
      <sheetName val="19-5"/>
      <sheetName val="X26-2"/>
      <sheetName val="x26"/>
      <sheetName val="chi Hieu"/>
      <sheetName val="c thoa"/>
      <sheetName val="A thanh - DL"/>
      <sheetName val="A Tuyen"/>
      <sheetName val="A Tien -laphu"/>
      <sheetName val="A Thang- laphu"/>
      <sheetName val="DMHN"/>
      <sheetName val="A Dong"/>
      <sheetName val="27-7 NB"/>
      <sheetName val="ATuan-PN"/>
      <sheetName val="X20"/>
      <sheetName val="xn 5"/>
      <sheetName val="PKD X20"/>
      <sheetName val="da giay SG"/>
      <sheetName val="dagiay XK"/>
      <sheetName val="DK Dong xuan"/>
      <sheetName val="chu Ton"/>
      <sheetName val="minh tri"/>
      <sheetName val="viet huy"/>
      <sheetName val="thanh ha"/>
      <sheetName val="O Su"/>
      <sheetName val="A Ha-DL"/>
      <sheetName val="Vinh oanh"/>
      <sheetName val="chi Thuy"/>
      <sheetName val="chu Hong"/>
      <sheetName val="thuy- may"/>
      <sheetName val="CHuong(VT)"/>
      <sheetName val="XNK-hnam"/>
      <sheetName val="7-5HQ"/>
      <sheetName val="vu yen"/>
      <sheetName val="Du_lieu"/>
      <sheetName val="Chart䀀"/>
      <sheetName val="T8-9("/>
      <sheetName val="Nhap_lie"/>
      <sheetName val="Nhap_lie("/>
      <sheetName val=" GT CPhi tung dot"/>
      <sheetName val="ESTI."/>
      <sheetName val="DI-ESTI"/>
      <sheetName val="THTBþ"/>
      <sheetName val="CongNo"/>
      <sheetName val="TD khao sat"/>
      <sheetName val="_x0000__x0000__x0005__x0000__x0000_"/>
      <sheetName val="nghi dinh-_x0004__x0010_"/>
      <sheetName val="Cong hop 2,0ࡸ2,0"/>
      <sheetName val="Km282-Km_x0003_?3"/>
      <sheetName val="Biaþ"/>
      <sheetName val="Luot"/>
      <sheetName val="lapdap TB "/>
      <sheetName val="IBASE2"/>
      <sheetName val="T8-9h"/>
      <sheetName val="KQKDKT#04-1"/>
      <sheetName val="VtuHaTheSauTBABenThuy1 Ш2)"/>
      <sheetName val="T8-9X"/>
      <sheetName val="MTL$-INTER"/>
      <sheetName val="Ca.D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thu"/>
      <sheetName val="T.Coc"/>
      <sheetName val="D.Nghia"/>
      <sheetName val="P.Phu"/>
      <sheetName val="P.Lai"/>
      <sheetName val="N.Xuyen"/>
      <sheetName val="H.quan"/>
      <sheetName val="S.Dang"/>
      <sheetName val="TT.DH"/>
      <sheetName val="N.Quan"/>
      <sheetName val="C.Dam"/>
      <sheetName val="M.Luong"/>
      <sheetName val="B.luan"/>
      <sheetName val="GIA 뭼UOC"/>
      <sheetName val="Soqu_x0005__x0000__x0000_"/>
      <sheetName val="T8-9_x0005_"/>
      <sheetName val="Diem mon hoc"/>
      <sheetName val="Diem Tong ket"/>
      <sheetName val="DS - HoTen"/>
      <sheetName val="DS-Loc"/>
      <sheetName val="thong ke_x0000_"/>
      <sheetName val="Bang can doi "/>
      <sheetName val="Tinh hinh cat lang"/>
      <sheetName val="Tinh hinh SX phu"/>
      <sheetName val="Tinh hinh do xop"/>
      <sheetName val="chi phi cap tien"/>
      <sheetName val="TH dat "/>
      <sheetName val="DZ22"/>
      <sheetName val="TTDZ22"/>
      <sheetName val="VtuHaTheSauTBANg⤤yenDu6"/>
      <sheetName val="〴7"/>
      <sheetName val="ɾT"/>
      <sheetName val="tr_tinhDZc!othe"/>
      <sheetName val="t2_tinhTBA"/>
      <sheetName val="BL2"/>
      <sheetName val="KG2"/>
      <sheetName val="Cong tron D7'"/>
      <sheetName val="Giathanh1m3BT"/>
      <sheetName val="tien _x0000_uong"/>
      <sheetName val="_x0000_Y_BA"/>
      <sheetName val="_IBASE2.XLSѝTNHNoi"/>
      <sheetName val="°:nh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SANNUONG"/>
      <sheetName val="thkn (2)"/>
      <sheetName val="Vchuygn(C)"/>
      <sheetName val="342201-T10"/>
      <sheetName val="km208"/>
      <sheetName val="DMX"/>
      <sheetName val="Bia0"/>
      <sheetName val="DMT_x0000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KHVt_"/>
      <sheetName val="KHVt_XL"/>
      <sheetName val="KHVt_XLT4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hep_be"/>
      <sheetName val="Thep_than"/>
      <sheetName val="Thep_xa_mu"/>
      <sheetName val="Nhap_lieu1"/>
      <sheetName val="Tien_dien"/>
      <sheetName val="Thue_GTGT"/>
      <sheetName val="142201-T1_"/>
      <sheetName val="142201-T2-th_"/>
      <sheetName val="142201-T3-th_"/>
      <sheetName val="142201-T4-th__"/>
      <sheetName val="_t5"/>
      <sheetName val="t_4"/>
      <sheetName val="_t3_"/>
      <sheetName val="_TH331"/>
      <sheetName val="_Minh_ha"/>
      <sheetName val="_Ha_Tay"/>
      <sheetName val="_Vinhphuc"/>
      <sheetName val="_Nbinh"/>
      <sheetName val="_QVinh"/>
      <sheetName val="_TW1"/>
      <sheetName val="VtuHaTheSauTBABenThuy1_(2)"/>
      <sheetName val="Kluong_phu"/>
      <sheetName val="Lan_can"/>
      <sheetName val="Ho_lan"/>
      <sheetName val="Coc_tieu"/>
      <sheetName val="Bien_bao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kl_(2)"/>
      <sheetName val="long_tec"/>
      <sheetName val="Km274_-_Km275"/>
      <sheetName val="Km275_-_Km276"/>
      <sheetName val="Km276_-_Km277"/>
      <sheetName val="Km277_-_Km278_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Matduong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Tong_hop"/>
      <sheetName val="Tong_hop_(2)"/>
      <sheetName val="Cong_cu"/>
      <sheetName val="Cot_thep"/>
      <sheetName val="Cong_tron_D75"/>
      <sheetName val="Cong_tron_D100"/>
      <sheetName val="Cong_tron_D150"/>
      <sheetName val="Cong_tron_2D150"/>
      <sheetName val="Cong_ban_1,0x1,0"/>
      <sheetName val="Cong_ban_1,0x1,2"/>
      <sheetName val="Cong_hop_1,5x1,5"/>
      <sheetName val="Cong_hop_2,0x1,5"/>
      <sheetName val="Cong_hop_2,0x2,0"/>
      <sheetName val="Song_trai"/>
      <sheetName val="Dinh+ha_nha"/>
      <sheetName val="NG_k"/>
      <sheetName val="Trich_Ngang"/>
      <sheetName val="Danh_sach_Rieng"/>
      <sheetName val="Dia_Diem_Thuc_Tap"/>
      <sheetName val="De_Tai_Thuc_Tap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_so_thay_doi"/>
      <sheetName val="b_THchitietDZCT"/>
      <sheetName val="b_THchitietTBA"/>
      <sheetName val="Khao_sat"/>
      <sheetName val="TT_khao_sat"/>
      <sheetName val="SCT_Cong_trinh"/>
      <sheetName val="06-2003_(2)"/>
      <sheetName val="CDPS_6tc"/>
      <sheetName val="SCT_Nha_thau"/>
      <sheetName val="socai2003_(6tc)dp"/>
      <sheetName val="socai2003_(6tc)"/>
      <sheetName val="CDPS_6tc_(2)"/>
      <sheetName val="phan_tich_DG"/>
      <sheetName val="gia_vat_lieu"/>
      <sheetName val="gia_xe_may"/>
      <sheetName val="gia_nhan_cong"/>
      <sheetName val="CDSL_(2)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Don_gia_CPM"/>
      <sheetName val="Tong_Thieu_HD_cac_CT-2001"/>
      <sheetName val="VL_thieu_HD_-_2001"/>
      <sheetName val="Tong_thieu_HD_cac_CT_-_2002"/>
      <sheetName val="Lan_trai"/>
      <sheetName val="Van_chuyen"/>
      <sheetName val="HDong_VC"/>
      <sheetName val="ThieuHD_nam_2001"/>
      <sheetName val="Bang_TH"/>
      <sheetName val="Tong_Chinh"/>
      <sheetName val="TH_du_toan_"/>
      <sheetName val="Du_toan_"/>
      <sheetName val="C_Tinh"/>
      <sheetName val="giai_thich"/>
      <sheetName val="DT_-_Ro"/>
      <sheetName val="TH_-_Ro_"/>
      <sheetName val="GDT_-_Ro"/>
      <sheetName val="DT_-_TB"/>
      <sheetName val="TH_-_TB"/>
      <sheetName val="GDT_-_TB"/>
      <sheetName val="DT_-_NT"/>
      <sheetName val="TH_-_NT"/>
      <sheetName val="GDT_-_NT"/>
      <sheetName val="ql_(2)"/>
      <sheetName val="F_ThanhTri"/>
      <sheetName val="F_Gialam"/>
      <sheetName val="TH_dam"/>
      <sheetName val="SX_dam"/>
      <sheetName val="LD_dam"/>
      <sheetName val="Bang_gia_VL"/>
      <sheetName val="Gia_NC"/>
      <sheetName val="Gia_may"/>
      <sheetName val="KQKD02-2_(2)"/>
      <sheetName val="KQKD-2_(2)"/>
      <sheetName val="KQKD_thu2004"/>
      <sheetName val="Dancau-Q_Ninh"/>
      <sheetName val="BaTrieu-L_son"/>
      <sheetName val="T03_-_03"/>
      <sheetName val="THL_T03"/>
      <sheetName val="TTBC_T03"/>
      <sheetName val="Luong_noi_Bo_-_T3"/>
      <sheetName val="Tong_hop_-_T3"/>
      <sheetName val="Thuong_Quy_3"/>
      <sheetName val="Phu_cap_trach_nhiem"/>
      <sheetName val="Tay_ninh"/>
      <sheetName val="A_Duc"/>
      <sheetName val="DOANH_SO"/>
      <sheetName val="BD-SINH_VIEN"/>
      <sheetName val="BC_TH_CK_(2)"/>
      <sheetName val="BC_TH_CK"/>
      <sheetName val="BC6tT19_food"/>
      <sheetName val="BC6tT18_-_Food"/>
      <sheetName val="BCCK_4"/>
      <sheetName val="BCFood-_T16"/>
      <sheetName val="BCFood-_T15"/>
      <sheetName val="BCFood-_T14"/>
      <sheetName val="BCFood-_T13"/>
      <sheetName val="TH_CK2"/>
      <sheetName val="BC6tT52_(3)"/>
      <sheetName val="BC6tT52_(2)"/>
      <sheetName val="TCK_12"/>
      <sheetName val="Tong_CK"/>
      <sheetName val="HHVt_"/>
      <sheetName val="Co~g_hop_1,5x1,5"/>
      <sheetName val="So_sanh"/>
      <sheetName val="Xaylap_"/>
      <sheetName val="Nhan_cong"/>
      <sheetName val="_KQTH_quy_hoach_135"/>
      <sheetName val="Bao_cao_KQTH_quy_hoach_135"/>
      <sheetName val="CT_03"/>
      <sheetName val="TH_03"/>
      <sheetName val="CV_di_trong__dong"/>
      <sheetName val="BaTrieu-L_con"/>
      <sheetName val="EDT_-_Ro"/>
      <sheetName val="Heso_3-2004_(3)"/>
      <sheetName val="Luong_(2)"/>
      <sheetName val="heso_T3"/>
      <sheetName val="heso_T4"/>
      <sheetName val="heso_T5"/>
      <sheetName val="Heso_T6"/>
      <sheetName val="Heso_T7"/>
      <sheetName val="Heso_T8"/>
      <sheetName val="Heso_T9"/>
      <sheetName val="Heso_2-2004"/>
      <sheetName val="Heso_3-2004"/>
      <sheetName val="Heso_3-2004_(2)"/>
      <sheetName val="[IBASE2_XLSѝTNHNoi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GIA_NUOC"/>
      <sheetName val="GIA_DIEN_THOAI"/>
      <sheetName val="GIA_DIEN"/>
      <sheetName val="chiet_tinh_XD"/>
      <sheetName val="Triet_T"/>
      <sheetName val="Phan_tich_gia"/>
      <sheetName val="pHAN_CONG"/>
      <sheetName val="GIA_XD"/>
      <sheetName val="TK__TK"/>
      <sheetName val="bcth_05-04"/>
      <sheetName val="baocao_05-04"/>
      <sheetName val="nhan_su"/>
      <sheetName val="luong_cty"/>
      <sheetName val="Luu_goc"/>
      <sheetName val="km22+93_86-km22+121_86"/>
      <sheetName val="km22+177_14-km22+205_64"/>
      <sheetName val="Bang_20-25"/>
      <sheetName val="km22+267_96-km22+283_96"/>
      <sheetName val="km22+304_31-km22+344_31"/>
      <sheetName val="km22+460_92-km22+614_57"/>
      <sheetName val="km22+671_78-km22+713_32"/>
      <sheetName val="tô_rôiDY"/>
      <sheetName val="T_K_H_T_T5"/>
      <sheetName val="T_K_T7"/>
      <sheetName val="TK_T6"/>
      <sheetName val="T_K_T5"/>
      <sheetName val="Bang_thong_ke_hang_ton"/>
      <sheetName val="thong_ke_"/>
      <sheetName val="T_KT04"/>
      <sheetName val="Dinh_ha_nha"/>
      <sheetName val="Km282-Km3"/>
      <sheetName val="[IBASE2_XLS}BHXH"/>
      <sheetName val="_tuanM"/>
      <sheetName val="Tuan_1_01"/>
      <sheetName val="Tuan_3_01_"/>
      <sheetName val="Tuan_5_06_"/>
      <sheetName val="Tuan_6_06__"/>
      <sheetName val="Tuan_7_06_"/>
      <sheetName val="Tuan_7_06__(2)"/>
      <sheetName val="Tuan10,06_"/>
      <sheetName val="Tuan11,06__"/>
      <sheetName val="Bao_cao_DD_31_3_06"/>
      <sheetName val="Bao_cao_DD_30_4_06"/>
      <sheetName val="Bao_cao_DD_31_5_06_"/>
      <sheetName val="Bao_cao_Quy_I-06"/>
      <sheetName val="Bao_cao_DD_30_6_06"/>
      <sheetName val="Bao_cao_DD_31_7_06"/>
      <sheetName val="2_74"/>
      <sheetName val="THU_T12"/>
      <sheetName val="CHI_T12"/>
      <sheetName val="THU_T11"/>
      <sheetName val="CHI_T11"/>
      <sheetName val="THU_T10"/>
      <sheetName val="CHI_T10"/>
      <sheetName val="THU_T9"/>
      <sheetName val="CHI_T9"/>
      <sheetName val="THU_T8"/>
      <sheetName val="CHI_T8"/>
      <sheetName val="THU_T7"/>
      <sheetName val="CHI_T7"/>
      <sheetName val="THU_T6"/>
      <sheetName val="CHI_T6"/>
      <sheetName val="THU_T5"/>
      <sheetName val="CHI_T5"/>
      <sheetName val="THU_T4"/>
      <sheetName val="CHI_T4"/>
      <sheetName val="THU_T3"/>
      <sheetName val="CHI_T3"/>
      <sheetName val="THU_T2"/>
      <sheetName val="CHI_T2"/>
      <sheetName val="THU_T1"/>
      <sheetName val="CHI_T1"/>
      <sheetName val="CDSM_(2)"/>
      <sheetName val="02_1"/>
      <sheetName val="2_1"/>
      <sheetName val="2_3"/>
      <sheetName val="02_3"/>
      <sheetName val="B_01"/>
      <sheetName val="B_03"/>
      <sheetName val="D_13"/>
      <sheetName val="BTH_Phieu_thu"/>
      <sheetName val="BTH_Phieu_chi"/>
      <sheetName val="SCT_NVL"/>
      <sheetName val="NK_SO_CAI"/>
      <sheetName val="SCT_TK_331"/>
      <sheetName val="So_CFSXKD"/>
      <sheetName val="SCT__TK_131"/>
      <sheetName val="So_TGNH_2003"/>
      <sheetName val="So_quy_TM_2002"/>
      <sheetName val="The_tinh_Z"/>
      <sheetName val="So_kho_nguyen_vat_lieu"/>
      <sheetName val="BTH_NVL"/>
      <sheetName val="So_theo_doi_thue_GTGT"/>
      <sheetName val="BC_thanh_QT_hoa_don_nam_2003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KHVô_XL"/>
      <sheetName val="Coc_6"/>
      <sheetName val="THT_nam_04"/>
      <sheetName val="luongt_13"/>
      <sheetName val="LUONG_1"/>
      <sheetName val="LUONG_2"/>
      <sheetName val="LUONG_3"/>
      <sheetName val="Luong_4"/>
      <sheetName val="CTP_4"/>
      <sheetName val="Anca_4"/>
      <sheetName val="THUONG_TET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For_Summary"/>
      <sheetName val="For_Summary(KG)"/>
      <sheetName val="PP_Cloth"/>
      <sheetName val="Mix-PP_Cloth"/>
      <sheetName val="Material_Price-PP"/>
      <sheetName val="QD_cua_HDQT_(ÿÿ"/>
      <sheetName val="ÿÿÿÿi_ngoai_tongÿÿ2)"/>
      <sheetName val="GIA_뭼UOC"/>
      <sheetName val="Soqu"/>
      <sheetName val="HD_CTrinh1"/>
      <sheetName val="HD_benA"/>
      <sheetName val="Theodoi_HD"/>
      <sheetName val="Theodoi_HD_(2)"/>
      <sheetName val="nphuocb 4"/>
      <sheetName val="QDcua TGD (2)_x0000__x0000__x0000__x0000__x0000__x0000__x0000__x0000__x0000__x0000__x0000__x0000_䚼˰_x0000__x0004__x0000__x0000_"/>
      <sheetName val="Tong_ke"/>
      <sheetName val="XXXXXX?X"/>
      <sheetName val="tien "/>
      <sheetName val="T6-99_x0000__x0000__x0000__x0000__x0000__x0000__x0000__x0000__x0000__x0000_ _x0000__x0012_[IBASE2.XLS]T"/>
      <sheetName val="T4-99_x0005__x0000__x0000_T5-99"/>
      <sheetName val="[IBASE2.XLS뭝êm283-Km284"/>
      <sheetName val="CHITIET VL-NCHT1 (2)"/>
      <sheetName val="NEW-PANEL"/>
      <sheetName val="Km282-Km_x0003_3"/>
      <sheetName val="T4-99_x0005_"/>
      <sheetName val="Soqu_x0005_"/>
      <sheetName val="thong ke"/>
      <sheetName val="DMT"/>
      <sheetName val="Năm"/>
      <sheetName val="Thời gian"/>
      <sheetName val="Tỉnh"/>
      <sheetName val="_x0005_"/>
      <sheetName val="tien uong"/>
      <sheetName val="Y_BA"/>
      <sheetName val="T6-99 _x0012_[IBASE2.XLS]T"/>
      <sheetName val="T4-99_x0005_T5-99"/>
      <sheetName val="ma-pt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406</v>
          </cell>
        </row>
        <row r="71"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H102">
            <v>0</v>
          </cell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  <cell r="AU103">
            <v>4.2915242876481667E-310</v>
          </cell>
          <cell r="AV103">
            <v>406.001220703125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6">
          <cell r="AV106">
            <v>193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 refreshError="1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 refreshError="1"/>
      <sheetData sheetId="857" refreshError="1"/>
      <sheetData sheetId="858"/>
      <sheetData sheetId="859" refreshError="1"/>
      <sheetData sheetId="860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 refreshError="1"/>
      <sheetData sheetId="906" refreshError="1"/>
      <sheetData sheetId="907"/>
      <sheetData sheetId="908"/>
      <sheetData sheetId="909"/>
      <sheetData sheetId="910"/>
      <sheetData sheetId="911"/>
      <sheetData sheetId="912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 refreshError="1"/>
      <sheetData sheetId="1009" refreshError="1"/>
      <sheetData sheetId="1010" refreshError="1"/>
      <sheetData sheetId="1011" refreshError="1"/>
      <sheetData sheetId="1012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/>
      <sheetData sheetId="1207"/>
      <sheetData sheetId="1208"/>
      <sheetData sheetId="1209"/>
      <sheetData sheetId="1210"/>
      <sheetData sheetId="1211" refreshError="1"/>
      <sheetData sheetId="1212"/>
      <sheetData sheetId="1213" refreshError="1"/>
      <sheetData sheetId="1214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/>
      <sheetData sheetId="1237"/>
      <sheetData sheetId="1238"/>
      <sheetData sheetId="1239"/>
      <sheetData sheetId="1240"/>
      <sheetData sheetId="1241" refreshError="1"/>
      <sheetData sheetId="1242"/>
      <sheetData sheetId="1243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/>
      <sheetData sheetId="1662"/>
      <sheetData sheetId="1663"/>
      <sheetData sheetId="1664"/>
      <sheetData sheetId="1665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Tkedotuoi"/>
      <sheetName val="Tkebactho"/>
      <sheetName val="nhan su"/>
      <sheetName val="2020"/>
      <sheetName val="23+327"/>
      <sheetName val="Nhap_lieu"/>
      <sheetName val="Khoiluong"/>
      <sheetName val="Vattu"/>
      <sheetName val="Trungchuyen"/>
      <sheetName val="Bu"/>
      <sheetName val="Chitiet"/>
      <sheetName val="luong cty"/>
      <sheetName val="bangluong"/>
      <sheetName val="Tkecong"/>
      <sheetName val="thunhap03"/>
      <sheetName val="thungoaiSCTX"/>
      <sheetName val="TRICH73"/>
      <sheetName val="23+468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km22+267.96-km22+283.96"/>
      <sheetName val="km22+304.31-km22+344.31"/>
      <sheetName val="km22+460.92-km22+614.57"/>
      <sheetName val="km22+671.78-km22+713.32"/>
      <sheetName val="Chart3"/>
      <sheetName val="Chart2"/>
      <sheetName val="BaTrieu-L.con"/>
      <sheetName val="EDT - Ro"/>
      <sheetName val="BCDSPS"/>
      <sheetName val="BCDKT"/>
      <sheetName val=""/>
      <sheetName val=".tuanM"/>
      <sheetName val="Dinh_ha nha"/>
      <sheetName val="[IBASE2.XLS}BHXH"/>
      <sheetName val="T8-9)"/>
      <sheetName val="T6"/>
      <sheetName val="2.74"/>
      <sheetName val="01"/>
      <sheetName val="THU T12"/>
      <sheetName val="CHI T12"/>
      <sheetName val="THU T11"/>
      <sheetName val="CHI T11"/>
      <sheetName val="THU T10"/>
      <sheetName val="CHI T10"/>
      <sheetName val="THU T9"/>
      <sheetName val="CHI T9"/>
      <sheetName val="THU T8"/>
      <sheetName val="CHI T8"/>
      <sheetName val="THU T7"/>
      <sheetName val="CHI T7"/>
      <sheetName val="THU T6"/>
      <sheetName val="CHI T6"/>
      <sheetName val="THU T5"/>
      <sheetName val="CHI T5"/>
      <sheetName val="THU T4"/>
      <sheetName val="CHI T4"/>
      <sheetName val="THU T3"/>
      <sheetName val="CHI T3"/>
      <sheetName val="THU T2"/>
      <sheetName val="CHI T2"/>
      <sheetName val="THU T1"/>
      <sheetName val="CHI T1"/>
      <sheetName val="CDSM (2)"/>
      <sheetName val="02.1"/>
      <sheetName val="2.1"/>
      <sheetName val="2.3"/>
      <sheetName val="02.3"/>
      <sheetName val="05"/>
      <sheetName val="03"/>
      <sheetName val="06"/>
      <sheetName val="B 01"/>
      <sheetName val="B 03"/>
      <sheetName val="D 13"/>
      <sheetName val="Q-03"/>
      <sheetName val="Q-04"/>
      <sheetName val="Q-05"/>
      <sheetName val="D15"/>
      <sheetName val="D20"/>
      <sheetName val="D19"/>
      <sheetName val="120"/>
      <sheetName val="IFAD"/>
      <sheetName val="CVHN"/>
      <sheetName val="TCVM"/>
      <sheetName val="RIDP"/>
      <sheetName val="LDNN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e"/>
      <sheetName val="Sheed5"/>
      <sheetName val="TL"/>
      <sheetName val="GK"/>
      <sheetName val="CB"/>
      <sheetName val="VP"/>
      <sheetName val="Km274-Km274"/>
      <sheetName val="Km27'-Km278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KHVô XL"/>
      <sheetName val="Coc 6"/>
      <sheetName val="THQII"/>
      <sheetName val="Trung"/>
      <sheetName val="THQIII"/>
      <sheetName val="THT nam 04"/>
      <sheetName val="142201ȭT4"/>
      <sheetName val="BTH"/>
      <sheetName val="luongt 13"/>
      <sheetName val="LUONG 1"/>
      <sheetName val="LUONG 2"/>
      <sheetName val="LUONG 3"/>
      <sheetName val="Luong 4"/>
      <sheetName val="CTP 4"/>
      <sheetName val="Thuno"/>
      <sheetName val="Anca 4"/>
      <sheetName val="THUONG TET"/>
      <sheetName val="thuong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Bia¸"/>
      <sheetName val="T8-9B"/>
      <sheetName val="T8-9þ"/>
      <sheetName val="Mix-Tarpaulin"/>
      <sheetName val="Tarpaulin"/>
      <sheetName val="Price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Bia_x0018_"/>
      <sheetName val="QD cua HDQT (ÿÿ"/>
      <sheetName val="ÿÿÿÿi ngoai tongÿÿ2)"/>
      <sheetName val="THKP"/>
      <sheetName val="gia vt,nc,may"/>
      <sheetName val="CHITIET VL-NC"/>
      <sheetName val="DON GIA"/>
      <sheetName val="΄Cxdcb"/>
      <sheetName val="HD CTrinh1"/>
      <sheetName val="HD benA"/>
      <sheetName val="KHTC"/>
      <sheetName val="BCTC"/>
      <sheetName val="Soqui"/>
      <sheetName val="Tienvay"/>
      <sheetName val="CTthanhtoan"/>
      <sheetName val="CTietHD"/>
      <sheetName val="Theodoi HD"/>
      <sheetName val="Theodoi HD (2)"/>
      <sheetName val="VLieu"/>
      <sheetName val="May"/>
      <sheetName val="NCong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Sheet12"/>
      <sheetName val="BC§ 2001"/>
      <sheetName val="BBC§ 2002"/>
      <sheetName val="TSC§ 2001"/>
      <sheetName val="TSc® 2002"/>
      <sheetName val="Thang1"/>
      <sheetName val="Thang2"/>
      <sheetName val="Thang3"/>
      <sheetName val="Thang 4"/>
      <sheetName val="23+32þ"/>
      <sheetName val="[IBASE2.XLS_Tong hop Matduong"/>
      <sheetName val="PXKT1"/>
      <sheetName val="PXKT2"/>
      <sheetName val="PXKT3"/>
      <sheetName val="PXKT4"/>
      <sheetName val="PXKT5"/>
      <sheetName val="May khau"/>
      <sheetName val="PXKT6Via 11"/>
      <sheetName val="PXKT7"/>
      <sheetName val="PXKTLo Thien V 14A"/>
      <sheetName val="V14 phu"/>
      <sheetName val="V15"/>
      <sheetName val="V7"/>
      <sheetName val="V9"/>
      <sheetName val="Via 16 Lthien"/>
      <sheetName val="V6a"/>
      <sheetName val="PXKT8"/>
      <sheetName val="XXXXXXX0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7 THAI NGUYEN"/>
      <sheetName val="[IBASE2.XLS䁝BC6tT17"/>
      <sheetName val="TK13_x0005_"/>
      <sheetName val="02"/>
      <sheetName val="04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Bia¬"/>
      <sheetName val="THQþ"/>
      <sheetName val="Nhap_lieÈ"/>
      <sheetName val="PNT-QUOT-#3"/>
      <sheetName val="COAT&amp;WRAP-QIOT-#3"/>
      <sheetName val="T8-9@"/>
      <sheetName val="tô rôiDY"/>
      <sheetName val="ATCANING"/>
      <sheetName val="KNH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Tonf hop"/>
      <sheetName val="CoquyTM"/>
      <sheetName val="TH_B¸"/>
      <sheetName val="T8-9_x0008_"/>
      <sheetName val="det VP"/>
      <sheetName val="det hn"/>
      <sheetName val="19-5"/>
      <sheetName val="X26-2"/>
      <sheetName val="x26"/>
      <sheetName val="chi Hieu"/>
      <sheetName val="c thoa"/>
      <sheetName val="A thanh - DL"/>
      <sheetName val="A Tuyen"/>
      <sheetName val="A Tien -laphu"/>
      <sheetName val="A Thang- laphu"/>
      <sheetName val="DMHN"/>
      <sheetName val="A Dong"/>
      <sheetName val="27-7 NB"/>
      <sheetName val="ATuan-PN"/>
      <sheetName val="X20"/>
      <sheetName val="xn 5"/>
      <sheetName val="PKD X20"/>
      <sheetName val="da giay SG"/>
      <sheetName val="dagiay XK"/>
      <sheetName val="DK Dong xuan"/>
      <sheetName val="chu Ton"/>
      <sheetName val="minh tri"/>
      <sheetName val="viet huy"/>
      <sheetName val="thanh ha"/>
      <sheetName val="O Su"/>
      <sheetName val="A Ha-DL"/>
      <sheetName val="Vinh oanh"/>
      <sheetName val="chi Thuy"/>
      <sheetName val="chu Hong"/>
      <sheetName val="thuy- may"/>
      <sheetName val="CHuong(VT)"/>
      <sheetName val="XNK-hnam"/>
      <sheetName val="7-5HQ"/>
      <sheetName val="vu yen"/>
      <sheetName val="Du_lieu"/>
      <sheetName val="Chart䀀"/>
      <sheetName val="T8-9("/>
      <sheetName val="Nhap_lie"/>
      <sheetName val="Nhap_lie("/>
      <sheetName val=" GT CPhi tung dot"/>
      <sheetName val="ESTI."/>
      <sheetName val="DI-ESTI"/>
      <sheetName val="THTBþ"/>
      <sheetName val="CongNo"/>
      <sheetName val="TD khao sat"/>
      <sheetName val="_x0000__x0000__x0005__x0000__x0000_"/>
      <sheetName val="nghi dinh-_x0004__x0010_"/>
      <sheetName val="Cong hop 2,0ࡸ2,0"/>
      <sheetName val="Km282-Km_x0003_?3"/>
      <sheetName val="Biaþ"/>
      <sheetName val="Luot"/>
      <sheetName val="lapdap TB "/>
      <sheetName val="IBASE2"/>
      <sheetName val="T8-9h"/>
      <sheetName val="KQKDKT#04-1"/>
      <sheetName val="VtuHaTheSauTBABenThuy1 Ш2)"/>
      <sheetName val="T8-9X"/>
      <sheetName val="MTL$-INTER"/>
      <sheetName val="GIA 뭼UOC"/>
      <sheetName val="Soqu_x0005__x0000__x0000_"/>
      <sheetName val="Ca.D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thu"/>
      <sheetName val="T.Coc"/>
      <sheetName val="D.Nghia"/>
      <sheetName val="P.Phu"/>
      <sheetName val="P.Lai"/>
      <sheetName val="N.Xuyen"/>
      <sheetName val="H.quan"/>
      <sheetName val="S.Dang"/>
      <sheetName val="TT.DH"/>
      <sheetName val="N.Quan"/>
      <sheetName val="C.Dam"/>
      <sheetName val="M.Luong"/>
      <sheetName val="B.luan"/>
      <sheetName val="T8-9_x0005_"/>
      <sheetName val="Diem mon hoc"/>
      <sheetName val="Diem Tong ket"/>
      <sheetName val="DS - HoTen"/>
      <sheetName val="DS-Loc"/>
      <sheetName val="thong ke_x0000_"/>
      <sheetName val="Bang can doi "/>
      <sheetName val="Tinh hinh cat lang"/>
      <sheetName val="Tinh hinh SX phu"/>
      <sheetName val="Tinh hinh do xop"/>
      <sheetName val="chi phi cap tien"/>
      <sheetName val="TH dat "/>
      <sheetName val="DZ22"/>
      <sheetName val="TTDZ22"/>
      <sheetName val="VtuHaTheSauTBANg⤤yenDu6"/>
      <sheetName val="〴7"/>
      <sheetName val="ɾT"/>
      <sheetName val="tr_tinhDZc!othe"/>
      <sheetName val="t2_tinhTBA"/>
      <sheetName val="BL2"/>
      <sheetName val="KG2"/>
      <sheetName val="Cong tron D7'"/>
      <sheetName val="Giathanh1m3BT"/>
      <sheetName val="tien _x0000_uong"/>
      <sheetName val="_x0000_Y_BA"/>
      <sheetName val="_IBASE2.XLSѝTNHNoi"/>
      <sheetName val="Km282-Km_x0003_"/>
      <sheetName val="°:nh"/>
      <sheetName val="QDcua TGD (2)_x0000__x0000__x0000__x0000__x0000__x0000__x0000__x0000__x0000__x0000__x0000__x0000_䚼˰_x0000__x0004__x0000__x0000_"/>
      <sheetName val="Tong_ke"/>
      <sheetName val="XXXXXX?X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SANNUONG"/>
      <sheetName val="thkn (2)"/>
      <sheetName val="Vchuygn(C)"/>
      <sheetName val="342201-T10"/>
      <sheetName val="km208"/>
      <sheetName val="DMX"/>
      <sheetName val="tien "/>
      <sheetName val="T6-99_x0000__x0000__x0000__x0000__x0000__x0000__x0000__x0000__x0000__x0000_ _x0000__x0012_[IBASE2.XLS]T"/>
      <sheetName val="T4-99_x0005__x0000__x0000_T5-99"/>
      <sheetName val="[IBASE2.XLS뭝êm283-Km284"/>
      <sheetName val="CHITIET VL-NCHT1 (2)"/>
      <sheetName val="NEW-PANEL"/>
      <sheetName val="KH-Q1,Q2,01"/>
      <sheetName val="Bia0"/>
      <sheetName val="DMT_x0000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KHVt_"/>
      <sheetName val="KHVt_XL"/>
      <sheetName val="KHVt_XLT4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hep_be"/>
      <sheetName val="Thep_than"/>
      <sheetName val="Thep_xa_mu"/>
      <sheetName val="Nhap_lieu1"/>
      <sheetName val="Tien_dien"/>
      <sheetName val="Thue_GTGT"/>
      <sheetName val="142201-T1_"/>
      <sheetName val="142201-T2-th_"/>
      <sheetName val="142201-T3-th_"/>
      <sheetName val="142201-T4-th__"/>
      <sheetName val="_t5"/>
      <sheetName val="t_4"/>
      <sheetName val="_t3_"/>
      <sheetName val="_TH331"/>
      <sheetName val="_Minh_ha"/>
      <sheetName val="_Ha_Tay"/>
      <sheetName val="_Vinhphuc"/>
      <sheetName val="_Nbinh"/>
      <sheetName val="_QVinh"/>
      <sheetName val="_TW1"/>
      <sheetName val="VtuHaTheSauTBABenThuy1_(2)"/>
      <sheetName val="Kluong_phu"/>
      <sheetName val="Lan_can"/>
      <sheetName val="Ho_lan"/>
      <sheetName val="Coc_tieu"/>
      <sheetName val="Bien_bao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kl_(2)"/>
      <sheetName val="long_tec"/>
      <sheetName val="Km274_-_Km275"/>
      <sheetName val="Km275_-_Km276"/>
      <sheetName val="Km276_-_Km277"/>
      <sheetName val="Km277_-_Km278_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Matduong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Tong_hop"/>
      <sheetName val="Tong_hop_(2)"/>
      <sheetName val="Cong_cu"/>
      <sheetName val="Cot_thep"/>
      <sheetName val="Cong_tron_D75"/>
      <sheetName val="Cong_tron_D100"/>
      <sheetName val="Cong_tron_D150"/>
      <sheetName val="Cong_tron_2D150"/>
      <sheetName val="Cong_ban_1,0x1,0"/>
      <sheetName val="Cong_ban_1,0x1,2"/>
      <sheetName val="Cong_hop_1,5x1,5"/>
      <sheetName val="Cong_hop_2,0x1,5"/>
      <sheetName val="Cong_hop_2,0x2,0"/>
      <sheetName val="Song_trai"/>
      <sheetName val="Dinh+ha_nha"/>
      <sheetName val="NG_k"/>
      <sheetName val="Trich_Ngang"/>
      <sheetName val="Danh_sach_Rieng"/>
      <sheetName val="Dia_Diem_Thuc_Tap"/>
      <sheetName val="De_Tai_Thuc_Tap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_so_thay_doi"/>
      <sheetName val="b_THchitietDZCT"/>
      <sheetName val="b_THchitietTBA"/>
      <sheetName val="Khao_sat"/>
      <sheetName val="TT_khao_sat"/>
      <sheetName val="SCT_Cong_trinh"/>
      <sheetName val="06-2003_(2)"/>
      <sheetName val="CDPS_6tc"/>
      <sheetName val="SCT_Nha_thau"/>
      <sheetName val="socai2003_(6tc)dp"/>
      <sheetName val="socai2003_(6tc)"/>
      <sheetName val="CDPS_6tc_(2)"/>
      <sheetName val="phan_tich_DG"/>
      <sheetName val="gia_vat_lieu"/>
      <sheetName val="gia_xe_may"/>
      <sheetName val="gia_nhan_cong"/>
      <sheetName val="CDSL_(2)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Don_gia_CPM"/>
      <sheetName val="Tong_Thieu_HD_cac_CT-2001"/>
      <sheetName val="VL_thieu_HD_-_2001"/>
      <sheetName val="Tong_thieu_HD_cac_CT_-_2002"/>
      <sheetName val="Lan_trai"/>
      <sheetName val="Van_chuyen"/>
      <sheetName val="HDong_VC"/>
      <sheetName val="ThieuHD_nam_2001"/>
      <sheetName val="Bang_TH"/>
      <sheetName val="Tong_Chinh"/>
      <sheetName val="TH_du_toan_"/>
      <sheetName val="Du_toan_"/>
      <sheetName val="C_Tinh"/>
      <sheetName val="giai_thich"/>
      <sheetName val="DT_-_Ro"/>
      <sheetName val="TH_-_Ro_"/>
      <sheetName val="GDT_-_Ro"/>
      <sheetName val="DT_-_TB"/>
      <sheetName val="TH_-_TB"/>
      <sheetName val="GDT_-_TB"/>
      <sheetName val="DT_-_NT"/>
      <sheetName val="TH_-_NT"/>
      <sheetName val="GDT_-_NT"/>
      <sheetName val="ql_(2)"/>
      <sheetName val="F_ThanhTri"/>
      <sheetName val="F_Gialam"/>
      <sheetName val="TH_dam"/>
      <sheetName val="SX_dam"/>
      <sheetName val="LD_dam"/>
      <sheetName val="Bang_gia_VL"/>
      <sheetName val="Gia_NC"/>
      <sheetName val="Gia_may"/>
      <sheetName val="KQKD02-2_(2)"/>
      <sheetName val="KQKD-2_(2)"/>
      <sheetName val="KQKD_thu2004"/>
      <sheetName val="Dancau-Q_Ninh"/>
      <sheetName val="BaTrieu-L_son"/>
      <sheetName val="T03_-_03"/>
      <sheetName val="THL_T03"/>
      <sheetName val="TTBC_T03"/>
      <sheetName val="Luong_noi_Bo_-_T3"/>
      <sheetName val="Tong_hop_-_T3"/>
      <sheetName val="Thuong_Quy_3"/>
      <sheetName val="Phu_cap_trach_nhiem"/>
      <sheetName val="Tay_ninh"/>
      <sheetName val="A_Duc"/>
      <sheetName val="DOANH_SO"/>
      <sheetName val="BD-SINH_VIEN"/>
      <sheetName val="BC_TH_CK_(2)"/>
      <sheetName val="BC_TH_CK"/>
      <sheetName val="BC6tT19_food"/>
      <sheetName val="BC6tT18_-_Food"/>
      <sheetName val="BCCK_4"/>
      <sheetName val="BCFood-_T16"/>
      <sheetName val="BCFood-_T15"/>
      <sheetName val="BCFood-_T14"/>
      <sheetName val="BCFood-_T13"/>
      <sheetName val="TH_CK2"/>
      <sheetName val="BC6tT52_(3)"/>
      <sheetName val="BC6tT52_(2)"/>
      <sheetName val="TCK_12"/>
      <sheetName val="Tong_CK"/>
      <sheetName val="HHVt_"/>
      <sheetName val="Co~g_hop_1,5x1,5"/>
      <sheetName val="So_sanh"/>
      <sheetName val="Xaylap_"/>
      <sheetName val="Nhan_cong"/>
      <sheetName val="_KQTH_quy_hoach_135"/>
      <sheetName val="Bao_cao_KQTH_quy_hoach_135"/>
      <sheetName val="CT_03"/>
      <sheetName val="TH_03"/>
      <sheetName val="CV_di_trong__dong"/>
      <sheetName val="BaTrieu-L_con"/>
      <sheetName val="EDT_-_Ro"/>
      <sheetName val="Heso_3-2004_(3)"/>
      <sheetName val="Luong_(2)"/>
      <sheetName val="heso_T3"/>
      <sheetName val="heso_T4"/>
      <sheetName val="heso_T5"/>
      <sheetName val="Heso_T6"/>
      <sheetName val="Heso_T7"/>
      <sheetName val="Heso_T8"/>
      <sheetName val="Heso_T9"/>
      <sheetName val="Heso_2-2004"/>
      <sheetName val="Heso_3-2004"/>
      <sheetName val="Heso_3-2004_(2)"/>
      <sheetName val="[IBASE2_XLSѝTNHNoi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GIA_NUOC"/>
      <sheetName val="GIA_DIEN_THOAI"/>
      <sheetName val="GIA_DIEN"/>
      <sheetName val="chiet_tinh_XD"/>
      <sheetName val="Triet_T"/>
      <sheetName val="Phan_tich_gia"/>
      <sheetName val="pHAN_CONG"/>
      <sheetName val="GIA_XD"/>
      <sheetName val="TK__TK"/>
      <sheetName val="bcth_05-04"/>
      <sheetName val="baocao_05-04"/>
      <sheetName val="nhan_su"/>
      <sheetName val="luong_cty"/>
      <sheetName val="Luu_goc"/>
      <sheetName val="km22+93_86-km22+121_86"/>
      <sheetName val="km22+177_14-km22+205_64"/>
      <sheetName val="Bang_20-25"/>
      <sheetName val="km22+267_96-km22+283_96"/>
      <sheetName val="km22+304_31-km22+344_31"/>
      <sheetName val="km22+460_92-km22+614_57"/>
      <sheetName val="km22+671_78-km22+713_32"/>
      <sheetName val="tô_rôiDY"/>
      <sheetName val="T_K_H_T_T5"/>
      <sheetName val="T_K_T7"/>
      <sheetName val="TK_T6"/>
      <sheetName val="T_K_T5"/>
      <sheetName val="Bang_thong_ke_hang_ton"/>
      <sheetName val="thong_ke_"/>
      <sheetName val="T_KT04"/>
      <sheetName val="Dinh_ha_nha"/>
      <sheetName val="Km282-Km3"/>
      <sheetName val="[IBASE2_XLS}BHXH"/>
      <sheetName val="_tuanM"/>
      <sheetName val="Tuan_1_01"/>
      <sheetName val="Tuan_3_01_"/>
      <sheetName val="Tuan_5_06_"/>
      <sheetName val="Tuan_6_06__"/>
      <sheetName val="Tuan_7_06_"/>
      <sheetName val="Tuan_7_06__(2)"/>
      <sheetName val="Tuan10,06_"/>
      <sheetName val="Tuan11,06__"/>
      <sheetName val="Bao_cao_DD_31_3_06"/>
      <sheetName val="Bao_cao_DD_30_4_06"/>
      <sheetName val="Bao_cao_DD_31_5_06_"/>
      <sheetName val="Bao_cao_Quy_I-06"/>
      <sheetName val="Bao_cao_DD_30_6_06"/>
      <sheetName val="Bao_cao_DD_31_7_06"/>
      <sheetName val="2_74"/>
      <sheetName val="THU_T12"/>
      <sheetName val="CHI_T12"/>
      <sheetName val="THU_T11"/>
      <sheetName val="CHI_T11"/>
      <sheetName val="THU_T10"/>
      <sheetName val="CHI_T10"/>
      <sheetName val="THU_T9"/>
      <sheetName val="CHI_T9"/>
      <sheetName val="THU_T8"/>
      <sheetName val="CHI_T8"/>
      <sheetName val="THU_T7"/>
      <sheetName val="CHI_T7"/>
      <sheetName val="THU_T6"/>
      <sheetName val="CHI_T6"/>
      <sheetName val="THU_T5"/>
      <sheetName val="CHI_T5"/>
      <sheetName val="THU_T4"/>
      <sheetName val="CHI_T4"/>
      <sheetName val="THU_T3"/>
      <sheetName val="CHI_T3"/>
      <sheetName val="THU_T2"/>
      <sheetName val="CHI_T2"/>
      <sheetName val="THU_T1"/>
      <sheetName val="CHI_T1"/>
      <sheetName val="CDSM_(2)"/>
      <sheetName val="02_1"/>
      <sheetName val="2_1"/>
      <sheetName val="2_3"/>
      <sheetName val="02_3"/>
      <sheetName val="B_01"/>
      <sheetName val="B_03"/>
      <sheetName val="D_13"/>
      <sheetName val="BTH_Phieu_thu"/>
      <sheetName val="BTH_Phieu_chi"/>
      <sheetName val="SCT_NVL"/>
      <sheetName val="NK_SO_CAI"/>
      <sheetName val="SCT_TK_331"/>
      <sheetName val="So_CFSXKD"/>
      <sheetName val="SCT__TK_131"/>
      <sheetName val="So_TGNH_2003"/>
      <sheetName val="So_quy_TM_2002"/>
      <sheetName val="The_tinh_Z"/>
      <sheetName val="So_kho_nguyen_vat_lieu"/>
      <sheetName val="BTH_NVL"/>
      <sheetName val="So_theo_doi_thue_GTGT"/>
      <sheetName val="BC_thanh_QT_hoa_don_nam_2003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KHVô_XL"/>
      <sheetName val="Coc_6"/>
      <sheetName val="THT_nam_04"/>
      <sheetName val="luongt_13"/>
      <sheetName val="LUONG_1"/>
      <sheetName val="LUONG_2"/>
      <sheetName val="LUONG_3"/>
      <sheetName val="Luong_4"/>
      <sheetName val="CTP_4"/>
      <sheetName val="Anca_4"/>
      <sheetName val="THUONG_TET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For_Summary"/>
      <sheetName val="For_Summary(KG)"/>
      <sheetName val="PP_Cloth"/>
      <sheetName val="Mix-PP_Cloth"/>
      <sheetName val="Material_Price-PP"/>
      <sheetName val="QD_cua_HDQT_(ÿÿ"/>
      <sheetName val="ÿÿÿÿi_ngoai_tongÿÿ2)"/>
      <sheetName val="GIA_뭼UOC"/>
      <sheetName val="Soqu"/>
      <sheetName val="HD_CTrinh1"/>
      <sheetName val="HD_benA"/>
      <sheetName val="Theodoi_HD"/>
      <sheetName val="Theodoi_HD_(2)"/>
      <sheetName val="nphuocb 4"/>
      <sheetName val=" Njinh"/>
      <sheetName val="L]gngT2"/>
      <sheetName val="VT,NC,M"/>
      <sheetName val="XXXXXXÿÿ"/>
      <sheetName val="KHT4ÿÿ-02"/>
      <sheetName val="ÿÿÿÿ "/>
      <sheetName val="Soqu窨_x0013_竬"/>
      <sheetName val="Soqu_x0005__x0000_"/>
      <sheetName val="T4-99_x0005_"/>
      <sheetName val="PhanTichDonGia"/>
      <sheetName val="KHVt X兤"/>
      <sheetName val="So.g trai"/>
      <sheetName val="_x0013_heet9"/>
      <sheetName val="De _x0014_ai Thuc Tap"/>
      <sheetName val="tuan&quot;"/>
      <sheetName val="nt5anM"/>
      <sheetName val=".ngan"/>
      <sheetName val=".loi"/>
      <sheetName val="XXXXXX X"/>
      <sheetName val="Km282-Km _x0000_3"/>
      <sheetName val="Bia "/>
      <sheetName val="TK13 "/>
      <sheetName val="nghi dinh-  "/>
      <sheetName val="_x0000__x0000_ _x0000__x0000_"/>
      <sheetName val="Km282-Km ?3"/>
      <sheetName val="T8-9 "/>
      <sheetName val="Soqu _x0000__x0000_"/>
      <sheetName val="Km282-Km "/>
      <sheetName val="Figure 6 NPV"/>
      <sheetName val="BTH chua"/>
      <sheetName val="XXXXXX?"/>
      <sheetName val="MTO REV.2(ARMOR)"/>
      <sheetName val="Dhue GTGT"/>
      <sheetName val="DMTCNTM"/>
      <sheetName val="QD_x0000_cua HDQD"/>
      <sheetName val="CTOBT"/>
      <sheetName val="Qheet10"/>
      <sheetName val="ThieuHD "/>
      <sheetName val="Trich Ngalg"/>
      <sheetName val="THANG7 "/>
      <sheetName val="THANG8"/>
      <sheetName val="THANG9"/>
      <sheetName val="THANG10"/>
      <sheetName val="THANG 11"/>
      <sheetName val="THANG 12"/>
      <sheetName val="De Tai Vhuc Tap"/>
      <sheetName val="trong"/>
      <sheetName val="DT1"/>
      <sheetName val="_IBASE2.XLS}BHXH"/>
      <sheetName val="_IBASE2.XLS_Tong hop Matduong"/>
      <sheetName val="_IBASE2.XLS䁝BC6tT17"/>
      <sheetName val="Km282-Km_x0003__3"/>
      <sheetName val="Cong tron D7_"/>
      <sheetName val="°_nh"/>
      <sheetName val="XXXXXX_X"/>
      <sheetName val="_IBASE2.XLS뭝êm283-Km284"/>
      <sheetName val="_IBASE2_XLSѝTNHNoi"/>
      <sheetName val="_IBASE2_XLS}BHXH"/>
      <sheetName val="L_gngT2"/>
      <sheetName val="HDong ԰_x0000_"/>
      <sheetName val="c¨"/>
      <sheetName val="cØ"/>
      <sheetName val="BK-C T"/>
      <sheetName val="_x0000_"/>
      <sheetName val="Bia_x0000_"/>
      <sheetName val="Soqu_x0005_"/>
      <sheetName val="thong ke"/>
      <sheetName val="Soqu "/>
      <sheetName val="DMT"/>
      <sheetName val="Km282-Km_x0003_3"/>
      <sheetName val="_x0005_"/>
      <sheetName val="tien uong"/>
      <sheetName val="Y_BA"/>
      <sheetName val="T6-99 _x0012_[IBASE2.XLS]T"/>
      <sheetName val="T4-99_x0005_T5-99"/>
      <sheetName val="Km282-Km 3"/>
      <sheetName val=" "/>
      <sheetName val="Soqu_x0005_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8">
          <cell r="AH58" t="str">
            <v>EPCP</v>
          </cell>
          <cell r="AI58" t="str">
            <v>EPOXY-PHENOLIC CURED PRIMER .</v>
          </cell>
          <cell r="AJ58" t="str">
            <v>4691(Ar-910)</v>
          </cell>
          <cell r="AK58" t="str">
            <v>1060</v>
          </cell>
          <cell r="AL58" t="str">
            <v>76</v>
          </cell>
          <cell r="AM58">
            <v>1</v>
          </cell>
          <cell r="AN58">
            <v>17.3</v>
          </cell>
          <cell r="AO58">
            <v>19.2</v>
          </cell>
          <cell r="AP58">
            <v>30.9</v>
          </cell>
          <cell r="AQ58">
            <v>43.35</v>
          </cell>
          <cell r="AR58">
            <v>31.25</v>
          </cell>
          <cell r="AS58">
            <v>25.89</v>
          </cell>
          <cell r="AT58">
            <v>750</v>
          </cell>
          <cell r="AU58">
            <v>600</v>
          </cell>
          <cell r="AV58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69">
          <cell r="AH69" t="str">
            <v>VZCP</v>
          </cell>
          <cell r="AI69" t="str">
            <v>CHLORINATED RUBBER BASE M.I.O.COATING</v>
          </cell>
          <cell r="AJ69" t="str">
            <v>4693(Ar-930)</v>
          </cell>
          <cell r="AK69" t="str">
            <v>1452(RF-68)</v>
          </cell>
          <cell r="AL69" t="str">
            <v>600</v>
          </cell>
          <cell r="AM69">
            <v>1</v>
          </cell>
          <cell r="AN69">
            <v>16.399999999999999</v>
          </cell>
          <cell r="AO69">
            <v>13.2</v>
          </cell>
          <cell r="AP69">
            <v>14.8</v>
          </cell>
          <cell r="AQ69">
            <v>37.799999999999997</v>
          </cell>
          <cell r="AR69">
            <v>37.880000000000003</v>
          </cell>
          <cell r="AS69">
            <v>33.72</v>
          </cell>
          <cell r="AT69">
            <v>620</v>
          </cell>
          <cell r="AU69">
            <v>500</v>
          </cell>
          <cell r="AV69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406</v>
          </cell>
        </row>
        <row r="71"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8">
          <cell r="AT88">
            <v>640</v>
          </cell>
          <cell r="AU88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99">
          <cell r="AT99">
            <v>500</v>
          </cell>
          <cell r="AU99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H102">
            <v>0</v>
          </cell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  <cell r="AU103">
            <v>4.2915242876481667E-310</v>
          </cell>
          <cell r="AV103">
            <v>406.001220703125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6">
          <cell r="AV106">
            <v>193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 refreshError="1"/>
      <sheetData sheetId="599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 refreshError="1"/>
      <sheetData sheetId="677" refreshError="1"/>
      <sheetData sheetId="678"/>
      <sheetData sheetId="679" refreshError="1"/>
      <sheetData sheetId="680" refreshError="1"/>
      <sheetData sheetId="681" refreshError="1"/>
      <sheetData sheetId="682"/>
      <sheetData sheetId="683"/>
      <sheetData sheetId="684" refreshError="1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 refreshError="1"/>
      <sheetData sheetId="694" refreshError="1"/>
      <sheetData sheetId="695" refreshError="1"/>
      <sheetData sheetId="696" refreshError="1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 refreshError="1"/>
      <sheetData sheetId="713"/>
      <sheetData sheetId="714"/>
      <sheetData sheetId="715"/>
      <sheetData sheetId="716"/>
      <sheetData sheetId="717" refreshError="1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  <sheetData sheetId="735"/>
      <sheetData sheetId="736"/>
      <sheetData sheetId="737"/>
      <sheetData sheetId="738" refreshError="1"/>
      <sheetData sheetId="739" refreshError="1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 refreshError="1"/>
      <sheetData sheetId="749" refreshError="1"/>
      <sheetData sheetId="750"/>
      <sheetData sheetId="751"/>
      <sheetData sheetId="752"/>
      <sheetData sheetId="753"/>
      <sheetData sheetId="754" refreshError="1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 refreshError="1"/>
      <sheetData sheetId="780" refreshError="1"/>
      <sheetData sheetId="781" refreshError="1"/>
      <sheetData sheetId="782"/>
      <sheetData sheetId="783"/>
      <sheetData sheetId="784"/>
      <sheetData sheetId="785"/>
      <sheetData sheetId="786"/>
      <sheetData sheetId="787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/>
      <sheetData sheetId="802"/>
      <sheetData sheetId="803"/>
      <sheetData sheetId="804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/>
      <sheetData sheetId="835"/>
      <sheetData sheetId="836"/>
      <sheetData sheetId="837"/>
      <sheetData sheetId="838"/>
      <sheetData sheetId="839" refreshError="1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 refreshError="1"/>
      <sheetData sheetId="900" refreshError="1"/>
      <sheetData sheetId="901"/>
      <sheetData sheetId="902"/>
      <sheetData sheetId="903"/>
      <sheetData sheetId="904" refreshError="1"/>
      <sheetData sheetId="905" refreshError="1"/>
      <sheetData sheetId="906"/>
      <sheetData sheetId="907"/>
      <sheetData sheetId="908" refreshError="1"/>
      <sheetData sheetId="909"/>
      <sheetData sheetId="910"/>
      <sheetData sheetId="91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/>
      <sheetData sheetId="942"/>
      <sheetData sheetId="943"/>
      <sheetData sheetId="944"/>
      <sheetData sheetId="945"/>
      <sheetData sheetId="946"/>
      <sheetData sheetId="947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/>
      <sheetData sheetId="994" refreshError="1"/>
      <sheetData sheetId="995" refreshError="1"/>
      <sheetData sheetId="996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/>
      <sheetData sheetId="1205"/>
      <sheetData sheetId="1206"/>
      <sheetData sheetId="1207" refreshError="1"/>
      <sheetData sheetId="1208"/>
      <sheetData sheetId="1209" refreshError="1"/>
      <sheetData sheetId="1210"/>
      <sheetData sheetId="1211" refreshError="1"/>
      <sheetData sheetId="1212" refreshError="1"/>
      <sheetData sheetId="1213" refreshError="1"/>
      <sheetData sheetId="1214" refreshError="1"/>
      <sheetData sheetId="1215"/>
      <sheetData sheetId="1216"/>
      <sheetData sheetId="1217"/>
      <sheetData sheetId="1218" refreshError="1"/>
      <sheetData sheetId="1219" refreshError="1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 refreshError="1"/>
      <sheetData sheetId="1235" refreshError="1"/>
      <sheetData sheetId="1236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/>
      <sheetData sheetId="1248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/>
      <sheetData sheetId="1667"/>
      <sheetData sheetId="1668"/>
      <sheetData sheetId="1669"/>
      <sheetData sheetId="1670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/>
      <sheetData sheetId="1677" refreshError="1"/>
      <sheetData sheetId="1678" refreshError="1"/>
      <sheetData sheetId="1679"/>
      <sheetData sheetId="1680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/>
      <sheetData sheetId="1687" refreshError="1"/>
      <sheetData sheetId="1688" refreshError="1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/>
      <sheetData sheetId="1696"/>
      <sheetData sheetId="1697" refreshError="1"/>
      <sheetData sheetId="1698" refreshError="1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 refreshError="1"/>
      <sheetData sheetId="1708" refreshError="1"/>
      <sheetData sheetId="1709"/>
      <sheetData sheetId="1710" refreshError="1"/>
      <sheetData sheetId="1711" refreshError="1"/>
      <sheetData sheetId="1712"/>
      <sheetData sheetId="1713" refreshError="1"/>
      <sheetData sheetId="1714" refreshError="1"/>
      <sheetData sheetId="1715" refreshError="1"/>
      <sheetData sheetId="1716"/>
      <sheetData sheetId="1717" refreshError="1"/>
      <sheetData sheetId="1718" refreshError="1"/>
      <sheetData sheetId="1719" refreshError="1"/>
      <sheetData sheetId="1720"/>
      <sheetData sheetId="1721"/>
      <sheetData sheetId="1722"/>
      <sheetData sheetId="1723"/>
      <sheetData sheetId="1724"/>
      <sheetData sheetId="1725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/>
      <sheetData sheetId="1747" refreshError="1"/>
      <sheetData sheetId="1748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/>
      <sheetData sheetId="175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/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/>
          </cell>
          <cell r="U6" t="str">
            <v/>
          </cell>
        </row>
        <row r="7">
          <cell r="A7">
            <v>2</v>
          </cell>
          <cell r="B7">
            <v>0.75</v>
          </cell>
          <cell r="E7" t="str">
            <v/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/>
          </cell>
          <cell r="U7" t="str">
            <v/>
          </cell>
        </row>
        <row r="8">
          <cell r="A8">
            <v>3</v>
          </cell>
          <cell r="B8">
            <v>1</v>
          </cell>
          <cell r="E8" t="str">
            <v/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/>
          </cell>
          <cell r="U8" t="str">
            <v/>
          </cell>
        </row>
        <row r="9">
          <cell r="A9">
            <v>4</v>
          </cell>
          <cell r="B9">
            <v>1.5</v>
          </cell>
          <cell r="E9" t="str">
            <v/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/>
          </cell>
          <cell r="U9" t="str">
            <v/>
          </cell>
        </row>
        <row r="10">
          <cell r="A10">
            <v>5</v>
          </cell>
          <cell r="B10">
            <v>2</v>
          </cell>
          <cell r="E10" t="str">
            <v/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/>
          </cell>
          <cell r="U10" t="str">
            <v/>
          </cell>
        </row>
        <row r="11">
          <cell r="A11">
            <v>6</v>
          </cell>
          <cell r="B11">
            <v>2.5</v>
          </cell>
          <cell r="E11" t="str">
            <v/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/>
          </cell>
          <cell r="U11" t="str">
            <v/>
          </cell>
        </row>
        <row r="12">
          <cell r="A12">
            <v>7</v>
          </cell>
          <cell r="B12">
            <v>3</v>
          </cell>
          <cell r="E12" t="str">
            <v/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/>
          </cell>
          <cell r="U12" t="str">
            <v/>
          </cell>
        </row>
        <row r="13">
          <cell r="A13">
            <v>8</v>
          </cell>
          <cell r="B13">
            <v>4</v>
          </cell>
          <cell r="E13" t="str">
            <v/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/>
          </cell>
          <cell r="U13" t="str">
            <v/>
          </cell>
        </row>
        <row r="14">
          <cell r="A14">
            <v>9</v>
          </cell>
          <cell r="B14">
            <v>5</v>
          </cell>
          <cell r="E14" t="str">
            <v/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/>
          </cell>
          <cell r="U14" t="str">
            <v/>
          </cell>
        </row>
        <row r="15">
          <cell r="A15">
            <v>10</v>
          </cell>
          <cell r="B15">
            <v>6</v>
          </cell>
          <cell r="E15" t="str">
            <v/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/>
          </cell>
          <cell r="U15" t="str">
            <v/>
          </cell>
        </row>
        <row r="16">
          <cell r="A16">
            <v>11</v>
          </cell>
          <cell r="B16">
            <v>8</v>
          </cell>
          <cell r="E16" t="str">
            <v/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/>
          </cell>
          <cell r="U16" t="str">
            <v/>
          </cell>
        </row>
        <row r="17">
          <cell r="A17">
            <v>12</v>
          </cell>
          <cell r="B17">
            <v>10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/>
          </cell>
          <cell r="U17" t="str">
            <v/>
          </cell>
        </row>
        <row r="18">
          <cell r="A18">
            <v>13</v>
          </cell>
          <cell r="B18">
            <v>12</v>
          </cell>
          <cell r="E18" t="str">
            <v/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/>
          </cell>
          <cell r="U18" t="str">
            <v/>
          </cell>
        </row>
        <row r="19">
          <cell r="A19">
            <v>14</v>
          </cell>
          <cell r="B19">
            <v>14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/>
          </cell>
          <cell r="U19" t="str">
            <v/>
          </cell>
        </row>
        <row r="20">
          <cell r="A20">
            <v>15</v>
          </cell>
          <cell r="B20">
            <v>16</v>
          </cell>
          <cell r="E20" t="str">
            <v/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/>
          </cell>
          <cell r="U20" t="str">
            <v/>
          </cell>
        </row>
        <row r="21">
          <cell r="A21">
            <v>16</v>
          </cell>
          <cell r="B21">
            <v>18</v>
          </cell>
          <cell r="E21" t="str">
            <v/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/>
          </cell>
          <cell r="U21" t="str">
            <v/>
          </cell>
        </row>
        <row r="22">
          <cell r="A22">
            <v>17</v>
          </cell>
          <cell r="B22">
            <v>20</v>
          </cell>
          <cell r="E22" t="str">
            <v/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/>
          </cell>
          <cell r="U22" t="str">
            <v/>
          </cell>
        </row>
        <row r="23">
          <cell r="A23">
            <v>18</v>
          </cell>
          <cell r="B23">
            <v>22</v>
          </cell>
          <cell r="E23" t="str">
            <v/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/>
          </cell>
          <cell r="U23" t="str">
            <v/>
          </cell>
        </row>
        <row r="24">
          <cell r="A24">
            <v>19</v>
          </cell>
          <cell r="B24">
            <v>24</v>
          </cell>
          <cell r="E24" t="str">
            <v/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/>
          </cell>
          <cell r="U24" t="str">
            <v/>
          </cell>
        </row>
        <row r="25">
          <cell r="A25">
            <v>20</v>
          </cell>
          <cell r="B25">
            <v>26</v>
          </cell>
          <cell r="E25" t="str">
            <v/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/>
          </cell>
          <cell r="U25" t="str">
            <v/>
          </cell>
        </row>
        <row r="26">
          <cell r="A26">
            <v>21</v>
          </cell>
          <cell r="B26">
            <v>28</v>
          </cell>
          <cell r="E26" t="str">
            <v/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/>
          </cell>
          <cell r="U26" t="str">
            <v/>
          </cell>
        </row>
        <row r="27">
          <cell r="A27">
            <v>22</v>
          </cell>
          <cell r="B27">
            <v>30</v>
          </cell>
          <cell r="E27" t="str">
            <v/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/>
          </cell>
          <cell r="U27" t="str">
            <v/>
          </cell>
        </row>
        <row r="28">
          <cell r="A28">
            <v>23</v>
          </cell>
          <cell r="B28">
            <v>32</v>
          </cell>
          <cell r="E28" t="str">
            <v/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/>
          </cell>
          <cell r="U28" t="str">
            <v/>
          </cell>
        </row>
        <row r="29">
          <cell r="A29">
            <v>24</v>
          </cell>
          <cell r="B29">
            <v>34</v>
          </cell>
          <cell r="E29" t="str">
            <v/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/>
          </cell>
          <cell r="U29" t="str">
            <v/>
          </cell>
        </row>
        <row r="30">
          <cell r="A30">
            <v>25</v>
          </cell>
          <cell r="B30">
            <v>36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/>
          </cell>
          <cell r="U30" t="str">
            <v/>
          </cell>
        </row>
        <row r="31">
          <cell r="A31">
            <v>26</v>
          </cell>
          <cell r="B31">
            <v>38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/>
          </cell>
          <cell r="U31" t="str">
            <v/>
          </cell>
        </row>
        <row r="32">
          <cell r="A32">
            <v>27</v>
          </cell>
          <cell r="B32">
            <v>40</v>
          </cell>
          <cell r="E32" t="str">
            <v/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/>
          </cell>
          <cell r="U32" t="str">
            <v/>
          </cell>
        </row>
        <row r="33">
          <cell r="A33">
            <v>28</v>
          </cell>
          <cell r="B33">
            <v>42</v>
          </cell>
          <cell r="E33" t="str">
            <v/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/>
          </cell>
          <cell r="U33" t="str">
            <v/>
          </cell>
        </row>
        <row r="34">
          <cell r="A34">
            <v>29</v>
          </cell>
          <cell r="B34">
            <v>44</v>
          </cell>
          <cell r="E34" t="str">
            <v/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/>
          </cell>
          <cell r="U34" t="str">
            <v/>
          </cell>
        </row>
        <row r="35">
          <cell r="A35">
            <v>30</v>
          </cell>
          <cell r="B35">
            <v>46</v>
          </cell>
          <cell r="E35" t="str">
            <v/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/>
          </cell>
          <cell r="U35" t="str">
            <v/>
          </cell>
        </row>
        <row r="36">
          <cell r="A36">
            <v>31</v>
          </cell>
          <cell r="B36">
            <v>48</v>
          </cell>
          <cell r="E36" t="str">
            <v/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/>
          </cell>
          <cell r="U36" t="str">
            <v/>
          </cell>
        </row>
        <row r="37">
          <cell r="A37">
            <v>32</v>
          </cell>
          <cell r="B37">
            <v>52</v>
          </cell>
          <cell r="E37" t="str">
            <v/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/>
          </cell>
          <cell r="U37" t="str">
            <v/>
          </cell>
        </row>
        <row r="38">
          <cell r="A38">
            <v>33</v>
          </cell>
          <cell r="B38">
            <v>56</v>
          </cell>
          <cell r="E38" t="str">
            <v/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/>
          </cell>
          <cell r="U38" t="str">
            <v/>
          </cell>
        </row>
        <row r="39">
          <cell r="A39">
            <v>34</v>
          </cell>
          <cell r="B39">
            <v>60</v>
          </cell>
          <cell r="E39" t="str">
            <v/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/>
          </cell>
          <cell r="U39" t="str">
            <v/>
          </cell>
        </row>
        <row r="40">
          <cell r="A40">
            <v>35</v>
          </cell>
          <cell r="B40">
            <v>64</v>
          </cell>
          <cell r="E40" t="str">
            <v/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/>
          </cell>
          <cell r="U40" t="str">
            <v/>
          </cell>
        </row>
        <row r="41">
          <cell r="A41">
            <v>36</v>
          </cell>
          <cell r="B41">
            <v>68</v>
          </cell>
          <cell r="E41" t="str">
            <v/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/>
          </cell>
          <cell r="U41" t="str">
            <v/>
          </cell>
        </row>
        <row r="42">
          <cell r="A42">
            <v>37</v>
          </cell>
          <cell r="B42">
            <v>72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/>
          </cell>
          <cell r="U42" t="str">
            <v/>
          </cell>
        </row>
        <row r="43">
          <cell r="A43">
            <v>38</v>
          </cell>
          <cell r="B43">
            <v>76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/>
          </cell>
          <cell r="U43" t="str">
            <v/>
          </cell>
        </row>
        <row r="44">
          <cell r="A44">
            <v>39</v>
          </cell>
          <cell r="B44">
            <v>80</v>
          </cell>
          <cell r="E44" t="str">
            <v/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/>
          </cell>
          <cell r="U44" t="str">
            <v/>
          </cell>
        </row>
        <row r="45">
          <cell r="A45" t="str">
            <v>AVE.</v>
          </cell>
          <cell r="B45" t="str">
            <v/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/>
          </cell>
          <cell r="U45" t="str">
            <v/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  <sheetName val="ma-pt"/>
      <sheetName val="DTOAN"/>
      <sheetName val="THOP-KL"/>
      <sheetName val="CPHI KKS"/>
      <sheetName val="DG-KSAT"/>
      <sheetName val="TMDAUTU"/>
      <sheetName val="GTXLCHINH"/>
      <sheetName val="CPHI-TT"/>
      <sheetName val="CPHIBUVL"/>
      <sheetName val="CHENH VLCHINH"/>
      <sheetName val="GVLHT"/>
      <sheetName val="DGCT-QCH2"/>
      <sheetName val="XL4Poppy"/>
      <sheetName val="Bthkl"/>
      <sheetName val="KM247"/>
      <sheetName val="km248"/>
      <sheetName val="Congty"/>
      <sheetName val="VPPN"/>
      <sheetName val="XN74"/>
      <sheetName val="XN54"/>
      <sheetName val="XN33"/>
      <sheetName val="NK96"/>
      <sheetName val="XL4Test5"/>
      <sheetName val="VL"/>
      <sheetName val="NHAN CONG"/>
      <sheetName val="MAY"/>
      <sheetName val="VUA"/>
      <sheetName val="DG CAU"/>
      <sheetName val="THOP CAU"/>
      <sheetName val="TLP CAU"/>
      <sheetName val="DAKT1"/>
      <sheetName val="Sheet3"/>
      <sheetName val="XL4Poppy (2)"/>
      <sheetName val="sat"/>
      <sheetName val="ptvt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MAU_A"/>
      <sheetName val="MAU_B"/>
      <sheetName val="MAU_C"/>
      <sheetName val="MAU E -XCD"/>
      <sheetName val="MAU E -TDS1"/>
      <sheetName val="MAU E- NDH"/>
      <sheetName val="Sheet1"/>
      <sheetName val="Sheet2"/>
      <sheetName val="Chart1"/>
      <sheetName val="Chart2"/>
      <sheetName val="Sheet4"/>
      <sheetName val="TINHNEN"/>
      <sheetName val="Nen VN"/>
      <sheetName val="ESTI_"/>
      <sheetName val="DI_ESTI"/>
      <sheetName val="thang 1"/>
      <sheetName val="thang2"/>
      <sheetName val="Thang 3"/>
      <sheetName val="thang5"/>
      <sheetName val="thang4"/>
      <sheetName val="00000001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TA"/>
      <sheetName val="Gia VL"/>
      <sheetName val="Bang luong CB"/>
      <sheetName val="Bang P.tich CT"/>
      <sheetName val="D.toan chi tiet"/>
      <sheetName val="Bang TH Dtoan"/>
      <sheetName val="XXXXXXXX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Cmay"/>
      <sheetName val="VL (2)"/>
      <sheetName val="May (2)"/>
      <sheetName val="GVLBo"/>
      <sheetName val="TH"/>
      <sheetName val="XL"/>
      <sheetName val="1E"/>
      <sheetName val="2E"/>
      <sheetName val="3E"/>
      <sheetName val="7D"/>
      <sheetName val="8D"/>
      <sheetName val="14D"/>
      <sheetName val="10D"/>
      <sheetName val="20D"/>
      <sheetName val="22D"/>
      <sheetName val="24D"/>
      <sheetName val="26P"/>
      <sheetName val="28P"/>
      <sheetName val="33P"/>
      <sheetName val="PTro"/>
      <sheetName val="PT"/>
      <sheetName val="KSTK"/>
      <sheetName val="A6-II"/>
      <sheetName val="km338+00-km338+100(2)"/>
      <sheetName val="km337+136-km337-350"/>
      <sheetName val="km346+600-km346+820 (2)"/>
      <sheetName val="km346+330-km346+600 (2)"/>
      <sheetName val="km346+00-km346+240 (2)"/>
      <sheetName val="km345+400-km345+500 (6)"/>
      <sheetName val="km345+400-km345+5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37+00-km337+34 (3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cong ty so 9 VINACONEX"/>
      <sheetName val="cong ty so 9 VINACONEX (2)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hop"/>
      <sheetName val="phan tich DG"/>
      <sheetName val="gia vat lieu"/>
      <sheetName val="gia xe may"/>
      <sheetName val="gia nhan cong"/>
      <sheetName val="QTNC-2002"/>
      <sheetName val="QTNC2003"/>
      <sheetName val="QTNC-Tong hop"/>
      <sheetName val="QTVT-Tong hop"/>
      <sheetName val="GTQT-Tong hop"/>
      <sheetName val="QT - Duet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PTH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caodothietke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Du an nut So"/>
      <sheetName val="Du an nut vong"/>
      <sheetName val="Du an nut Nam cau Tlong"/>
      <sheetName val="Duong kim lien 0 cho dua"/>
      <sheetName val="Du an KTDC Nam trung yen"/>
      <sheetName val="DTCT"/>
      <sheetName val="THDT"/>
      <sheetName val="THVT"/>
      <sheetName val="THGT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ang 8"/>
      <sheetName val="Macro1"/>
      <sheetName val="Macro2"/>
      <sheetName val="Macro3"/>
      <sheetName val="THANG 09"/>
      <sheetName val="THANG 10"/>
      <sheetName val="Duong con' vu hcm (8)"/>
      <sheetName val="Qheet3"/>
      <sheetName val="C47-456"/>
      <sheetName val="C46"/>
      <sheetName val="C47-PII"/>
      <sheetName val="TRUC TIEP"/>
      <sheetName val="GIAN TIEP"/>
      <sheetName val="HOP DONG"/>
      <sheetName val="CON LINH"/>
      <sheetName val="km346+00-km346_x000b_240 (2)"/>
      <sheetName val="km342+297._x0015_8-km342+376.41"/>
      <sheetName val="km341+1077 -km34_x0011_+1177.61"/>
      <sheetName val="Bang 聧ia ca may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1N"/>
      <sheetName val="XD"/>
      <sheetName val="GTGT1"/>
      <sheetName val="NHAHAT"/>
      <sheetName val="TGTGT2"/>
      <sheetName val="CAU"/>
      <sheetName val="KL"/>
      <sheetName val="MD1"/>
      <sheetName val="RPT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20000000"/>
      <sheetName val="[RPT.x"/>
      <sheetName val="[RPT.xlsၝCmay"/>
      <sheetName val="Duïng cong vu hcm (13;) (2)"/>
      <sheetName val="Duong cong vu hcm (8;) (:)"/>
      <sheetName val="Duofg cong vu hcm (7;) (2)"/>
      <sheetName val=""/>
      <sheetName val="gVL"/>
      <sheetName val="THChi"/>
      <sheetName val="THthu"/>
      <sheetName val="BCD"/>
      <sheetName val="111"/>
      <sheetName val="112"/>
      <sheetName val="131"/>
      <sheetName val="133"/>
      <sheetName val="138"/>
      <sheetName val="141"/>
      <sheetName val="142"/>
      <sheetName val="152"/>
      <sheetName val="153"/>
      <sheetName val="154"/>
      <sheetName val="211"/>
      <sheetName val="214"/>
      <sheetName val="331"/>
      <sheetName val="3331"/>
      <sheetName val="3334"/>
      <sheetName val="334"/>
      <sheetName val="411"/>
      <sheetName val="421"/>
      <sheetName val="511"/>
      <sheetName val="621"/>
      <sheetName val="622"/>
      <sheetName val="623"/>
      <sheetName val="627b"/>
      <sheetName val="632"/>
      <sheetName val="642"/>
      <sheetName val="711"/>
      <sheetName val="811"/>
      <sheetName val="911"/>
      <sheetName val="009"/>
      <sheetName val=" quy I-2005"/>
      <sheetName val="Quy 2- 2005 "/>
      <sheetName val="Quy III- 2005 "/>
      <sheetName val="Quy 4- 2005"/>
      <sheetName val="pt0-1"/>
      <sheetName val="kp0-1"/>
      <sheetName val="0-1"/>
      <sheetName val="pt2-3"/>
      <sheetName val="thkp2-3"/>
      <sheetName val="clvl"/>
      <sheetName val="2-3"/>
      <sheetName val="cl1-2"/>
      <sheetName val="thkp1-2"/>
      <sheetName val="clvl1-2"/>
      <sheetName val="1-2"/>
      <sheetName val="km337+533î60-km3ó4 (2)"/>
      <sheetName val="N_x0008_AN CONG"/>
      <sheetName val="K251 _x0001_C"/>
      <sheetName val="?? MTL"/>
      <sheetName val="?? DI"/>
      <sheetName val="tienluong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HDKT"/>
      <sheetName val="PIPERACK"/>
      <sheetName val="MONG T,V,E"/>
      <sheetName val="tk12A-B&amp;13A-B"/>
      <sheetName val="TAM-tk12A-B&amp;13A-B"/>
      <sheetName val="tk15&amp;11A-B"/>
      <sheetName val="TAM-tk15&amp;11A-B"/>
      <sheetName val="V31"/>
      <sheetName val="T-V31"/>
      <sheetName val="V51"/>
      <sheetName val="T-V51"/>
      <sheetName val="V11"/>
      <sheetName val="v12"/>
      <sheetName val="V13"/>
      <sheetName val="v22"/>
      <sheetName val="V23"/>
      <sheetName val="v24"/>
      <sheetName val="V25"/>
      <sheetName val="V52"/>
      <sheetName val="V61"/>
      <sheetName val="E-01"/>
      <sheetName val="E-02"/>
      <sheetName val="C-01"/>
      <sheetName val="pr-B"/>
      <sheetName val="pr-C"/>
      <sheetName val="pr-D"/>
      <sheetName val="pr-E"/>
      <sheetName val="S-SA"/>
      <sheetName val="S-SB"/>
      <sheetName val="S-SC1"/>
      <sheetName val="S-SC2"/>
      <sheetName val="S-SD1"/>
      <sheetName val="S-SD2"/>
      <sheetName val="S-SD3"/>
      <sheetName val="S-SE1"/>
      <sheetName val="S-SE2"/>
      <sheetName val="sum-sl"/>
      <sheetName val="sum-steel"/>
      <sheetName val="sum-T"/>
      <sheetName val="sum-E"/>
      <sheetName val="sum-pr"/>
      <sheetName val="REPORT"/>
      <sheetName val="Daily"/>
      <sheetName val="Data-input"/>
      <sheetName val="TK12"/>
      <sheetName val="Visual inspection record-07"/>
      <sheetName val="Fitup inspection record-06"/>
      <sheetName val="WELD MONITORING"/>
      <sheetName val="CHECK LIST"/>
      <sheetName val="MATERIAL B"/>
      <sheetName val="MATERIAL"/>
      <sheetName val="BENDING REPORT"/>
      <sheetName val="INPS RELEASE"/>
      <sheetName val="PAINTING REPORT"/>
      <sheetName val="hydro test"/>
      <sheetName val="MTL$-INTER"/>
      <sheetName val="Duong cong vu hcm (¶)"/>
      <sheetName val="thang6"/>
      <sheetName val="Sheet5"/>
      <sheetName val="Sheet6"/>
      <sheetName val="刃割 MTL"/>
      <sheetName val="giamay"/>
      <sheetName val="XL²t5"/>
      <sheetName val="Ë261"/>
      <sheetName val="K261Base"/>
      <sheetName val="K2_x0016_1 AC"/>
      <sheetName val="CON(LINH"/>
      <sheetName val="CHEKe VLCHINH"/>
      <sheetName val="K5_x0001_ @9_x0008_"/>
      <sheetName val="soktmay"/>
      <sheetName val="切割 MၔL"/>
      <sheetName val="K2_x0015_1 AC"/>
      <sheetName val="km342+520-km342+690 (2 "/>
      <sheetName val="Km346+60_x0010_-km346+820 (2)"/>
      <sheetName val="km346+00-km3_x0014_6+240 (_x0012_)"/>
      <sheetName val="km345+6_x0016_1-km345+000"/>
      <sheetName val="km342+_x0013_76.41- km342+520.29"/>
      <sheetName val="km342+29_x0017_.58-km3_x0014_2+376.41"/>
      <sheetName val="km338+00-km33Oé100(2)"/>
      <sheetName val="Bang ?ia ca may"/>
      <sheetName val="[RPT.xls?Cmay"/>
      <sheetName val="km345+400-km345ÿÿ00 (6)"/>
      <sheetName val="Con'ty"/>
      <sheetName val="Thuc thanh"/>
      <sheetName val="GTXLC@INH"/>
      <sheetName val="Ho=Ðdong giao khoan"/>
      <sheetName val="切割 II"/>
      <sheetName val="959 K98"/>
      <sheetName val="Mau so 04 TFDN"/>
      <sheetName val="TSO_CHUNG"/>
      <sheetName val="Duong cog vu hcm (4)"/>
      <sheetName val="K219 Subbase"/>
      <sheetName val="Duong cojg vu hcm (13;) (2)"/>
      <sheetName val="m361 Base"/>
      <sheetName val="DG1kSAT"/>
      <sheetName val="May no"/>
      <sheetName val="Sua chua "/>
      <sheetName val="BC luan chuyen"/>
      <sheetName val="_x0010_pЁ"/>
      <sheetName val="K259†Base "/>
      <sheetName val="_x0010_p?Ё"/>
      <sheetName val="K251 K)8"/>
      <sheetName val="?"/>
      <sheetName val="cot_xa"/>
      <sheetName val="Quet rac"/>
      <sheetName val="Thang"/>
      <sheetName val="T1"/>
      <sheetName val="T2"/>
      <sheetName val="T3"/>
      <sheetName val="T4"/>
      <sheetName val="k-337+533.60-km338 (2)"/>
      <sheetName val="km341+275-km341)350"/>
      <sheetName val="Don gia"/>
      <sheetName val="chi tiet z"/>
      <sheetName val="000000000000"/>
      <sheetName val="100000000000"/>
      <sheetName val="200000000000"/>
      <sheetName val="300000000000"/>
      <sheetName val="400000000000"/>
      <sheetName val="C²iet TK131"/>
      <sheetName val="Bang ke T.toan`"/>
      <sheetName val="K261?Base"/>
      <sheetName val="XL²??t5"/>
      <sheetName val="K?5_x0001_ @9_x0008_"/>
      <sheetName val="km337+136-km33×¶350"/>
      <sheetName val="km337+136-km337ý350"/>
      <sheetName val="nghiviecQ402"/>
      <sheetName val="nhansu_phong"/>
      <sheetName val="dieudong2003"/>
      <sheetName val="lylich03"/>
      <sheetName val="bdns02"/>
      <sheetName val="bdns03"/>
      <sheetName val="PET-NB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canh (2)"/>
      <sheetName val="canh"/>
      <sheetName val="Bang Don gia II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30000000"/>
      <sheetName val="40000000"/>
      <sheetName val="50000000"/>
      <sheetName val="60000000"/>
      <sheetName val="XXXXXXX0"/>
      <sheetName val="TH9"/>
      <sheetName val="TH12"/>
      <sheetName val="lienbao1"/>
      <sheetName val="bangrap"/>
      <sheetName val="Lie Bao2"/>
      <sheetName val="lien bao"/>
      <sheetName val="duong BR"/>
      <sheetName val="nhakhoBR"/>
      <sheetName val="trung 5"/>
      <sheetName val="QLoi"/>
      <sheetName val="PTHT"/>
      <sheetName val="Yenlac"/>
      <sheetName val="telo"/>
      <sheetName val="CTA NCS cond.2012"/>
      <sheetName val="TCT DIEN LUC (EVN)"/>
      <sheetName val="415"/>
      <sheetName val="511.BT"/>
      <sheetName val="631.BT"/>
      <sheetName val="NKSC1"/>
      <sheetName val="CDKT"/>
      <sheetName val="BCDTCP"/>
      <sheetName val="KEM NGHIEN GIA CONG"/>
      <sheetName val="Khe uoc vay"/>
      <sheetName val="Tom tat"/>
      <sheetName val="TH tien vay"/>
      <sheetName val="KH tra no vay NH "/>
      <sheetName val="vay NHNo LS"/>
      <sheetName val="tr.han No LS"/>
      <sheetName val="NHNo Thanh hoa"/>
      <sheetName val="vay NHCT"/>
      <sheetName val="vay NHDT"/>
      <sheetName val="Dai han HTPT"/>
      <sheetName val="Lai quy 3 "/>
      <sheetName val="Tr.han NHCT"/>
      <sheetName val="Tr.han NHDT"/>
      <sheetName val="Von tu co HTPT"/>
      <sheetName val="KH NH"/>
      <sheetName val="HDTD BKLS"/>
      <sheetName val="rptDSTHEOTUNGNVVATUNGKHchitiet"/>
      <sheetName val="rptHangHoaNhapXuatTonTuNgayDenN"/>
      <sheetName val="Outlets"/>
      <sheetName val="PGs"/>
      <sheetName val="Cto"/>
      <sheetName val="B×a QTo¸n"/>
      <sheetName val="TDuyÖt QT "/>
      <sheetName val="B×a QTo¸n "/>
      <sheetName val="TMQT"/>
      <sheetName val="THQTo¸n"/>
      <sheetName val="TH.HangMuc"/>
      <sheetName val="NC«ng "/>
      <sheetName val="VËt t­ "/>
      <sheetName val="ThÝ nghiÖm "/>
      <sheetName val="THVT­ "/>
      <sheetName val="Thèng Kª nghiÖm thu"/>
      <sheetName val="VChuyÓn "/>
      <sheetName val="QT Thu håi "/>
      <sheetName val="Thu håi B3 "/>
      <sheetName val="Thu håi B4  "/>
      <sheetName val="Thu håi Õ"/>
      <sheetName val="BB¶n ®gi¸ VTThu håi "/>
      <sheetName val="CaM¸y "/>
      <sheetName val="BB"/>
      <sheetName val="BB¶n"/>
      <sheetName val="BVe Duoica 2"/>
      <sheetName val="BVe 242 MK"/>
      <sheetName val="BVe LTam-6"/>
      <sheetName val="특외대"/>
      <sheetName val="SILICATE"/>
      <sheetName val="Main"/>
      <sheetName val="Reference"/>
      <sheetName val="general"/>
      <sheetName val="_x0010_p?"/>
      <sheetName val="K259Base "/>
      <sheetName val="_x0010_p??"/>
      <sheetName val="Duong co?g vu hcm (4)"/>
      <sheetName val="Disch"/>
      <sheetName val="Pack"/>
      <sheetName val="Delivery"/>
      <sheetName val="M50"/>
      <sheetName val="M48"/>
      <sheetName val="M45"/>
      <sheetName val="M38"/>
      <sheetName val="D.Order"/>
      <sheetName val="Report.Delivery"/>
      <sheetName val="Monthly"/>
      <sheetName val="DMTK"/>
      <sheetName val="Corporate"/>
      <sheetName val="Quantity"/>
      <sheetName val="_RPT.x"/>
      <sheetName val="Du a. nut Nam cau Tlong"/>
      <sheetName val="km338+00-km338+100,2)"/>
      <sheetName val="km″42+297.58-km342+376.41"/>
      <sheetName val="Sheet04"/>
      <sheetName val="D"/>
      <sheetName val="_x0010_p"/>
      <sheetName val="ÇÐ¸î MTL"/>
      <sheetName val="ÇÐ¸î DI"/>
      <sheetName val="¤Á³Î MTL"/>
      <sheetName val="¤Á³Î DI"/>
      <sheetName val="km341+1077 -km341+1!77.61"/>
      <sheetName val="km3;7+00-km337+34 (3)"/>
      <sheetName val="Duong cong vu hcm`(2)"/>
      <sheetName val="Duong cong vuhcm (9)"/>
      <sheetName val="Duong cong vuhcm (4;) (2)"/>
      <sheetName val="Duong cong ve hcm (6)"/>
      <sheetName val="Duong colg vu hcm (3)"/>
      <sheetName val="Duong cnng vu hcm (7;) (2)"/>
      <sheetName val="Duong cong vu hcm(Lmat;0)!(2)"/>
      <sheetName val="CTduo~g"/>
      <sheetName val="km345+661-km345;000"/>
      <sheetName val="TNHCHINH"/>
      <sheetName val="Macro2뻰Ŏ_x0004_뱤ŏ"/>
      <sheetName val="PNT-QUOT-#3"/>
      <sheetName val="COAT&amp;WRAP-QIOT-#3"/>
      <sheetName val="NEW-PANEL"/>
      <sheetName val="Overhead &amp; Profit B-1"/>
      <sheetName val="B-2  (DPP)"/>
      <sheetName val="RP 14E Table"/>
      <sheetName val="AG"/>
      <sheetName val="Guidelines"/>
      <sheetName val="b1"/>
      <sheetName val="2.. (2)"/>
      <sheetName val="Callout"/>
      <sheetName val="MTO REV.0"/>
      <sheetName val="предприятия"/>
      <sheetName val="ЦФО"/>
      <sheetName val="LIGHTING &amp; GROUNDING"/>
      <sheetName val="[RPT.xls]Duong cong vu hcm (8;)"/>
      <sheetName val="T HOP"/>
      <sheetName val="LONG"/>
      <sheetName val="HAI"/>
      <sheetName val="HIEP"/>
      <sheetName val="TUAN"/>
      <sheetName val="nguyen"/>
      <sheetName val="VE"/>
      <sheetName val="VU"/>
      <sheetName val="LUAN"/>
      <sheetName val="HIEN&gt;"/>
      <sheetName val="HIEN"/>
      <sheetName val="PHU"/>
      <sheetName val="CHAN"/>
      <sheetName val="BANBGIAO"/>
      <sheetName val="DLIEU"/>
      <sheetName val="GOC"/>
      <sheetName val="Son"/>
      <sheetName val="MAIN GATE HOUSE"/>
      <sheetName val="Schedule"/>
      <sheetName val="MMTB"/>
      <sheetName val="DGNC"/>
      <sheetName val="F04-CPNC"/>
      <sheetName val="F05-CFVT"/>
      <sheetName val="VLP"/>
      <sheetName val="PVGC"/>
      <sheetName val="T03-02"/>
      <sheetName val="T02-02"/>
      <sheetName val="Mau"/>
      <sheetName val="切割_MTL"/>
      <sheetName val="切割_DI"/>
      <sheetName val="LM"/>
      <sheetName val="NSL"/>
      <sheetName val="切割_MTL1"/>
      <sheetName val="切割_DI1"/>
      <sheetName val="ESTI_1"/>
      <sheetName val="C²??iet TK131"/>
      <sheetName val="Dir01"/>
      <sheetName val="chamcongDHbo"/>
      <sheetName val="1-TH"/>
      <sheetName val="thang lương"/>
      <sheetName val="vs"/>
      <sheetName val="DTCP NB"/>
      <sheetName val="Duong co"/>
      <sheetName val="XL²"/>
      <sheetName val="K"/>
      <sheetName val="C²"/>
      <sheetName val="Duong cong vu"/>
      <sheetName val="Duong cong vu hcm("/>
      <sheetName val="phuluc1"/>
      <sheetName val="phuluc2"/>
      <sheetName val="phuluc3A"/>
      <sheetName val="phuluc3b"/>
      <sheetName val="Phuluc4"/>
      <sheetName val="phuluc5"/>
      <sheetName val="phuluc9"/>
      <sheetName val="phuluc10"/>
      <sheetName val="PHULUC11"/>
      <sheetName val="phuluc12"/>
      <sheetName val="CCDN"/>
      <sheetName val="km342+520-km342+690 (2_x0009_"/>
      <sheetName val="WUA"/>
      <sheetName val="_RPT.xlsၝCmay"/>
      <sheetName val="TRUC TI"/>
      <sheetName val="Ў`"/>
      <sheetName val="chitiet"/>
      <sheetName val="Thang??"/>
      <sheetName val="?? M?L"/>
      <sheetName val="?? II"/>
      <sheetName val="ctTBA"/>
      <sheetName val="MCY"/>
      <sheetName val="Eau so 04 TNDN"/>
      <sheetName val="LME"/>
      <sheetName val="GDXLCHINH"/>
      <sheetName val="CT 13!"/>
      <sheetName val="Du an n5t Nam cau Tlong"/>
      <sheetName val="_x0000_"/>
      <sheetName val="K261_x0000_Base"/>
      <sheetName val="K_x0000_5_x0001_ @9_x0008_"/>
      <sheetName val="Duong co_x0000_g vu hcm (4)"/>
      <sheetName val="Thang_x0000__x0000_"/>
      <sheetName val="_x0010_p_x0000_?"/>
      <sheetName val="Duong cong vu_x0000_hcm (9)"/>
      <sheetName val="Duong cong vu_x0000_hcm (4;) (2)"/>
      <sheetName val="Duong cong vu hcm(_x0000_Lmat;0)!(2)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  <cell r="B1">
            <v>0</v>
          </cell>
          <cell r="C1">
            <v>0</v>
          </cell>
          <cell r="D1" t="str">
            <v/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 t="str">
            <v/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 t="str">
            <v/>
          </cell>
          <cell r="S1">
            <v>0</v>
          </cell>
          <cell r="T1" t="str">
            <v/>
          </cell>
          <cell r="U1">
            <v>0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/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/>
          </cell>
          <cell r="U6" t="str">
            <v/>
          </cell>
        </row>
        <row r="7">
          <cell r="A7">
            <v>2</v>
          </cell>
          <cell r="B7">
            <v>0.75</v>
          </cell>
          <cell r="E7" t="str">
            <v/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/>
          </cell>
          <cell r="U7" t="str">
            <v/>
          </cell>
        </row>
        <row r="8">
          <cell r="A8">
            <v>3</v>
          </cell>
          <cell r="B8">
            <v>1</v>
          </cell>
          <cell r="E8" t="str">
            <v/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/>
          </cell>
          <cell r="U8" t="str">
            <v/>
          </cell>
        </row>
        <row r="9">
          <cell r="A9">
            <v>4</v>
          </cell>
          <cell r="B9">
            <v>1.5</v>
          </cell>
          <cell r="E9" t="str">
            <v/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/>
          </cell>
          <cell r="U9" t="str">
            <v/>
          </cell>
        </row>
        <row r="10">
          <cell r="A10">
            <v>5</v>
          </cell>
          <cell r="B10">
            <v>2</v>
          </cell>
          <cell r="E10" t="str">
            <v/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/>
          </cell>
          <cell r="U10" t="str">
            <v/>
          </cell>
        </row>
        <row r="11">
          <cell r="A11">
            <v>6</v>
          </cell>
          <cell r="B11">
            <v>2.5</v>
          </cell>
          <cell r="E11" t="str">
            <v/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/>
          </cell>
          <cell r="U11" t="str">
            <v/>
          </cell>
        </row>
        <row r="12">
          <cell r="A12">
            <v>7</v>
          </cell>
          <cell r="B12">
            <v>3</v>
          </cell>
          <cell r="E12" t="str">
            <v/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/>
          </cell>
          <cell r="U12" t="str">
            <v/>
          </cell>
        </row>
        <row r="13">
          <cell r="A13">
            <v>8</v>
          </cell>
          <cell r="B13">
            <v>4</v>
          </cell>
          <cell r="E13" t="str">
            <v/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/>
          </cell>
          <cell r="U13" t="str">
            <v/>
          </cell>
        </row>
        <row r="14">
          <cell r="A14">
            <v>9</v>
          </cell>
          <cell r="B14">
            <v>5</v>
          </cell>
          <cell r="E14" t="str">
            <v/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/>
          </cell>
          <cell r="U14" t="str">
            <v/>
          </cell>
        </row>
        <row r="15">
          <cell r="A15">
            <v>10</v>
          </cell>
          <cell r="B15">
            <v>6</v>
          </cell>
          <cell r="E15" t="str">
            <v/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/>
          </cell>
          <cell r="U15" t="str">
            <v/>
          </cell>
        </row>
        <row r="16">
          <cell r="A16">
            <v>11</v>
          </cell>
          <cell r="B16">
            <v>8</v>
          </cell>
          <cell r="E16" t="str">
            <v/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/>
          </cell>
          <cell r="U16" t="str">
            <v/>
          </cell>
        </row>
        <row r="17">
          <cell r="A17">
            <v>12</v>
          </cell>
          <cell r="B17">
            <v>10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/>
          </cell>
          <cell r="U17" t="str">
            <v/>
          </cell>
        </row>
        <row r="18">
          <cell r="A18">
            <v>13</v>
          </cell>
          <cell r="B18">
            <v>12</v>
          </cell>
          <cell r="E18" t="str">
            <v/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/>
          </cell>
          <cell r="U18" t="str">
            <v/>
          </cell>
        </row>
        <row r="19">
          <cell r="A19">
            <v>14</v>
          </cell>
          <cell r="B19">
            <v>14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/>
          </cell>
          <cell r="U19" t="str">
            <v/>
          </cell>
        </row>
        <row r="20">
          <cell r="A20">
            <v>15</v>
          </cell>
          <cell r="B20">
            <v>16</v>
          </cell>
          <cell r="E20" t="str">
            <v/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/>
          </cell>
          <cell r="U20" t="str">
            <v/>
          </cell>
        </row>
        <row r="21">
          <cell r="A21">
            <v>16</v>
          </cell>
          <cell r="B21">
            <v>18</v>
          </cell>
          <cell r="E21" t="str">
            <v/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/>
          </cell>
          <cell r="U21" t="str">
            <v/>
          </cell>
        </row>
        <row r="22">
          <cell r="A22">
            <v>17</v>
          </cell>
          <cell r="B22">
            <v>20</v>
          </cell>
          <cell r="E22" t="str">
            <v/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/>
          </cell>
          <cell r="U22" t="str">
            <v/>
          </cell>
        </row>
        <row r="23">
          <cell r="A23">
            <v>18</v>
          </cell>
          <cell r="B23">
            <v>22</v>
          </cell>
          <cell r="E23" t="str">
            <v/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/>
          </cell>
          <cell r="U23" t="str">
            <v/>
          </cell>
        </row>
        <row r="24">
          <cell r="A24">
            <v>19</v>
          </cell>
          <cell r="B24">
            <v>24</v>
          </cell>
          <cell r="E24" t="str">
            <v/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/>
          </cell>
          <cell r="U24" t="str">
            <v/>
          </cell>
        </row>
        <row r="25">
          <cell r="A25">
            <v>20</v>
          </cell>
          <cell r="B25">
            <v>26</v>
          </cell>
          <cell r="E25" t="str">
            <v/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/>
          </cell>
          <cell r="U25" t="str">
            <v/>
          </cell>
        </row>
        <row r="26">
          <cell r="A26">
            <v>21</v>
          </cell>
          <cell r="B26">
            <v>28</v>
          </cell>
          <cell r="E26" t="str">
            <v/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/>
          </cell>
          <cell r="U26" t="str">
            <v/>
          </cell>
        </row>
        <row r="27">
          <cell r="A27">
            <v>22</v>
          </cell>
          <cell r="B27">
            <v>30</v>
          </cell>
          <cell r="E27" t="str">
            <v/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/>
          </cell>
          <cell r="U27" t="str">
            <v/>
          </cell>
        </row>
        <row r="28">
          <cell r="A28">
            <v>23</v>
          </cell>
          <cell r="B28">
            <v>32</v>
          </cell>
          <cell r="E28" t="str">
            <v/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/>
          </cell>
          <cell r="U28" t="str">
            <v/>
          </cell>
        </row>
        <row r="29">
          <cell r="A29">
            <v>24</v>
          </cell>
          <cell r="B29">
            <v>34</v>
          </cell>
          <cell r="E29" t="str">
            <v/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/>
          </cell>
          <cell r="U29" t="str">
            <v/>
          </cell>
        </row>
        <row r="30">
          <cell r="A30">
            <v>25</v>
          </cell>
          <cell r="B30">
            <v>36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/>
          </cell>
          <cell r="U30" t="str">
            <v/>
          </cell>
        </row>
        <row r="31">
          <cell r="A31">
            <v>26</v>
          </cell>
          <cell r="B31">
            <v>38</v>
          </cell>
          <cell r="C31">
            <v>6</v>
          </cell>
          <cell r="D31">
            <v>2.77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0.45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/>
          </cell>
          <cell r="U31" t="str">
            <v/>
          </cell>
        </row>
        <row r="32">
          <cell r="A32">
            <v>27</v>
          </cell>
          <cell r="B32">
            <v>40</v>
          </cell>
          <cell r="C32">
            <v>8</v>
          </cell>
          <cell r="D32">
            <v>2.77</v>
          </cell>
          <cell r="E32" t="str">
            <v/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0.45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/>
          </cell>
          <cell r="U32" t="str">
            <v/>
          </cell>
        </row>
        <row r="33">
          <cell r="A33">
            <v>28</v>
          </cell>
          <cell r="B33">
            <v>42</v>
          </cell>
          <cell r="C33">
            <v>10</v>
          </cell>
          <cell r="D33">
            <v>3.4</v>
          </cell>
          <cell r="E33" t="str">
            <v/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/>
          </cell>
          <cell r="U33" t="str">
            <v/>
          </cell>
        </row>
        <row r="34">
          <cell r="A34">
            <v>29</v>
          </cell>
          <cell r="B34">
            <v>44</v>
          </cell>
          <cell r="C34">
            <v>12</v>
          </cell>
          <cell r="D34">
            <v>3.96</v>
          </cell>
          <cell r="E34" t="str">
            <v/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1.2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/>
          </cell>
          <cell r="U34" t="str">
            <v/>
          </cell>
        </row>
        <row r="35">
          <cell r="A35">
            <v>30</v>
          </cell>
          <cell r="B35">
            <v>46</v>
          </cell>
          <cell r="C35">
            <v>14</v>
          </cell>
          <cell r="D35">
            <v>3.96</v>
          </cell>
          <cell r="E35" t="str">
            <v/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1.34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/>
          </cell>
          <cell r="U35" t="str">
            <v/>
          </cell>
        </row>
        <row r="36">
          <cell r="A36">
            <v>31</v>
          </cell>
          <cell r="B36">
            <v>48</v>
          </cell>
          <cell r="C36">
            <v>16</v>
          </cell>
          <cell r="D36">
            <v>4.1900000000000004</v>
          </cell>
          <cell r="E36" t="str">
            <v/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1.65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/>
          </cell>
          <cell r="U36" t="str">
            <v/>
          </cell>
        </row>
        <row r="37">
          <cell r="A37">
            <v>32</v>
          </cell>
          <cell r="B37">
            <v>52</v>
          </cell>
          <cell r="C37">
            <v>18</v>
          </cell>
          <cell r="D37">
            <v>4.1900000000000004</v>
          </cell>
          <cell r="E37" t="str">
            <v/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1.8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/>
          </cell>
          <cell r="U37" t="str">
            <v/>
          </cell>
        </row>
        <row r="38">
          <cell r="A38">
            <v>33</v>
          </cell>
          <cell r="B38">
            <v>56</v>
          </cell>
          <cell r="C38">
            <v>20</v>
          </cell>
          <cell r="D38">
            <v>4.78</v>
          </cell>
          <cell r="E38" t="str">
            <v/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2.54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/>
          </cell>
          <cell r="U38" t="str">
            <v/>
          </cell>
        </row>
        <row r="39">
          <cell r="A39">
            <v>34</v>
          </cell>
          <cell r="B39">
            <v>60</v>
          </cell>
          <cell r="C39">
            <v>22</v>
          </cell>
          <cell r="D39">
            <v>4.78</v>
          </cell>
          <cell r="E39" t="str">
            <v/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2.69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/>
          </cell>
          <cell r="U39" t="str">
            <v/>
          </cell>
        </row>
        <row r="40">
          <cell r="A40">
            <v>35</v>
          </cell>
          <cell r="B40">
            <v>64</v>
          </cell>
          <cell r="C40">
            <v>24</v>
          </cell>
          <cell r="D40">
            <v>5.54</v>
          </cell>
          <cell r="E40" t="str">
            <v/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3.9000000000000004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/>
          </cell>
          <cell r="U40" t="str">
            <v/>
          </cell>
        </row>
        <row r="41">
          <cell r="A41">
            <v>36</v>
          </cell>
          <cell r="B41">
            <v>68</v>
          </cell>
          <cell r="C41">
            <v>30</v>
          </cell>
          <cell r="D41">
            <v>6.35</v>
          </cell>
          <cell r="E41" t="str">
            <v/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6.15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/>
          </cell>
          <cell r="U41" t="str">
            <v/>
          </cell>
        </row>
        <row r="42">
          <cell r="A42">
            <v>37</v>
          </cell>
          <cell r="B42">
            <v>72</v>
          </cell>
          <cell r="C42">
            <v>14</v>
          </cell>
          <cell r="D42">
            <v>6.35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2.69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/>
          </cell>
          <cell r="U42" t="str">
            <v/>
          </cell>
        </row>
        <row r="43">
          <cell r="A43">
            <v>38</v>
          </cell>
          <cell r="B43">
            <v>76</v>
          </cell>
          <cell r="C43">
            <v>16</v>
          </cell>
          <cell r="D43">
            <v>6.35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/>
          </cell>
          <cell r="U43" t="str">
            <v/>
          </cell>
        </row>
        <row r="44">
          <cell r="A44">
            <v>39</v>
          </cell>
          <cell r="B44">
            <v>80</v>
          </cell>
          <cell r="C44">
            <v>18</v>
          </cell>
          <cell r="D44">
            <v>6.35</v>
          </cell>
          <cell r="E44" t="str">
            <v/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3.3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/>
          </cell>
          <cell r="U44" t="str">
            <v/>
          </cell>
        </row>
        <row r="45">
          <cell r="A45" t="str">
            <v>AVE.</v>
          </cell>
          <cell r="B45" t="str">
            <v/>
          </cell>
          <cell r="C45">
            <v>20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/>
          </cell>
          <cell r="U45" t="str">
            <v/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F46">
            <v>0</v>
          </cell>
          <cell r="G46">
            <v>0</v>
          </cell>
          <cell r="H46">
            <v>0</v>
          </cell>
          <cell r="I46">
            <v>2.23</v>
          </cell>
          <cell r="J46">
            <v>2.27</v>
          </cell>
          <cell r="K46">
            <v>4.5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8</v>
          </cell>
          <cell r="Q46">
            <v>0</v>
          </cell>
          <cell r="R46">
            <v>0</v>
          </cell>
          <cell r="S46">
            <v>0</v>
          </cell>
          <cell r="T46" t="str">
            <v/>
          </cell>
          <cell r="U46" t="str">
            <v/>
          </cell>
        </row>
        <row r="47">
          <cell r="A47" t="str">
            <v>*** Reference Paper : Predict Fittings For Piping Systems ***</v>
          </cell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 t="str">
            <v>Fc = 0.25  Utility Supply Lines, OSBL</v>
          </cell>
          <cell r="P47">
            <v>8</v>
          </cell>
          <cell r="R47" t="str">
            <v>Fc = 2.00  Manifold Type Piping</v>
          </cell>
        </row>
        <row r="48">
          <cell r="B48">
            <v>10</v>
          </cell>
          <cell r="C48">
            <v>26</v>
          </cell>
          <cell r="D48" t="str">
            <v xml:space="preserve">   By William B. Hooper , Monsanto Co.</v>
          </cell>
          <cell r="E48">
            <v>1</v>
          </cell>
          <cell r="I48">
            <v>2.64</v>
          </cell>
          <cell r="J48">
            <v>4.8600000000000003</v>
          </cell>
          <cell r="K48" t="str">
            <v xml:space="preserve">        (PIPE JOINT FACTOR Fp = 100%)</v>
          </cell>
          <cell r="P48">
            <v>9</v>
          </cell>
          <cell r="R48" t="str">
            <v xml:space="preserve">        (PIPE JOINT FACTOR Fp = 0%)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 t="str">
            <v>Fc = 0.50  Long, Straight Piping Run</v>
          </cell>
          <cell r="P49">
            <v>9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 t="str">
            <v xml:space="preserve">        (PIPE JOINT FACTOR Fp = 100%)</v>
          </cell>
          <cell r="P50">
            <v>10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 t="str">
            <v>Fc = 1.00  Normal Piping</v>
          </cell>
          <cell r="P51">
            <v>11</v>
          </cell>
        </row>
        <row r="52">
          <cell r="A52" t="str">
            <v>of the system's complexity are all that is needed.</v>
          </cell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 t="str">
            <v xml:space="preserve">        (PIPE JOINT FACTOR Fp = 10%)</v>
          </cell>
          <cell r="P52">
            <v>12</v>
          </cell>
        </row>
      </sheetData>
      <sheetData sheetId="3">
        <row r="8">
          <cell r="A8">
            <v>3</v>
          </cell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F8">
            <v>0</v>
          </cell>
          <cell r="G8">
            <v>0</v>
          </cell>
          <cell r="H8">
            <v>0</v>
          </cell>
          <cell r="I8">
            <v>7.0000000000000007E-2</v>
          </cell>
          <cell r="J8">
            <v>0</v>
          </cell>
          <cell r="K8">
            <v>7.0000000000000007E-2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2</v>
          </cell>
          <cell r="Q8">
            <v>0</v>
          </cell>
          <cell r="R8">
            <v>0</v>
          </cell>
        </row>
        <row r="9">
          <cell r="A9">
            <v>4</v>
          </cell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F9">
            <v>0</v>
          </cell>
          <cell r="G9">
            <v>0</v>
          </cell>
          <cell r="H9">
            <v>0</v>
          </cell>
          <cell r="I9">
            <v>7.0000000000000007E-2</v>
          </cell>
          <cell r="J9">
            <v>0</v>
          </cell>
          <cell r="K9">
            <v>7.0000000000000007E-2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2</v>
          </cell>
          <cell r="Q9">
            <v>0</v>
          </cell>
          <cell r="R9">
            <v>0</v>
          </cell>
        </row>
        <row r="10">
          <cell r="A10" t="str">
            <v>5S</v>
          </cell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F10">
            <v>7.0000000000000007E-2</v>
          </cell>
          <cell r="G10">
            <v>0</v>
          </cell>
          <cell r="H10">
            <v>7.0000000000000007E-2</v>
          </cell>
          <cell r="I10">
            <v>7.0000000000000007E-2</v>
          </cell>
          <cell r="J10">
            <v>0</v>
          </cell>
          <cell r="K10">
            <v>7.0000000000000007E-2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2</v>
          </cell>
          <cell r="Q10">
            <v>0</v>
          </cell>
          <cell r="R10">
            <v>0</v>
          </cell>
        </row>
        <row r="11">
          <cell r="A11">
            <v>6</v>
          </cell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7.0000000000000007E-2</v>
          </cell>
          <cell r="J11">
            <v>0</v>
          </cell>
          <cell r="K11">
            <v>7.0000000000000007E-2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2</v>
          </cell>
          <cell r="Q11">
            <v>0</v>
          </cell>
          <cell r="R11">
            <v>0</v>
          </cell>
        </row>
        <row r="12">
          <cell r="A12">
            <v>7</v>
          </cell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7.0000000000000007E-2</v>
          </cell>
          <cell r="J12">
            <v>0</v>
          </cell>
          <cell r="K12">
            <v>7.0000000000000007E-2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2</v>
          </cell>
          <cell r="Q12">
            <v>0</v>
          </cell>
          <cell r="R12">
            <v>0</v>
          </cell>
        </row>
        <row r="13">
          <cell r="A13">
            <v>8</v>
          </cell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7.0000000000000007E-2</v>
          </cell>
          <cell r="J13">
            <v>0</v>
          </cell>
          <cell r="K13">
            <v>7.0000000000000007E-2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2</v>
          </cell>
          <cell r="Q13">
            <v>0</v>
          </cell>
          <cell r="R13">
            <v>0</v>
          </cell>
        </row>
        <row r="14">
          <cell r="A14">
            <v>9</v>
          </cell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0.12</v>
          </cell>
          <cell r="J14">
            <v>0</v>
          </cell>
          <cell r="K14">
            <v>0.12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</v>
          </cell>
          <cell r="Q14">
            <v>0</v>
          </cell>
          <cell r="R14">
            <v>0</v>
          </cell>
        </row>
        <row r="15">
          <cell r="A15">
            <v>10</v>
          </cell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0.12</v>
          </cell>
          <cell r="J15">
            <v>0</v>
          </cell>
          <cell r="K15">
            <v>0.12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2</v>
          </cell>
          <cell r="Q15">
            <v>0</v>
          </cell>
          <cell r="R15">
            <v>0</v>
          </cell>
        </row>
        <row r="16">
          <cell r="A16">
            <v>11</v>
          </cell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0.12</v>
          </cell>
          <cell r="J16">
            <v>0</v>
          </cell>
          <cell r="K16">
            <v>0.12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2</v>
          </cell>
          <cell r="Q16">
            <v>0</v>
          </cell>
          <cell r="R16">
            <v>0</v>
          </cell>
        </row>
        <row r="17">
          <cell r="A17">
            <v>12</v>
          </cell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0.15</v>
          </cell>
          <cell r="J17">
            <v>0</v>
          </cell>
          <cell r="K17">
            <v>0.15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2</v>
          </cell>
          <cell r="Q17">
            <v>0</v>
          </cell>
          <cell r="R17">
            <v>0</v>
          </cell>
        </row>
        <row r="18">
          <cell r="A18">
            <v>13</v>
          </cell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0.15</v>
          </cell>
          <cell r="J18">
            <v>0</v>
          </cell>
          <cell r="K18">
            <v>0.15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  <cell r="Q18">
            <v>0</v>
          </cell>
          <cell r="R18">
            <v>0</v>
          </cell>
        </row>
        <row r="19">
          <cell r="A19">
            <v>14</v>
          </cell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F19">
            <v>0</v>
          </cell>
          <cell r="G19">
            <v>0</v>
          </cell>
          <cell r="H19">
            <v>0</v>
          </cell>
          <cell r="I19">
            <v>0.15</v>
          </cell>
          <cell r="J19">
            <v>0</v>
          </cell>
          <cell r="K19">
            <v>0.15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2</v>
          </cell>
          <cell r="Q19">
            <v>0</v>
          </cell>
          <cell r="R19">
            <v>0</v>
          </cell>
        </row>
        <row r="20">
          <cell r="A20">
            <v>15</v>
          </cell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F20">
            <v>0</v>
          </cell>
          <cell r="G20">
            <v>0</v>
          </cell>
          <cell r="H20">
            <v>0</v>
          </cell>
          <cell r="I20">
            <v>0.15</v>
          </cell>
          <cell r="J20">
            <v>0</v>
          </cell>
          <cell r="K20">
            <v>0.15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  <cell r="Q20">
            <v>0</v>
          </cell>
          <cell r="R20">
            <v>0</v>
          </cell>
        </row>
        <row r="21">
          <cell r="A21">
            <v>16</v>
          </cell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F21">
            <v>0</v>
          </cell>
          <cell r="G21">
            <v>0</v>
          </cell>
          <cell r="H21">
            <v>0</v>
          </cell>
          <cell r="I21">
            <v>0.15</v>
          </cell>
          <cell r="J21">
            <v>0</v>
          </cell>
          <cell r="K21">
            <v>0.15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2</v>
          </cell>
          <cell r="Q21">
            <v>0</v>
          </cell>
          <cell r="R21">
            <v>0</v>
          </cell>
        </row>
        <row r="22">
          <cell r="A22">
            <v>17</v>
          </cell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F22">
            <v>0</v>
          </cell>
          <cell r="G22">
            <v>0</v>
          </cell>
          <cell r="H22">
            <v>0</v>
          </cell>
          <cell r="I22">
            <v>0.15</v>
          </cell>
          <cell r="J22">
            <v>0</v>
          </cell>
          <cell r="K22">
            <v>0.15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2</v>
          </cell>
          <cell r="Q22">
            <v>0</v>
          </cell>
          <cell r="R22">
            <v>0</v>
          </cell>
        </row>
        <row r="23">
          <cell r="A23">
            <v>18</v>
          </cell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F23">
            <v>0</v>
          </cell>
          <cell r="G23">
            <v>0</v>
          </cell>
          <cell r="H23">
            <v>0</v>
          </cell>
          <cell r="I23">
            <v>0.15</v>
          </cell>
          <cell r="J23">
            <v>0</v>
          </cell>
          <cell r="K23">
            <v>0.15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2</v>
          </cell>
          <cell r="Q23">
            <v>0</v>
          </cell>
          <cell r="R23">
            <v>0</v>
          </cell>
        </row>
        <row r="24">
          <cell r="A24">
            <v>19</v>
          </cell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F24">
            <v>0</v>
          </cell>
          <cell r="G24">
            <v>0</v>
          </cell>
          <cell r="H24">
            <v>0</v>
          </cell>
          <cell r="I24">
            <v>0.15</v>
          </cell>
          <cell r="J24">
            <v>0</v>
          </cell>
          <cell r="K24">
            <v>0.15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2</v>
          </cell>
          <cell r="Q24">
            <v>0</v>
          </cell>
          <cell r="R24">
            <v>0</v>
          </cell>
        </row>
        <row r="25">
          <cell r="A25">
            <v>20</v>
          </cell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F25">
            <v>0</v>
          </cell>
          <cell r="G25">
            <v>0</v>
          </cell>
          <cell r="H25">
            <v>0</v>
          </cell>
          <cell r="I25">
            <v>0.15</v>
          </cell>
          <cell r="J25">
            <v>0</v>
          </cell>
          <cell r="K25">
            <v>0.15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2</v>
          </cell>
          <cell r="Q25">
            <v>0</v>
          </cell>
          <cell r="R25">
            <v>0</v>
          </cell>
        </row>
        <row r="26">
          <cell r="A26">
            <v>21</v>
          </cell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F26">
            <v>0</v>
          </cell>
          <cell r="G26">
            <v>0</v>
          </cell>
          <cell r="H26">
            <v>0</v>
          </cell>
          <cell r="I26">
            <v>0.15</v>
          </cell>
          <cell r="J26">
            <v>0</v>
          </cell>
          <cell r="K26">
            <v>0.15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</v>
          </cell>
          <cell r="Q26">
            <v>0</v>
          </cell>
          <cell r="R26">
            <v>0</v>
          </cell>
        </row>
        <row r="27">
          <cell r="A27">
            <v>22</v>
          </cell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  <cell r="I27">
            <v>0.3</v>
          </cell>
          <cell r="J27">
            <v>0</v>
          </cell>
          <cell r="K27">
            <v>0.3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2</v>
          </cell>
          <cell r="Q27">
            <v>0</v>
          </cell>
          <cell r="R27">
            <v>0</v>
          </cell>
        </row>
        <row r="28">
          <cell r="A28">
            <v>23</v>
          </cell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F28">
            <v>0</v>
          </cell>
          <cell r="G28">
            <v>0</v>
          </cell>
          <cell r="H28">
            <v>0</v>
          </cell>
          <cell r="I28">
            <v>0.3</v>
          </cell>
          <cell r="J28">
            <v>0</v>
          </cell>
          <cell r="K28">
            <v>0.3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3</v>
          </cell>
          <cell r="Q28">
            <v>0</v>
          </cell>
          <cell r="R28">
            <v>0</v>
          </cell>
        </row>
        <row r="29">
          <cell r="A29">
            <v>24</v>
          </cell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F29">
            <v>0</v>
          </cell>
          <cell r="G29">
            <v>0</v>
          </cell>
          <cell r="H29">
            <v>0</v>
          </cell>
          <cell r="I29">
            <v>0.3</v>
          </cell>
          <cell r="J29">
            <v>0</v>
          </cell>
          <cell r="K29">
            <v>0.3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3</v>
          </cell>
          <cell r="Q29">
            <v>0</v>
          </cell>
          <cell r="R29">
            <v>0</v>
          </cell>
        </row>
        <row r="30">
          <cell r="A30">
            <v>25</v>
          </cell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F30">
            <v>0</v>
          </cell>
          <cell r="G30">
            <v>0</v>
          </cell>
          <cell r="H30">
            <v>0</v>
          </cell>
          <cell r="I30">
            <v>0.3</v>
          </cell>
          <cell r="J30">
            <v>0</v>
          </cell>
          <cell r="K30">
            <v>0.3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4</v>
          </cell>
          <cell r="Q30">
            <v>0</v>
          </cell>
          <cell r="R30">
            <v>0</v>
          </cell>
        </row>
        <row r="31">
          <cell r="A31" t="str">
            <v>5S</v>
          </cell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F31">
            <v>0.45</v>
          </cell>
          <cell r="G31">
            <v>0</v>
          </cell>
          <cell r="H31">
            <v>0.45</v>
          </cell>
          <cell r="I31">
            <v>0.45</v>
          </cell>
          <cell r="J31">
            <v>0</v>
          </cell>
          <cell r="K31">
            <v>0.45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4</v>
          </cell>
          <cell r="Q31">
            <v>0</v>
          </cell>
          <cell r="R31">
            <v>0</v>
          </cell>
        </row>
        <row r="32">
          <cell r="A32">
            <v>27</v>
          </cell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F32">
            <v>0</v>
          </cell>
          <cell r="G32">
            <v>0</v>
          </cell>
          <cell r="H32">
            <v>0</v>
          </cell>
          <cell r="I32">
            <v>0.45</v>
          </cell>
          <cell r="J32">
            <v>0</v>
          </cell>
          <cell r="K32">
            <v>0.45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4</v>
          </cell>
          <cell r="Q32">
            <v>0</v>
          </cell>
          <cell r="R32">
            <v>0</v>
          </cell>
        </row>
        <row r="33">
          <cell r="A33">
            <v>28</v>
          </cell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F33">
            <v>0</v>
          </cell>
          <cell r="G33">
            <v>0</v>
          </cell>
          <cell r="H33">
            <v>0</v>
          </cell>
          <cell r="I33">
            <v>0.9</v>
          </cell>
          <cell r="J33">
            <v>0</v>
          </cell>
          <cell r="K33">
            <v>0.9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4</v>
          </cell>
          <cell r="Q33">
            <v>0</v>
          </cell>
          <cell r="R33">
            <v>0</v>
          </cell>
        </row>
        <row r="34">
          <cell r="A34">
            <v>29</v>
          </cell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F34">
            <v>0</v>
          </cell>
          <cell r="G34">
            <v>0</v>
          </cell>
          <cell r="H34">
            <v>0</v>
          </cell>
          <cell r="I34">
            <v>1.2</v>
          </cell>
          <cell r="J34">
            <v>0</v>
          </cell>
          <cell r="K34">
            <v>1.2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6</v>
          </cell>
          <cell r="Q34">
            <v>0</v>
          </cell>
          <cell r="R34">
            <v>0</v>
          </cell>
        </row>
        <row r="35">
          <cell r="A35">
            <v>30</v>
          </cell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F35">
            <v>0</v>
          </cell>
          <cell r="G35">
            <v>0</v>
          </cell>
          <cell r="H35">
            <v>0</v>
          </cell>
          <cell r="I35">
            <v>1.34</v>
          </cell>
          <cell r="J35">
            <v>0</v>
          </cell>
          <cell r="K35">
            <v>1.34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6</v>
          </cell>
          <cell r="Q35">
            <v>0</v>
          </cell>
          <cell r="R35">
            <v>0</v>
          </cell>
        </row>
        <row r="36">
          <cell r="A36">
            <v>31</v>
          </cell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F36">
            <v>0</v>
          </cell>
          <cell r="G36">
            <v>0</v>
          </cell>
          <cell r="H36">
            <v>0</v>
          </cell>
          <cell r="I36">
            <v>1.65</v>
          </cell>
          <cell r="J36">
            <v>0</v>
          </cell>
          <cell r="K36">
            <v>1.65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6</v>
          </cell>
          <cell r="Q36">
            <v>0</v>
          </cell>
          <cell r="R36">
            <v>0</v>
          </cell>
        </row>
        <row r="37">
          <cell r="A37">
            <v>32</v>
          </cell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F37">
            <v>0</v>
          </cell>
          <cell r="G37">
            <v>0</v>
          </cell>
          <cell r="H37">
            <v>0</v>
          </cell>
          <cell r="I37">
            <v>1.8</v>
          </cell>
          <cell r="J37">
            <v>0</v>
          </cell>
          <cell r="K37">
            <v>1.8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6</v>
          </cell>
          <cell r="Q37">
            <v>0</v>
          </cell>
          <cell r="R37">
            <v>0</v>
          </cell>
        </row>
        <row r="38">
          <cell r="A38">
            <v>33</v>
          </cell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F38">
            <v>0</v>
          </cell>
          <cell r="G38">
            <v>0</v>
          </cell>
          <cell r="H38">
            <v>0</v>
          </cell>
          <cell r="I38">
            <v>2.54</v>
          </cell>
          <cell r="J38">
            <v>0</v>
          </cell>
          <cell r="K38">
            <v>2.54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7</v>
          </cell>
          <cell r="Q38">
            <v>0</v>
          </cell>
          <cell r="R38">
            <v>0</v>
          </cell>
        </row>
        <row r="39">
          <cell r="A39">
            <v>34</v>
          </cell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F39">
            <v>0</v>
          </cell>
          <cell r="G39">
            <v>0</v>
          </cell>
          <cell r="H39">
            <v>0</v>
          </cell>
          <cell r="I39">
            <v>2.69</v>
          </cell>
          <cell r="J39">
            <v>0</v>
          </cell>
          <cell r="K39">
            <v>2.69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8</v>
          </cell>
          <cell r="Q39">
            <v>0</v>
          </cell>
          <cell r="R39">
            <v>0</v>
          </cell>
        </row>
        <row r="40">
          <cell r="A40">
            <v>35</v>
          </cell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F40">
            <v>0</v>
          </cell>
          <cell r="G40">
            <v>0</v>
          </cell>
          <cell r="H40">
            <v>0</v>
          </cell>
          <cell r="I40">
            <v>2.4300000000000002</v>
          </cell>
          <cell r="J40">
            <v>1.47</v>
          </cell>
          <cell r="K40">
            <v>3.9000000000000004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8</v>
          </cell>
          <cell r="Q40">
            <v>0</v>
          </cell>
          <cell r="R40">
            <v>0</v>
          </cell>
        </row>
        <row r="41">
          <cell r="A41">
            <v>36</v>
          </cell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F41">
            <v>0</v>
          </cell>
          <cell r="G41">
            <v>0</v>
          </cell>
          <cell r="H41">
            <v>0</v>
          </cell>
          <cell r="I41">
            <v>3.04</v>
          </cell>
          <cell r="J41">
            <v>3.11</v>
          </cell>
          <cell r="K41">
            <v>6.15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10</v>
          </cell>
          <cell r="Q41">
            <v>0</v>
          </cell>
          <cell r="R41">
            <v>0</v>
          </cell>
        </row>
        <row r="42">
          <cell r="A42">
            <v>37</v>
          </cell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F42">
            <v>0</v>
          </cell>
          <cell r="G42">
            <v>0</v>
          </cell>
          <cell r="H42">
            <v>0</v>
          </cell>
          <cell r="I42">
            <v>1.42</v>
          </cell>
          <cell r="J42">
            <v>1.27</v>
          </cell>
          <cell r="K42">
            <v>2.69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6</v>
          </cell>
          <cell r="Q42">
            <v>0</v>
          </cell>
          <cell r="R42">
            <v>0</v>
          </cell>
        </row>
        <row r="43">
          <cell r="A43">
            <v>38</v>
          </cell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F43">
            <v>0</v>
          </cell>
          <cell r="G43">
            <v>0</v>
          </cell>
          <cell r="H43">
            <v>0</v>
          </cell>
          <cell r="I43">
            <v>1.62</v>
          </cell>
          <cell r="J43">
            <v>1.38</v>
          </cell>
          <cell r="K43">
            <v>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6</v>
          </cell>
          <cell r="Q43">
            <v>0</v>
          </cell>
          <cell r="R43">
            <v>0</v>
          </cell>
        </row>
        <row r="44">
          <cell r="A44">
            <v>39</v>
          </cell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F44">
            <v>0</v>
          </cell>
          <cell r="G44">
            <v>0</v>
          </cell>
          <cell r="H44">
            <v>0</v>
          </cell>
          <cell r="I44">
            <v>1.82</v>
          </cell>
          <cell r="J44">
            <v>1.48</v>
          </cell>
          <cell r="K44">
            <v>3.3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6</v>
          </cell>
          <cell r="Q44">
            <v>0</v>
          </cell>
          <cell r="R44">
            <v>0</v>
          </cell>
        </row>
        <row r="45">
          <cell r="A45" t="str">
            <v>AVE.</v>
          </cell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F45">
            <v>0</v>
          </cell>
          <cell r="G45">
            <v>0</v>
          </cell>
          <cell r="H45">
            <v>0</v>
          </cell>
          <cell r="I45">
            <v>2.0299999999999998</v>
          </cell>
          <cell r="J45">
            <v>1.72</v>
          </cell>
          <cell r="K45">
            <v>3.75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7</v>
          </cell>
          <cell r="Q45">
            <v>0</v>
          </cell>
          <cell r="R45">
            <v>0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F46">
            <v>2.23</v>
          </cell>
          <cell r="G46">
            <v>2.27</v>
          </cell>
          <cell r="H46">
            <v>4.5</v>
          </cell>
          <cell r="I46">
            <v>2.23</v>
          </cell>
          <cell r="J46">
            <v>2.27</v>
          </cell>
          <cell r="K46">
            <v>4.5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8</v>
          </cell>
        </row>
        <row r="47">
          <cell r="A47" t="str">
            <v>*** Reference Paper : Predict Fittings For Piping Systems ***</v>
          </cell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F47">
            <v>0</v>
          </cell>
          <cell r="G47">
            <v>0</v>
          </cell>
          <cell r="H47">
            <v>0</v>
          </cell>
          <cell r="I47">
            <v>2.4300000000000002</v>
          </cell>
          <cell r="J47">
            <v>2.0699999999999998</v>
          </cell>
          <cell r="K47">
            <v>4.5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8</v>
          </cell>
          <cell r="R47" t="str">
            <v>Fc = 2.00  Manifold Type Piping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F48">
            <v>2.64</v>
          </cell>
          <cell r="G48">
            <v>4.8600000000000003</v>
          </cell>
          <cell r="H48">
            <v>7.5</v>
          </cell>
          <cell r="I48">
            <v>2.64</v>
          </cell>
          <cell r="J48">
            <v>4.8600000000000003</v>
          </cell>
          <cell r="K48">
            <v>7.5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9</v>
          </cell>
          <cell r="R48" t="str">
            <v xml:space="preserve">        (PIPE JOINT FACTOR Fp = 0%)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F49">
            <v>2.84</v>
          </cell>
          <cell r="G49">
            <v>5.26</v>
          </cell>
          <cell r="H49">
            <v>8.1</v>
          </cell>
          <cell r="I49">
            <v>2.84</v>
          </cell>
          <cell r="J49">
            <v>5.26</v>
          </cell>
          <cell r="K49">
            <v>8.1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9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F50">
            <v>0</v>
          </cell>
          <cell r="G50">
            <v>0</v>
          </cell>
          <cell r="H50">
            <v>0</v>
          </cell>
          <cell r="I50">
            <v>3.04</v>
          </cell>
          <cell r="J50">
            <v>5.66</v>
          </cell>
          <cell r="K50">
            <v>8.6999999999999993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10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F51">
            <v>0</v>
          </cell>
          <cell r="G51">
            <v>0</v>
          </cell>
          <cell r="H51">
            <v>0</v>
          </cell>
          <cell r="I51">
            <v>3.24</v>
          </cell>
          <cell r="J51">
            <v>6.06</v>
          </cell>
          <cell r="K51">
            <v>9.3000000000000007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11</v>
          </cell>
        </row>
        <row r="52">
          <cell r="A52" t="str">
            <v>of the system's complexity are all that is needed.</v>
          </cell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F52">
            <v>0</v>
          </cell>
          <cell r="G52">
            <v>0</v>
          </cell>
          <cell r="H52">
            <v>0</v>
          </cell>
          <cell r="I52">
            <v>3.45</v>
          </cell>
          <cell r="J52">
            <v>6.44</v>
          </cell>
          <cell r="K52">
            <v>9.89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12</v>
          </cell>
          <cell r="Q52">
            <v>0</v>
          </cell>
          <cell r="R52" t="str">
            <v/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F53">
            <v>3.65</v>
          </cell>
          <cell r="G53">
            <v>6.84</v>
          </cell>
          <cell r="H53">
            <v>10.49</v>
          </cell>
          <cell r="I53">
            <v>3.65</v>
          </cell>
          <cell r="J53">
            <v>6.84</v>
          </cell>
          <cell r="K53">
            <v>10.49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F54">
            <v>7.0000000000000007E-2</v>
          </cell>
          <cell r="G54">
            <v>7.0000000000000007E-2</v>
          </cell>
          <cell r="H54">
            <v>2</v>
          </cell>
          <cell r="I54">
            <v>7.0000000000000007E-2</v>
          </cell>
          <cell r="J54">
            <v>0</v>
          </cell>
          <cell r="K54">
            <v>7.0000000000000007E-2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F55">
            <v>7.0000000000000007E-2</v>
          </cell>
          <cell r="G55">
            <v>7.0000000000000007E-2</v>
          </cell>
          <cell r="H55">
            <v>2</v>
          </cell>
          <cell r="I55">
            <v>7.0000000000000007E-2</v>
          </cell>
          <cell r="J55">
            <v>0</v>
          </cell>
          <cell r="K55">
            <v>7.0000000000000007E-2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2</v>
          </cell>
          <cell r="Q55" t="str">
            <v xml:space="preserve">S_x0001_N_x0002_1a_x0000__x0017_T«n nÒn b»ng c¸t ®Çm kü_x0002_m3_x0000_%X©y mãng ®¸ 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F56">
            <v>7.0000000000000007E-2</v>
          </cell>
          <cell r="G56">
            <v>7.0000000000000007E-2</v>
          </cell>
          <cell r="H56">
            <v>2</v>
          </cell>
          <cell r="I56">
            <v>7.0000000000000007E-2</v>
          </cell>
          <cell r="J56">
            <v>0</v>
          </cell>
          <cell r="K56">
            <v>7.0000000000000007E-2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F57">
            <v>7.0000000000000007E-2</v>
          </cell>
          <cell r="G57">
            <v>7.0000000000000007E-2</v>
          </cell>
          <cell r="H57">
            <v>2</v>
          </cell>
          <cell r="I57">
            <v>7.0000000000000007E-2</v>
          </cell>
          <cell r="J57">
            <v>0</v>
          </cell>
          <cell r="K57">
            <v>7.0000000000000007E-2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F58">
            <v>7.0000000000000007E-2</v>
          </cell>
          <cell r="G58">
            <v>7.0000000000000007E-2</v>
          </cell>
          <cell r="H58">
            <v>2</v>
          </cell>
          <cell r="I58">
            <v>7.0000000000000007E-2</v>
          </cell>
          <cell r="J58">
            <v>0</v>
          </cell>
          <cell r="K58">
            <v>7.0000000000000007E-2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F59">
            <v>7.0000000000000007E-2</v>
          </cell>
          <cell r="G59">
            <v>7.0000000000000007E-2</v>
          </cell>
          <cell r="H59">
            <v>2</v>
          </cell>
          <cell r="I59">
            <v>7.0000000000000007E-2</v>
          </cell>
          <cell r="J59">
            <v>0</v>
          </cell>
          <cell r="K59">
            <v>7.0000000000000007E-2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F60">
            <v>7.0000000000000007E-2</v>
          </cell>
          <cell r="G60">
            <v>0</v>
          </cell>
          <cell r="H60">
            <v>7.0000000000000007E-2</v>
          </cell>
          <cell r="I60">
            <v>7.0000000000000007E-2</v>
          </cell>
          <cell r="J60">
            <v>0</v>
          </cell>
          <cell r="K60">
            <v>7.0000000000000007E-2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F61">
            <v>7.0000000000000007E-2</v>
          </cell>
          <cell r="G61">
            <v>0</v>
          </cell>
          <cell r="H61">
            <v>7.0000000000000007E-2</v>
          </cell>
          <cell r="I61">
            <v>7.0000000000000007E-2</v>
          </cell>
          <cell r="J61">
            <v>0</v>
          </cell>
          <cell r="K61">
            <v>7.0000000000000007E-2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F62">
            <v>7.0000000000000007E-2</v>
          </cell>
          <cell r="G62">
            <v>0</v>
          </cell>
          <cell r="H62">
            <v>7.0000000000000007E-2</v>
          </cell>
          <cell r="I62">
            <v>7.0000000000000007E-2</v>
          </cell>
          <cell r="J62">
            <v>0</v>
          </cell>
          <cell r="K62">
            <v>7.0000000000000007E-2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F63">
            <v>7.0000000000000007E-2</v>
          </cell>
          <cell r="G63">
            <v>0</v>
          </cell>
          <cell r="H63">
            <v>7.0000000000000007E-2</v>
          </cell>
          <cell r="I63">
            <v>7.0000000000000007E-2</v>
          </cell>
          <cell r="J63">
            <v>0</v>
          </cell>
          <cell r="K63">
            <v>7.0000000000000007E-2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F64">
            <v>7.0000000000000007E-2</v>
          </cell>
          <cell r="G64">
            <v>0</v>
          </cell>
          <cell r="H64">
            <v>7.0000000000000007E-2</v>
          </cell>
          <cell r="I64">
            <v>7.0000000000000007E-2</v>
          </cell>
          <cell r="J64">
            <v>0</v>
          </cell>
          <cell r="K64">
            <v>7.0000000000000007E-2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F65">
            <v>7.0000000000000007E-2</v>
          </cell>
          <cell r="G65">
            <v>0</v>
          </cell>
          <cell r="H65">
            <v>7.0000000000000007E-2</v>
          </cell>
          <cell r="I65">
            <v>7.0000000000000007E-2</v>
          </cell>
          <cell r="J65">
            <v>0</v>
          </cell>
          <cell r="K65">
            <v>7.0000000000000007E-2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F66">
            <v>7.0000000000000007E-2</v>
          </cell>
          <cell r="G66">
            <v>0</v>
          </cell>
          <cell r="H66">
            <v>7.0000000000000007E-2</v>
          </cell>
          <cell r="I66">
            <v>7.0000000000000007E-2</v>
          </cell>
          <cell r="J66">
            <v>0</v>
          </cell>
          <cell r="K66">
            <v>7.0000000000000007E-2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F67">
            <v>7.0000000000000007E-2</v>
          </cell>
          <cell r="G67">
            <v>0</v>
          </cell>
          <cell r="H67">
            <v>7.0000000000000007E-2</v>
          </cell>
          <cell r="I67">
            <v>7.0000000000000007E-2</v>
          </cell>
          <cell r="J67">
            <v>0</v>
          </cell>
          <cell r="K67">
            <v>7.0000000000000007E-2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F68">
            <v>7.0000000000000007E-2</v>
          </cell>
          <cell r="G68">
            <v>0</v>
          </cell>
          <cell r="H68">
            <v>7.0000000000000007E-2</v>
          </cell>
          <cell r="I68">
            <v>7.0000000000000007E-2</v>
          </cell>
          <cell r="J68">
            <v>0</v>
          </cell>
          <cell r="K68">
            <v>7.0000000000000007E-2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F69">
            <v>0.12</v>
          </cell>
          <cell r="G69">
            <v>0</v>
          </cell>
          <cell r="H69">
            <v>0.12</v>
          </cell>
          <cell r="I69">
            <v>0.12</v>
          </cell>
          <cell r="J69">
            <v>0</v>
          </cell>
          <cell r="K69">
            <v>0.12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F70">
            <v>0.12</v>
          </cell>
          <cell r="G70">
            <v>0</v>
          </cell>
          <cell r="H70">
            <v>0.12</v>
          </cell>
          <cell r="I70">
            <v>0.12</v>
          </cell>
          <cell r="J70">
            <v>0</v>
          </cell>
          <cell r="K70">
            <v>0.12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F71">
            <v>0.12</v>
          </cell>
          <cell r="G71">
            <v>0</v>
          </cell>
          <cell r="H71">
            <v>0.12</v>
          </cell>
          <cell r="I71">
            <v>0.12</v>
          </cell>
          <cell r="J71">
            <v>0</v>
          </cell>
          <cell r="K71">
            <v>0.12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F72">
            <v>0.15</v>
          </cell>
          <cell r="G72">
            <v>0.15</v>
          </cell>
          <cell r="H72">
            <v>2</v>
          </cell>
          <cell r="I72">
            <v>0.15</v>
          </cell>
          <cell r="J72">
            <v>0</v>
          </cell>
          <cell r="K72">
            <v>0.15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F73">
            <v>0.15</v>
          </cell>
          <cell r="G73">
            <v>0.15</v>
          </cell>
          <cell r="H73">
            <v>2</v>
          </cell>
          <cell r="I73">
            <v>0.15</v>
          </cell>
          <cell r="J73">
            <v>0</v>
          </cell>
          <cell r="K73">
            <v>0.15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2</v>
          </cell>
          <cell r="Q73">
            <v>0</v>
          </cell>
          <cell r="R73">
            <v>0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F74">
            <v>0.15</v>
          </cell>
          <cell r="G74">
            <v>0.15</v>
          </cell>
          <cell r="H74">
            <v>2</v>
          </cell>
          <cell r="I74">
            <v>0.15</v>
          </cell>
          <cell r="J74">
            <v>0</v>
          </cell>
          <cell r="K74">
            <v>0.15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F75">
            <v>0.15</v>
          </cell>
          <cell r="G75">
            <v>0</v>
          </cell>
          <cell r="H75">
            <v>0.15</v>
          </cell>
          <cell r="I75">
            <v>0.15</v>
          </cell>
          <cell r="J75">
            <v>0</v>
          </cell>
          <cell r="K75">
            <v>0.15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F76">
            <v>0.15</v>
          </cell>
          <cell r="G76">
            <v>0</v>
          </cell>
          <cell r="H76">
            <v>0.15</v>
          </cell>
          <cell r="I76">
            <v>0.15</v>
          </cell>
          <cell r="J76">
            <v>0</v>
          </cell>
          <cell r="K76">
            <v>0.15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F77">
            <v>0.15</v>
          </cell>
          <cell r="G77">
            <v>0</v>
          </cell>
          <cell r="H77">
            <v>0.15</v>
          </cell>
          <cell r="I77">
            <v>0.15</v>
          </cell>
          <cell r="J77">
            <v>0</v>
          </cell>
          <cell r="K77">
            <v>0.15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F78">
            <v>0.15</v>
          </cell>
          <cell r="G78">
            <v>0</v>
          </cell>
          <cell r="H78">
            <v>0.15</v>
          </cell>
          <cell r="I78">
            <v>0.15</v>
          </cell>
          <cell r="J78">
            <v>0</v>
          </cell>
          <cell r="K78">
            <v>0.15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F79">
            <v>0.15</v>
          </cell>
          <cell r="G79">
            <v>0</v>
          </cell>
          <cell r="H79">
            <v>0.15</v>
          </cell>
          <cell r="I79">
            <v>0.15</v>
          </cell>
          <cell r="J79">
            <v>0</v>
          </cell>
          <cell r="K79">
            <v>0.15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F80">
            <v>0.15</v>
          </cell>
          <cell r="G80">
            <v>0</v>
          </cell>
          <cell r="H80">
            <v>0.15</v>
          </cell>
          <cell r="I80">
            <v>0.15</v>
          </cell>
          <cell r="J80">
            <v>0</v>
          </cell>
          <cell r="K80">
            <v>0.15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F81">
            <v>0.15</v>
          </cell>
          <cell r="G81">
            <v>0</v>
          </cell>
          <cell r="H81">
            <v>0.15</v>
          </cell>
          <cell r="I81">
            <v>0.15</v>
          </cell>
          <cell r="J81">
            <v>0</v>
          </cell>
          <cell r="K81">
            <v>0.15</v>
          </cell>
          <cell r="L81">
            <v>0</v>
          </cell>
          <cell r="M81">
            <v>0</v>
          </cell>
          <cell r="N81">
            <v>0</v>
          </cell>
          <cell r="O81">
            <v>2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F82">
            <v>0.3</v>
          </cell>
          <cell r="G82">
            <v>0</v>
          </cell>
          <cell r="H82">
            <v>0.3</v>
          </cell>
          <cell r="I82">
            <v>0.3</v>
          </cell>
          <cell r="J82">
            <v>0</v>
          </cell>
          <cell r="K82">
            <v>0.3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F83">
            <v>0.3</v>
          </cell>
          <cell r="G83">
            <v>0.3</v>
          </cell>
          <cell r="H83">
            <v>3</v>
          </cell>
          <cell r="I83">
            <v>0.3</v>
          </cell>
          <cell r="J83">
            <v>0</v>
          </cell>
          <cell r="K83">
            <v>0.3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F84">
            <v>0.45</v>
          </cell>
          <cell r="G84">
            <v>0</v>
          </cell>
          <cell r="H84">
            <v>0.45</v>
          </cell>
          <cell r="I84">
            <v>0.45</v>
          </cell>
          <cell r="J84">
            <v>0</v>
          </cell>
          <cell r="K84">
            <v>0.45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F85">
            <v>0.45</v>
          </cell>
          <cell r="G85">
            <v>0.45</v>
          </cell>
          <cell r="H85">
            <v>4</v>
          </cell>
          <cell r="I85">
            <v>0.45</v>
          </cell>
          <cell r="J85">
            <v>0</v>
          </cell>
          <cell r="K85">
            <v>0.45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F86">
            <v>0.6</v>
          </cell>
          <cell r="G86">
            <v>0</v>
          </cell>
          <cell r="H86">
            <v>0.6</v>
          </cell>
          <cell r="I86">
            <v>0.6</v>
          </cell>
          <cell r="J86">
            <v>0</v>
          </cell>
          <cell r="K86">
            <v>0.6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F87">
            <v>0.6</v>
          </cell>
          <cell r="G87">
            <v>0</v>
          </cell>
          <cell r="H87">
            <v>0.6</v>
          </cell>
          <cell r="I87">
            <v>0.6</v>
          </cell>
          <cell r="J87">
            <v>0</v>
          </cell>
          <cell r="K87">
            <v>0.6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F88">
            <v>1.2</v>
          </cell>
          <cell r="G88">
            <v>0</v>
          </cell>
          <cell r="H88">
            <v>1.2</v>
          </cell>
          <cell r="I88">
            <v>1.2</v>
          </cell>
          <cell r="J88">
            <v>0</v>
          </cell>
          <cell r="K88">
            <v>1.2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F89">
            <v>1.5</v>
          </cell>
          <cell r="G89">
            <v>0</v>
          </cell>
          <cell r="H89">
            <v>1.5</v>
          </cell>
          <cell r="I89">
            <v>1.5</v>
          </cell>
          <cell r="J89">
            <v>0</v>
          </cell>
          <cell r="K89">
            <v>1.5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F90">
            <v>0</v>
          </cell>
          <cell r="G90">
            <v>0</v>
          </cell>
          <cell r="H90">
            <v>2.2251287283221441E-307</v>
          </cell>
          <cell r="I90">
            <v>1.65</v>
          </cell>
          <cell r="J90">
            <v>0</v>
          </cell>
          <cell r="K90">
            <v>1.65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F91">
            <v>1.95</v>
          </cell>
          <cell r="G91">
            <v>0</v>
          </cell>
          <cell r="H91">
            <v>1.95</v>
          </cell>
          <cell r="I91">
            <v>1.95</v>
          </cell>
          <cell r="J91">
            <v>0</v>
          </cell>
          <cell r="K91">
            <v>1.95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F92">
            <v>2.25</v>
          </cell>
          <cell r="G92">
            <v>0</v>
          </cell>
          <cell r="H92">
            <v>2.25</v>
          </cell>
          <cell r="I92">
            <v>2.25</v>
          </cell>
          <cell r="J92">
            <v>0</v>
          </cell>
          <cell r="K92">
            <v>2.25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F93">
            <v>2.0299999999999998</v>
          </cell>
          <cell r="G93">
            <v>1.1200000000000001</v>
          </cell>
          <cell r="H93">
            <v>3.15</v>
          </cell>
          <cell r="I93">
            <v>2.0299999999999998</v>
          </cell>
          <cell r="J93">
            <v>1.1200000000000001</v>
          </cell>
          <cell r="K93">
            <v>3.15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F94">
            <v>2.23</v>
          </cell>
          <cell r="G94">
            <v>1.37</v>
          </cell>
          <cell r="H94">
            <v>3.6</v>
          </cell>
          <cell r="I94">
            <v>2.23</v>
          </cell>
          <cell r="J94">
            <v>1.37</v>
          </cell>
          <cell r="K94">
            <v>3.6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F95">
            <v>2.4300000000000002</v>
          </cell>
          <cell r="G95">
            <v>2.0699999999999998</v>
          </cell>
          <cell r="H95">
            <v>4.5</v>
          </cell>
          <cell r="I95">
            <v>2.4300000000000002</v>
          </cell>
          <cell r="J95">
            <v>2.0699999999999998</v>
          </cell>
          <cell r="K95">
            <v>4.5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F96">
            <v>3.04</v>
          </cell>
          <cell r="G96">
            <v>5.66</v>
          </cell>
          <cell r="H96">
            <v>8.6999999999999993</v>
          </cell>
          <cell r="I96">
            <v>3.04</v>
          </cell>
          <cell r="J96">
            <v>5.66</v>
          </cell>
          <cell r="K96">
            <v>8.6999999999999993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F97">
            <v>0.81</v>
          </cell>
          <cell r="G97">
            <v>0.99</v>
          </cell>
          <cell r="H97">
            <v>1.8</v>
          </cell>
          <cell r="I97">
            <v>0.81</v>
          </cell>
          <cell r="J97">
            <v>0.99</v>
          </cell>
          <cell r="K97">
            <v>1.8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F98">
            <v>1.01</v>
          </cell>
          <cell r="G98">
            <v>1.0900000000000001</v>
          </cell>
          <cell r="H98">
            <v>2.1</v>
          </cell>
          <cell r="I98">
            <v>1.01</v>
          </cell>
          <cell r="J98">
            <v>1.0900000000000001</v>
          </cell>
          <cell r="K98">
            <v>2.1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F99">
            <v>1.22</v>
          </cell>
          <cell r="G99">
            <v>1.32</v>
          </cell>
          <cell r="H99">
            <v>2.54</v>
          </cell>
          <cell r="I99">
            <v>1.22</v>
          </cell>
          <cell r="J99">
            <v>1.32</v>
          </cell>
          <cell r="K99">
            <v>2.54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F100">
            <v>1.42</v>
          </cell>
          <cell r="G100">
            <v>2.48</v>
          </cell>
          <cell r="H100">
            <v>3.9</v>
          </cell>
          <cell r="I100">
            <v>1.42</v>
          </cell>
          <cell r="J100">
            <v>2.48</v>
          </cell>
          <cell r="K100">
            <v>3.9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F101">
            <v>1.62</v>
          </cell>
          <cell r="G101">
            <v>2.73</v>
          </cell>
          <cell r="H101">
            <v>4.3499999999999996</v>
          </cell>
          <cell r="I101">
            <v>1.62</v>
          </cell>
          <cell r="J101">
            <v>2.73</v>
          </cell>
          <cell r="K101">
            <v>4.3499999999999996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F102">
            <v>1.82</v>
          </cell>
          <cell r="G102">
            <v>3.12</v>
          </cell>
          <cell r="H102">
            <v>4.9400000000000004</v>
          </cell>
          <cell r="I102">
            <v>1.82</v>
          </cell>
          <cell r="J102">
            <v>3.12</v>
          </cell>
          <cell r="K102">
            <v>4.9400000000000004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F103">
            <v>2.0299999999999998</v>
          </cell>
          <cell r="G103">
            <v>5.47</v>
          </cell>
          <cell r="H103">
            <v>7.5</v>
          </cell>
          <cell r="I103">
            <v>2.0299999999999998</v>
          </cell>
          <cell r="J103">
            <v>5.47</v>
          </cell>
          <cell r="K103">
            <v>7.5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F104">
            <v>2.23</v>
          </cell>
          <cell r="G104">
            <v>6.47</v>
          </cell>
          <cell r="H104">
            <v>8.6999999999999993</v>
          </cell>
          <cell r="I104">
            <v>2.23</v>
          </cell>
          <cell r="J104">
            <v>6.47</v>
          </cell>
          <cell r="K104">
            <v>8.6999999999999993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F105">
            <v>2.4300000000000002</v>
          </cell>
          <cell r="G105">
            <v>6.57</v>
          </cell>
          <cell r="H105">
            <v>9</v>
          </cell>
          <cell r="I105">
            <v>2.4300000000000002</v>
          </cell>
          <cell r="J105">
            <v>6.57</v>
          </cell>
          <cell r="K105">
            <v>9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F106">
            <v>2.64</v>
          </cell>
          <cell r="G106">
            <v>13.86</v>
          </cell>
          <cell r="H106">
            <v>16.5</v>
          </cell>
          <cell r="I106">
            <v>2.64</v>
          </cell>
          <cell r="J106">
            <v>13.86</v>
          </cell>
          <cell r="K106">
            <v>16.5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F107">
            <v>2.84</v>
          </cell>
          <cell r="G107">
            <v>15.16</v>
          </cell>
          <cell r="H107">
            <v>18</v>
          </cell>
          <cell r="I107">
            <v>2.84</v>
          </cell>
          <cell r="J107">
            <v>15.16</v>
          </cell>
          <cell r="K107">
            <v>18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F108">
            <v>3.04</v>
          </cell>
          <cell r="G108">
            <v>16.45</v>
          </cell>
          <cell r="H108">
            <v>19.489999999999998</v>
          </cell>
          <cell r="I108">
            <v>3.04</v>
          </cell>
          <cell r="J108">
            <v>16.45</v>
          </cell>
          <cell r="K108">
            <v>19.489999999999998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F109">
            <v>3.24</v>
          </cell>
          <cell r="G109">
            <v>17.75</v>
          </cell>
          <cell r="H109">
            <v>20.990000000000002</v>
          </cell>
          <cell r="I109">
            <v>3.24</v>
          </cell>
          <cell r="J109">
            <v>17.75</v>
          </cell>
          <cell r="K109">
            <v>20.990000000000002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F110">
            <v>3.45</v>
          </cell>
          <cell r="G110">
            <v>18.54</v>
          </cell>
          <cell r="H110">
            <v>21.99</v>
          </cell>
          <cell r="I110">
            <v>3.45</v>
          </cell>
          <cell r="J110">
            <v>18.54</v>
          </cell>
          <cell r="K110">
            <v>21.99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F111">
            <v>3.65</v>
          </cell>
          <cell r="G111">
            <v>18.84</v>
          </cell>
          <cell r="H111">
            <v>22.49</v>
          </cell>
          <cell r="I111">
            <v>3.65</v>
          </cell>
          <cell r="J111">
            <v>18.84</v>
          </cell>
          <cell r="K111">
            <v>22.49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F112">
            <v>0.81</v>
          </cell>
          <cell r="G112">
            <v>1.1399999999999999</v>
          </cell>
          <cell r="H112">
            <v>1.95</v>
          </cell>
          <cell r="I112">
            <v>0.81</v>
          </cell>
          <cell r="J112">
            <v>1.1399999999999999</v>
          </cell>
          <cell r="K112">
            <v>1.95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F113">
            <v>1.01</v>
          </cell>
          <cell r="G113">
            <v>1.99</v>
          </cell>
          <cell r="H113">
            <v>3</v>
          </cell>
          <cell r="I113">
            <v>1.01</v>
          </cell>
          <cell r="J113">
            <v>1.99</v>
          </cell>
          <cell r="K113">
            <v>3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4</v>
          </cell>
          <cell r="Q113">
            <v>0</v>
          </cell>
          <cell r="R113">
            <v>0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F114">
            <v>1.22</v>
          </cell>
          <cell r="G114">
            <v>2.68</v>
          </cell>
          <cell r="H114">
            <v>3.9000000000000004</v>
          </cell>
          <cell r="I114">
            <v>1.22</v>
          </cell>
          <cell r="J114">
            <v>2.68</v>
          </cell>
          <cell r="K114">
            <v>3.9000000000000004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F115">
            <v>1.42</v>
          </cell>
          <cell r="G115">
            <v>3.97</v>
          </cell>
          <cell r="H115">
            <v>5.3900000000000006</v>
          </cell>
          <cell r="I115">
            <v>1.42</v>
          </cell>
          <cell r="J115">
            <v>3.97</v>
          </cell>
          <cell r="K115">
            <v>5.3900000000000006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F116">
            <v>1.62</v>
          </cell>
          <cell r="G116">
            <v>4.68</v>
          </cell>
          <cell r="H116">
            <v>6.3</v>
          </cell>
          <cell r="I116">
            <v>1.62</v>
          </cell>
          <cell r="J116">
            <v>4.68</v>
          </cell>
          <cell r="K116">
            <v>6.3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F117">
            <v>1.82</v>
          </cell>
          <cell r="G117">
            <v>6.88</v>
          </cell>
          <cell r="H117">
            <v>8.6999999999999993</v>
          </cell>
          <cell r="I117">
            <v>1.82</v>
          </cell>
          <cell r="J117">
            <v>6.88</v>
          </cell>
          <cell r="K117">
            <v>8.6999999999999993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F118">
            <v>2.0299999999999998</v>
          </cell>
          <cell r="G118">
            <v>10.42</v>
          </cell>
          <cell r="H118">
            <v>12.45</v>
          </cell>
          <cell r="I118">
            <v>2.0299999999999998</v>
          </cell>
          <cell r="J118">
            <v>10.42</v>
          </cell>
          <cell r="K118">
            <v>12.45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F119">
            <v>2.23</v>
          </cell>
          <cell r="G119">
            <v>11.72</v>
          </cell>
          <cell r="H119">
            <v>13.950000000000001</v>
          </cell>
          <cell r="I119">
            <v>2.23</v>
          </cell>
          <cell r="J119">
            <v>11.72</v>
          </cell>
          <cell r="K119">
            <v>13.950000000000001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F120">
            <v>2.4300000000000002</v>
          </cell>
          <cell r="G120">
            <v>15.57</v>
          </cell>
          <cell r="H120">
            <v>18</v>
          </cell>
          <cell r="I120">
            <v>2.4300000000000002</v>
          </cell>
          <cell r="J120">
            <v>15.57</v>
          </cell>
          <cell r="K120">
            <v>18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F121">
            <v>2.84</v>
          </cell>
          <cell r="G121">
            <v>22.65</v>
          </cell>
          <cell r="H121">
            <v>25.49</v>
          </cell>
          <cell r="I121">
            <v>2.84</v>
          </cell>
          <cell r="J121">
            <v>22.65</v>
          </cell>
          <cell r="K121">
            <v>25.49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F122">
            <v>3.04</v>
          </cell>
          <cell r="G122">
            <v>23.96</v>
          </cell>
          <cell r="H122">
            <v>27</v>
          </cell>
          <cell r="I122">
            <v>3.04</v>
          </cell>
          <cell r="J122">
            <v>23.96</v>
          </cell>
          <cell r="K122">
            <v>27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F123">
            <v>3.24</v>
          </cell>
          <cell r="G123">
            <v>26.76</v>
          </cell>
          <cell r="H123">
            <v>30</v>
          </cell>
          <cell r="I123">
            <v>3.24</v>
          </cell>
          <cell r="J123">
            <v>26.76</v>
          </cell>
          <cell r="K123">
            <v>30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F124">
            <v>3.45</v>
          </cell>
          <cell r="G124">
            <v>28.05</v>
          </cell>
          <cell r="H124">
            <v>31.5</v>
          </cell>
          <cell r="I124">
            <v>3.45</v>
          </cell>
          <cell r="J124">
            <v>28.05</v>
          </cell>
          <cell r="K124">
            <v>31.5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F125">
            <v>3.65</v>
          </cell>
          <cell r="G125">
            <v>29.35</v>
          </cell>
          <cell r="H125">
            <v>33</v>
          </cell>
          <cell r="I125">
            <v>3.65</v>
          </cell>
          <cell r="J125">
            <v>29.35</v>
          </cell>
          <cell r="K125">
            <v>33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F126">
            <v>7.0000000000000007E-2</v>
          </cell>
          <cell r="G126">
            <v>7.0000000000000007E-2</v>
          </cell>
          <cell r="H126">
            <v>2</v>
          </cell>
          <cell r="I126">
            <v>7.0000000000000007E-2</v>
          </cell>
          <cell r="J126">
            <v>0</v>
          </cell>
          <cell r="K126">
            <v>7.0000000000000007E-2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F127">
            <v>7.0000000000000007E-2</v>
          </cell>
          <cell r="G127">
            <v>7.0000000000000007E-2</v>
          </cell>
          <cell r="H127">
            <v>2</v>
          </cell>
          <cell r="I127">
            <v>7.0000000000000007E-2</v>
          </cell>
          <cell r="J127">
            <v>0</v>
          </cell>
          <cell r="K127">
            <v>7.0000000000000007E-2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F128">
            <v>7.0000000000000007E-2</v>
          </cell>
          <cell r="G128">
            <v>7.0000000000000007E-2</v>
          </cell>
          <cell r="H128">
            <v>2</v>
          </cell>
          <cell r="I128">
            <v>7.0000000000000007E-2</v>
          </cell>
          <cell r="J128">
            <v>0</v>
          </cell>
          <cell r="K128">
            <v>7.0000000000000007E-2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F129">
            <v>7.0000000000000007E-2</v>
          </cell>
          <cell r="G129">
            <v>7.0000000000000007E-2</v>
          </cell>
          <cell r="H129">
            <v>2</v>
          </cell>
          <cell r="I129">
            <v>7.0000000000000007E-2</v>
          </cell>
          <cell r="J129">
            <v>0</v>
          </cell>
          <cell r="K129">
            <v>7.0000000000000007E-2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F130">
            <v>0</v>
          </cell>
          <cell r="G130">
            <v>0</v>
          </cell>
          <cell r="H130">
            <v>0</v>
          </cell>
          <cell r="I130">
            <v>7.0000000000000007E-2</v>
          </cell>
          <cell r="J130">
            <v>0</v>
          </cell>
          <cell r="K130">
            <v>7.0000000000000007E-2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2</v>
          </cell>
          <cell r="Q130">
            <v>0</v>
          </cell>
          <cell r="R130">
            <v>0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F131">
            <v>7.0000000000000007E-2</v>
          </cell>
          <cell r="G131">
            <v>7.0000000000000007E-2</v>
          </cell>
          <cell r="H131">
            <v>2</v>
          </cell>
          <cell r="I131">
            <v>7.0000000000000007E-2</v>
          </cell>
          <cell r="J131">
            <v>0</v>
          </cell>
          <cell r="K131">
            <v>7.0000000000000007E-2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F132">
            <v>7.0000000000000007E-2</v>
          </cell>
          <cell r="G132">
            <v>0</v>
          </cell>
          <cell r="H132">
            <v>7.0000000000000007E-2</v>
          </cell>
          <cell r="I132">
            <v>7.0000000000000007E-2</v>
          </cell>
          <cell r="J132">
            <v>0</v>
          </cell>
          <cell r="K132">
            <v>7.0000000000000007E-2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F133">
            <v>7.0000000000000007E-2</v>
          </cell>
          <cell r="G133">
            <v>0</v>
          </cell>
          <cell r="H133">
            <v>7.0000000000000007E-2</v>
          </cell>
          <cell r="I133">
            <v>7.0000000000000007E-2</v>
          </cell>
          <cell r="J133">
            <v>0</v>
          </cell>
          <cell r="K133">
            <v>7.0000000000000007E-2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F134">
            <v>7.0000000000000007E-2</v>
          </cell>
          <cell r="G134">
            <v>0</v>
          </cell>
          <cell r="H134">
            <v>7.0000000000000007E-2</v>
          </cell>
          <cell r="I134">
            <v>7.0000000000000007E-2</v>
          </cell>
          <cell r="J134">
            <v>0</v>
          </cell>
          <cell r="K134">
            <v>7.0000000000000007E-2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F135">
            <v>7.0000000000000007E-2</v>
          </cell>
          <cell r="G135">
            <v>0</v>
          </cell>
          <cell r="H135">
            <v>7.0000000000000007E-2</v>
          </cell>
          <cell r="I135">
            <v>7.0000000000000007E-2</v>
          </cell>
          <cell r="J135">
            <v>0</v>
          </cell>
          <cell r="K135">
            <v>7.0000000000000007E-2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F136">
            <v>7.0000000000000007E-2</v>
          </cell>
          <cell r="G136">
            <v>0</v>
          </cell>
          <cell r="H136">
            <v>7.0000000000000007E-2</v>
          </cell>
          <cell r="I136">
            <v>7.0000000000000007E-2</v>
          </cell>
          <cell r="J136">
            <v>0</v>
          </cell>
          <cell r="K136">
            <v>7.0000000000000007E-2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F137">
            <v>7.0000000000000007E-2</v>
          </cell>
          <cell r="G137">
            <v>0</v>
          </cell>
          <cell r="H137">
            <v>7.0000000000000007E-2</v>
          </cell>
          <cell r="I137">
            <v>7.0000000000000007E-2</v>
          </cell>
          <cell r="J137">
            <v>0</v>
          </cell>
          <cell r="K137">
            <v>7.0000000000000007E-2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F138">
            <v>7.0000000000000007E-2</v>
          </cell>
          <cell r="G138">
            <v>0</v>
          </cell>
          <cell r="H138">
            <v>7.0000000000000007E-2</v>
          </cell>
          <cell r="I138">
            <v>7.0000000000000007E-2</v>
          </cell>
          <cell r="J138">
            <v>0</v>
          </cell>
          <cell r="K138">
            <v>7.0000000000000007E-2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F139">
            <v>7.0000000000000007E-2</v>
          </cell>
          <cell r="G139">
            <v>0</v>
          </cell>
          <cell r="H139">
            <v>7.0000000000000007E-2</v>
          </cell>
          <cell r="I139">
            <v>7.0000000000000007E-2</v>
          </cell>
          <cell r="J139">
            <v>0</v>
          </cell>
          <cell r="K139">
            <v>7.0000000000000007E-2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F140">
            <v>7.0000000000000007E-2</v>
          </cell>
          <cell r="G140">
            <v>0</v>
          </cell>
          <cell r="H140">
            <v>7.0000000000000007E-2</v>
          </cell>
          <cell r="I140">
            <v>7.0000000000000007E-2</v>
          </cell>
          <cell r="J140">
            <v>0</v>
          </cell>
          <cell r="K140">
            <v>7.0000000000000007E-2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F141">
            <v>0.12</v>
          </cell>
          <cell r="G141">
            <v>0</v>
          </cell>
          <cell r="H141">
            <v>0.12</v>
          </cell>
          <cell r="I141">
            <v>0.12</v>
          </cell>
          <cell r="J141">
            <v>0</v>
          </cell>
          <cell r="K141">
            <v>0.12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F142">
            <v>0.12</v>
          </cell>
          <cell r="G142">
            <v>0</v>
          </cell>
          <cell r="H142">
            <v>0.12</v>
          </cell>
          <cell r="I142">
            <v>0.12</v>
          </cell>
          <cell r="J142">
            <v>0</v>
          </cell>
          <cell r="K142">
            <v>0.12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F143">
            <v>0.12</v>
          </cell>
          <cell r="G143">
            <v>0</v>
          </cell>
          <cell r="H143">
            <v>0.12</v>
          </cell>
          <cell r="I143">
            <v>0.12</v>
          </cell>
          <cell r="J143">
            <v>0</v>
          </cell>
          <cell r="K143">
            <v>0.12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F144">
            <v>0.15</v>
          </cell>
          <cell r="G144">
            <v>0.15</v>
          </cell>
          <cell r="H144">
            <v>2</v>
          </cell>
          <cell r="I144">
            <v>0.15</v>
          </cell>
          <cell r="J144">
            <v>0</v>
          </cell>
          <cell r="K144">
            <v>0.15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F145">
            <v>0.15</v>
          </cell>
          <cell r="G145">
            <v>0.15</v>
          </cell>
          <cell r="H145">
            <v>2</v>
          </cell>
          <cell r="I145">
            <v>0.15</v>
          </cell>
          <cell r="J145">
            <v>0</v>
          </cell>
          <cell r="K145">
            <v>0.15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F146">
            <v>0.15</v>
          </cell>
          <cell r="G146">
            <v>0.15</v>
          </cell>
          <cell r="H146">
            <v>2</v>
          </cell>
          <cell r="I146">
            <v>0.15</v>
          </cell>
          <cell r="J146">
            <v>0</v>
          </cell>
          <cell r="K146">
            <v>0.15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F147">
            <v>0.15</v>
          </cell>
          <cell r="G147">
            <v>0</v>
          </cell>
          <cell r="H147">
            <v>0.15</v>
          </cell>
          <cell r="I147">
            <v>0.15</v>
          </cell>
          <cell r="J147">
            <v>0</v>
          </cell>
          <cell r="K147">
            <v>0.15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F148">
            <v>0.15</v>
          </cell>
          <cell r="G148">
            <v>0</v>
          </cell>
          <cell r="H148">
            <v>0.15</v>
          </cell>
          <cell r="I148">
            <v>0.15</v>
          </cell>
          <cell r="J148">
            <v>0</v>
          </cell>
          <cell r="K148">
            <v>0.15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F149">
            <v>0.15</v>
          </cell>
          <cell r="G149">
            <v>0</v>
          </cell>
          <cell r="H149">
            <v>0.15</v>
          </cell>
          <cell r="I149">
            <v>0.15</v>
          </cell>
          <cell r="J149">
            <v>0</v>
          </cell>
          <cell r="K149">
            <v>0.15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F150">
            <v>0.3</v>
          </cell>
          <cell r="G150">
            <v>0</v>
          </cell>
          <cell r="H150">
            <v>0.3</v>
          </cell>
          <cell r="I150">
            <v>0.3</v>
          </cell>
          <cell r="J150">
            <v>0</v>
          </cell>
          <cell r="K150">
            <v>0.3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2</v>
          </cell>
          <cell r="Q150">
            <v>0</v>
          </cell>
          <cell r="R150">
            <v>0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F151">
            <v>0.3</v>
          </cell>
          <cell r="G151">
            <v>0</v>
          </cell>
          <cell r="H151">
            <v>0.3</v>
          </cell>
          <cell r="I151">
            <v>0.3</v>
          </cell>
          <cell r="J151">
            <v>0</v>
          </cell>
          <cell r="K151">
            <v>0.3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F152">
            <v>0.3</v>
          </cell>
          <cell r="G152">
            <v>0</v>
          </cell>
          <cell r="H152">
            <v>0.3</v>
          </cell>
          <cell r="I152">
            <v>0.3</v>
          </cell>
          <cell r="J152">
            <v>0</v>
          </cell>
          <cell r="K152">
            <v>0.3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F153">
            <v>0.25</v>
          </cell>
          <cell r="G153">
            <v>0.2</v>
          </cell>
          <cell r="H153">
            <v>0.45</v>
          </cell>
          <cell r="I153">
            <v>0.25</v>
          </cell>
          <cell r="J153">
            <v>0.2</v>
          </cell>
          <cell r="K153">
            <v>0.45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F154">
            <v>0.3</v>
          </cell>
          <cell r="G154">
            <v>0.3</v>
          </cell>
          <cell r="H154">
            <v>0.6</v>
          </cell>
          <cell r="I154">
            <v>0.3</v>
          </cell>
          <cell r="J154">
            <v>0.3</v>
          </cell>
          <cell r="K154">
            <v>0.6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F155">
            <v>0.35</v>
          </cell>
          <cell r="G155">
            <v>0.4</v>
          </cell>
          <cell r="H155">
            <v>0.75</v>
          </cell>
          <cell r="I155">
            <v>0.35</v>
          </cell>
          <cell r="J155">
            <v>0.4</v>
          </cell>
          <cell r="K155">
            <v>0.75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F156">
            <v>0.41</v>
          </cell>
          <cell r="G156">
            <v>0.49</v>
          </cell>
          <cell r="H156">
            <v>0.89999999999999991</v>
          </cell>
          <cell r="I156">
            <v>0.41</v>
          </cell>
          <cell r="J156">
            <v>0.49</v>
          </cell>
          <cell r="K156">
            <v>0.89999999999999991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F157">
            <v>0.51</v>
          </cell>
          <cell r="G157">
            <v>0.54</v>
          </cell>
          <cell r="H157">
            <v>1.05</v>
          </cell>
          <cell r="I157">
            <v>0.51</v>
          </cell>
          <cell r="J157">
            <v>0.54</v>
          </cell>
          <cell r="K157">
            <v>1.05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F158">
            <v>0.61</v>
          </cell>
          <cell r="G158">
            <v>1.04</v>
          </cell>
          <cell r="H158">
            <v>1.65</v>
          </cell>
          <cell r="I158">
            <v>0.61</v>
          </cell>
          <cell r="J158">
            <v>1.04</v>
          </cell>
          <cell r="K158">
            <v>1.65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F159">
            <v>0.81</v>
          </cell>
          <cell r="G159">
            <v>1.73</v>
          </cell>
          <cell r="H159">
            <v>2.54</v>
          </cell>
          <cell r="I159">
            <v>0.81</v>
          </cell>
          <cell r="J159">
            <v>1.73</v>
          </cell>
          <cell r="K159">
            <v>2.54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F160">
            <v>1.01</v>
          </cell>
          <cell r="G160">
            <v>3.04</v>
          </cell>
          <cell r="H160">
            <v>4.05</v>
          </cell>
          <cell r="I160">
            <v>1.01</v>
          </cell>
          <cell r="J160">
            <v>3.04</v>
          </cell>
          <cell r="K160">
            <v>4.05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F161">
            <v>1.22</v>
          </cell>
          <cell r="G161">
            <v>4.0199999999999996</v>
          </cell>
          <cell r="H161">
            <v>5.2399999999999993</v>
          </cell>
          <cell r="I161">
            <v>1.22</v>
          </cell>
          <cell r="J161">
            <v>4.0199999999999996</v>
          </cell>
          <cell r="K161">
            <v>5.2399999999999993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F162">
            <v>1.42</v>
          </cell>
          <cell r="G162">
            <v>5.33</v>
          </cell>
          <cell r="H162">
            <v>6.75</v>
          </cell>
          <cell r="I162">
            <v>1.42</v>
          </cell>
          <cell r="J162">
            <v>5.33</v>
          </cell>
          <cell r="K162">
            <v>6.75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F163">
            <v>1.62</v>
          </cell>
          <cell r="G163">
            <v>8.42</v>
          </cell>
          <cell r="H163">
            <v>10.039999999999999</v>
          </cell>
          <cell r="I163">
            <v>1.62</v>
          </cell>
          <cell r="J163">
            <v>8.42</v>
          </cell>
          <cell r="K163">
            <v>10.039999999999999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F164">
            <v>1.82</v>
          </cell>
          <cell r="G164">
            <v>11.53</v>
          </cell>
          <cell r="H164">
            <v>13.35</v>
          </cell>
          <cell r="I164">
            <v>1.82</v>
          </cell>
          <cell r="J164">
            <v>11.53</v>
          </cell>
          <cell r="K164">
            <v>13.35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F165">
            <v>2.0299999999999998</v>
          </cell>
          <cell r="G165">
            <v>14.47</v>
          </cell>
          <cell r="H165">
            <v>16.5</v>
          </cell>
          <cell r="I165">
            <v>2.0299999999999998</v>
          </cell>
          <cell r="J165">
            <v>14.47</v>
          </cell>
          <cell r="K165">
            <v>16.5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F166">
            <v>2.4300000000000002</v>
          </cell>
          <cell r="G166">
            <v>24.57</v>
          </cell>
          <cell r="H166">
            <v>27</v>
          </cell>
          <cell r="I166">
            <v>2.4300000000000002</v>
          </cell>
          <cell r="J166">
            <v>24.57</v>
          </cell>
          <cell r="K166">
            <v>27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F167">
            <v>3.24</v>
          </cell>
          <cell r="G167">
            <v>31.26</v>
          </cell>
          <cell r="H167">
            <v>34.5</v>
          </cell>
          <cell r="I167">
            <v>3.24</v>
          </cell>
          <cell r="J167">
            <v>31.26</v>
          </cell>
          <cell r="K167">
            <v>34.5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F168">
            <v>3.45</v>
          </cell>
          <cell r="G168">
            <v>34.049999999999997</v>
          </cell>
          <cell r="H168">
            <v>37.5</v>
          </cell>
          <cell r="I168">
            <v>3.45</v>
          </cell>
          <cell r="J168">
            <v>34.049999999999997</v>
          </cell>
          <cell r="K168">
            <v>37.5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F169">
            <v>3.65</v>
          </cell>
          <cell r="G169">
            <v>41.34</v>
          </cell>
          <cell r="H169">
            <v>44.99</v>
          </cell>
          <cell r="I169">
            <v>3.65</v>
          </cell>
          <cell r="J169">
            <v>41.34</v>
          </cell>
          <cell r="K169">
            <v>44.99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F170">
            <v>7.0000000000000007E-2</v>
          </cell>
          <cell r="G170">
            <v>7.0000000000000007E-2</v>
          </cell>
          <cell r="H170">
            <v>2</v>
          </cell>
          <cell r="I170">
            <v>7.0000000000000007E-2</v>
          </cell>
          <cell r="J170">
            <v>0</v>
          </cell>
          <cell r="K170">
            <v>7.0000000000000007E-2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F171">
            <v>7.0000000000000007E-2</v>
          </cell>
          <cell r="G171">
            <v>7.0000000000000007E-2</v>
          </cell>
          <cell r="H171">
            <v>2</v>
          </cell>
          <cell r="I171">
            <v>7.0000000000000007E-2</v>
          </cell>
          <cell r="J171">
            <v>0</v>
          </cell>
          <cell r="K171">
            <v>7.0000000000000007E-2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F172">
            <v>7.0000000000000007E-2</v>
          </cell>
          <cell r="G172">
            <v>7.0000000000000007E-2</v>
          </cell>
          <cell r="H172">
            <v>2</v>
          </cell>
          <cell r="I172">
            <v>7.0000000000000007E-2</v>
          </cell>
          <cell r="J172">
            <v>0</v>
          </cell>
          <cell r="K172">
            <v>7.0000000000000007E-2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F173">
            <v>7.0000000000000007E-2</v>
          </cell>
          <cell r="G173">
            <v>7.0000000000000007E-2</v>
          </cell>
          <cell r="H173">
            <v>2</v>
          </cell>
          <cell r="I173">
            <v>7.0000000000000007E-2</v>
          </cell>
          <cell r="J173">
            <v>0</v>
          </cell>
          <cell r="K173">
            <v>7.0000000000000007E-2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F174">
            <v>7.0000000000000007E-2</v>
          </cell>
          <cell r="G174">
            <v>7.0000000000000007E-2</v>
          </cell>
          <cell r="H174">
            <v>2</v>
          </cell>
          <cell r="I174">
            <v>7.0000000000000007E-2</v>
          </cell>
          <cell r="J174">
            <v>0</v>
          </cell>
          <cell r="K174">
            <v>7.0000000000000007E-2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F175">
            <v>0</v>
          </cell>
          <cell r="G175">
            <v>0</v>
          </cell>
          <cell r="H175">
            <v>2</v>
          </cell>
          <cell r="I175">
            <v>7.0000000000000007E-2</v>
          </cell>
          <cell r="J175">
            <v>0</v>
          </cell>
          <cell r="K175">
            <v>7.0000000000000007E-2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F176">
            <v>7.0000000000000007E-2</v>
          </cell>
          <cell r="G176">
            <v>7.0000000000000007E-2</v>
          </cell>
          <cell r="H176">
            <v>2</v>
          </cell>
          <cell r="I176">
            <v>7.0000000000000007E-2</v>
          </cell>
          <cell r="J176">
            <v>0</v>
          </cell>
          <cell r="K176">
            <v>7.0000000000000007E-2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F177">
            <v>7.0000000000000007E-2</v>
          </cell>
          <cell r="G177">
            <v>7.0000000000000007E-2</v>
          </cell>
          <cell r="H177">
            <v>2</v>
          </cell>
          <cell r="I177">
            <v>7.0000000000000007E-2</v>
          </cell>
          <cell r="J177">
            <v>0</v>
          </cell>
          <cell r="K177">
            <v>7.0000000000000007E-2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F178">
            <v>7.0000000000000007E-2</v>
          </cell>
          <cell r="G178">
            <v>7.0000000000000007E-2</v>
          </cell>
          <cell r="H178">
            <v>2</v>
          </cell>
          <cell r="I178">
            <v>7.0000000000000007E-2</v>
          </cell>
          <cell r="J178">
            <v>0</v>
          </cell>
          <cell r="K178">
            <v>7.0000000000000007E-2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F179">
            <v>7.0000000000000007E-2</v>
          </cell>
          <cell r="G179">
            <v>0</v>
          </cell>
          <cell r="H179">
            <v>7.0000000000000007E-2</v>
          </cell>
          <cell r="I179">
            <v>7.0000000000000007E-2</v>
          </cell>
          <cell r="J179">
            <v>0</v>
          </cell>
          <cell r="K179">
            <v>7.0000000000000007E-2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F180">
            <v>7.0000000000000007E-2</v>
          </cell>
          <cell r="G180">
            <v>0</v>
          </cell>
          <cell r="H180">
            <v>7.0000000000000007E-2</v>
          </cell>
          <cell r="I180">
            <v>7.0000000000000007E-2</v>
          </cell>
          <cell r="J180">
            <v>0</v>
          </cell>
          <cell r="K180">
            <v>7.0000000000000007E-2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F181">
            <v>7.0000000000000007E-2</v>
          </cell>
          <cell r="G181">
            <v>0</v>
          </cell>
          <cell r="H181">
            <v>7.0000000000000007E-2</v>
          </cell>
          <cell r="I181">
            <v>7.0000000000000007E-2</v>
          </cell>
          <cell r="J181">
            <v>0</v>
          </cell>
          <cell r="K181">
            <v>7.0000000000000007E-2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F182">
            <v>7.0000000000000007E-2</v>
          </cell>
          <cell r="G182">
            <v>0</v>
          </cell>
          <cell r="H182">
            <v>7.0000000000000007E-2</v>
          </cell>
          <cell r="I182">
            <v>7.0000000000000007E-2</v>
          </cell>
          <cell r="J182">
            <v>0</v>
          </cell>
          <cell r="K182">
            <v>7.0000000000000007E-2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F183">
            <v>7.0000000000000007E-2</v>
          </cell>
          <cell r="G183">
            <v>0</v>
          </cell>
          <cell r="H183">
            <v>7.0000000000000007E-2</v>
          </cell>
          <cell r="I183">
            <v>7.0000000000000007E-2</v>
          </cell>
          <cell r="J183">
            <v>0</v>
          </cell>
          <cell r="K183">
            <v>7.0000000000000007E-2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F184">
            <v>7.0000000000000007E-2</v>
          </cell>
          <cell r="G184">
            <v>0</v>
          </cell>
          <cell r="H184">
            <v>7.0000000000000007E-2</v>
          </cell>
          <cell r="I184">
            <v>7.0000000000000007E-2</v>
          </cell>
          <cell r="J184">
            <v>0</v>
          </cell>
          <cell r="K184">
            <v>7.0000000000000007E-2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F185">
            <v>0.12</v>
          </cell>
          <cell r="G185">
            <v>0</v>
          </cell>
          <cell r="H185">
            <v>0.12</v>
          </cell>
          <cell r="I185">
            <v>0.12</v>
          </cell>
          <cell r="J185">
            <v>0</v>
          </cell>
          <cell r="K185">
            <v>0.12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F186">
            <v>0.12</v>
          </cell>
          <cell r="G186">
            <v>0</v>
          </cell>
          <cell r="H186">
            <v>0.12</v>
          </cell>
          <cell r="I186">
            <v>0.12</v>
          </cell>
          <cell r="J186">
            <v>0</v>
          </cell>
          <cell r="K186">
            <v>0.12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F187">
            <v>0.12</v>
          </cell>
          <cell r="G187">
            <v>0</v>
          </cell>
          <cell r="H187">
            <v>0.12</v>
          </cell>
          <cell r="I187">
            <v>0.12</v>
          </cell>
          <cell r="J187">
            <v>0</v>
          </cell>
          <cell r="K187">
            <v>0.12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F188">
            <v>0.15</v>
          </cell>
          <cell r="G188">
            <v>0.15</v>
          </cell>
          <cell r="H188">
            <v>2</v>
          </cell>
          <cell r="I188">
            <v>0.15</v>
          </cell>
          <cell r="J188">
            <v>0</v>
          </cell>
          <cell r="K188">
            <v>0.15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F189">
            <v>0.15</v>
          </cell>
          <cell r="G189">
            <v>0.15</v>
          </cell>
          <cell r="H189">
            <v>2</v>
          </cell>
          <cell r="I189">
            <v>0.15</v>
          </cell>
          <cell r="J189">
            <v>0</v>
          </cell>
          <cell r="K189">
            <v>0.15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F190">
            <v>0.15</v>
          </cell>
          <cell r="G190">
            <v>0.15</v>
          </cell>
          <cell r="H190">
            <v>2</v>
          </cell>
          <cell r="I190">
            <v>0.15</v>
          </cell>
          <cell r="J190">
            <v>8.42</v>
          </cell>
          <cell r="K190">
            <v>0.15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F191">
            <v>0.15</v>
          </cell>
          <cell r="G191">
            <v>0</v>
          </cell>
          <cell r="H191">
            <v>0.15</v>
          </cell>
          <cell r="I191">
            <v>0.15</v>
          </cell>
          <cell r="J191">
            <v>0</v>
          </cell>
          <cell r="K191">
            <v>0.15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F192">
            <v>0.15</v>
          </cell>
          <cell r="G192">
            <v>0</v>
          </cell>
          <cell r="H192">
            <v>0.15</v>
          </cell>
          <cell r="I192">
            <v>0.15</v>
          </cell>
          <cell r="J192">
            <v>0</v>
          </cell>
          <cell r="K192">
            <v>0.15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F193">
            <v>0.15</v>
          </cell>
          <cell r="G193">
            <v>0</v>
          </cell>
          <cell r="H193">
            <v>0.15</v>
          </cell>
          <cell r="I193">
            <v>0.15</v>
          </cell>
          <cell r="J193">
            <v>0</v>
          </cell>
          <cell r="K193">
            <v>0.15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F194">
            <v>0.3</v>
          </cell>
          <cell r="G194">
            <v>0</v>
          </cell>
          <cell r="H194">
            <v>0.3</v>
          </cell>
          <cell r="I194">
            <v>0.3</v>
          </cell>
          <cell r="J194">
            <v>0</v>
          </cell>
          <cell r="K194">
            <v>0.3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F195">
            <v>0.3</v>
          </cell>
          <cell r="G195">
            <v>0</v>
          </cell>
          <cell r="H195">
            <v>0.3</v>
          </cell>
          <cell r="I195">
            <v>0.3</v>
          </cell>
          <cell r="J195">
            <v>0</v>
          </cell>
          <cell r="K195">
            <v>0.3</v>
          </cell>
          <cell r="L195">
            <v>2</v>
          </cell>
          <cell r="M195">
            <v>0</v>
          </cell>
          <cell r="N195">
            <v>4.1166770151461775E-312</v>
          </cell>
          <cell r="O195" t="str">
            <v>40S</v>
          </cell>
          <cell r="P195">
            <v>2</v>
          </cell>
          <cell r="Q195">
            <v>3.9099923706054689</v>
          </cell>
          <cell r="R195">
            <v>1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F196">
            <v>0.3</v>
          </cell>
          <cell r="G196">
            <v>0</v>
          </cell>
          <cell r="H196">
            <v>0.3</v>
          </cell>
          <cell r="I196">
            <v>0.3</v>
          </cell>
          <cell r="J196">
            <v>0</v>
          </cell>
          <cell r="K196">
            <v>0.3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F197">
            <v>0.25</v>
          </cell>
          <cell r="G197">
            <v>0.2</v>
          </cell>
          <cell r="H197">
            <v>0.45</v>
          </cell>
          <cell r="I197">
            <v>0.25</v>
          </cell>
          <cell r="J197">
            <v>0.2</v>
          </cell>
          <cell r="K197">
            <v>0.45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F198">
            <v>0.3</v>
          </cell>
          <cell r="G198">
            <v>0.3</v>
          </cell>
          <cell r="H198">
            <v>0.6</v>
          </cell>
          <cell r="I198">
            <v>0.3</v>
          </cell>
          <cell r="J198">
            <v>0.3</v>
          </cell>
          <cell r="K198">
            <v>0.6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F199">
            <v>0.35</v>
          </cell>
          <cell r="G199">
            <v>0.4</v>
          </cell>
          <cell r="H199">
            <v>0.75</v>
          </cell>
          <cell r="I199">
            <v>0.35</v>
          </cell>
          <cell r="J199">
            <v>0.4</v>
          </cell>
          <cell r="K199">
            <v>0.75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F200">
            <v>0.41</v>
          </cell>
          <cell r="G200">
            <v>0.49</v>
          </cell>
          <cell r="H200">
            <v>0.89999999999999991</v>
          </cell>
          <cell r="I200">
            <v>0.41</v>
          </cell>
          <cell r="J200">
            <v>0.49</v>
          </cell>
          <cell r="K200">
            <v>0.89999999999999991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F201">
            <v>0.51</v>
          </cell>
          <cell r="G201">
            <v>0.54</v>
          </cell>
          <cell r="H201">
            <v>1.05</v>
          </cell>
          <cell r="I201">
            <v>0.51</v>
          </cell>
          <cell r="J201">
            <v>0.54</v>
          </cell>
          <cell r="K201">
            <v>1.05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F202">
            <v>0.61</v>
          </cell>
          <cell r="G202">
            <v>1.04</v>
          </cell>
          <cell r="H202">
            <v>1.65</v>
          </cell>
          <cell r="I202">
            <v>0.61</v>
          </cell>
          <cell r="J202">
            <v>1.04</v>
          </cell>
          <cell r="K202">
            <v>1.65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F203">
            <v>0.81</v>
          </cell>
          <cell r="G203">
            <v>1.73</v>
          </cell>
          <cell r="H203">
            <v>2.54</v>
          </cell>
          <cell r="I203">
            <v>0.81</v>
          </cell>
          <cell r="J203">
            <v>1.73</v>
          </cell>
          <cell r="K203">
            <v>2.54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F204">
            <v>1.01</v>
          </cell>
          <cell r="G204">
            <v>3.04</v>
          </cell>
          <cell r="H204">
            <v>4.05</v>
          </cell>
          <cell r="I204">
            <v>1.01</v>
          </cell>
          <cell r="J204">
            <v>3.04</v>
          </cell>
          <cell r="K204">
            <v>4.05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F205">
            <v>1.22</v>
          </cell>
          <cell r="G205">
            <v>3.28</v>
          </cell>
          <cell r="H205">
            <v>4.5</v>
          </cell>
          <cell r="I205">
            <v>1.22</v>
          </cell>
          <cell r="J205">
            <v>3.28</v>
          </cell>
          <cell r="K205">
            <v>4.5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F206">
            <v>0.81</v>
          </cell>
          <cell r="G206">
            <v>2.64</v>
          </cell>
          <cell r="H206">
            <v>3.45</v>
          </cell>
          <cell r="I206">
            <v>0.81</v>
          </cell>
          <cell r="J206">
            <v>2.64</v>
          </cell>
          <cell r="K206">
            <v>3.45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F207">
            <v>1.01</v>
          </cell>
          <cell r="G207">
            <v>5.74</v>
          </cell>
          <cell r="H207">
            <v>6.75</v>
          </cell>
          <cell r="I207">
            <v>1.01</v>
          </cell>
          <cell r="J207">
            <v>5.74</v>
          </cell>
          <cell r="K207">
            <v>6.75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F208">
            <v>1.22</v>
          </cell>
          <cell r="G208">
            <v>8.3800000000000008</v>
          </cell>
          <cell r="H208">
            <v>9.6000000000000014</v>
          </cell>
          <cell r="I208">
            <v>1.22</v>
          </cell>
          <cell r="J208">
            <v>8.3800000000000008</v>
          </cell>
          <cell r="K208">
            <v>9.6000000000000014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F209">
            <v>1.42</v>
          </cell>
          <cell r="G209">
            <v>9.9700000000000006</v>
          </cell>
          <cell r="H209">
            <v>11.39</v>
          </cell>
          <cell r="I209">
            <v>1.42</v>
          </cell>
          <cell r="J209">
            <v>9.9700000000000006</v>
          </cell>
          <cell r="K209">
            <v>11.39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F210">
            <v>1.62</v>
          </cell>
          <cell r="G210">
            <v>14.88</v>
          </cell>
          <cell r="H210">
            <v>16.5</v>
          </cell>
          <cell r="I210">
            <v>1.62</v>
          </cell>
          <cell r="J210">
            <v>14.88</v>
          </cell>
          <cell r="K210">
            <v>16.5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F211">
            <v>1.82</v>
          </cell>
          <cell r="G211">
            <v>20.67</v>
          </cell>
          <cell r="H211">
            <v>22.490000000000002</v>
          </cell>
          <cell r="I211">
            <v>1.82</v>
          </cell>
          <cell r="J211">
            <v>20.67</v>
          </cell>
          <cell r="K211">
            <v>22.490000000000002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F212">
            <v>2.0299999999999998</v>
          </cell>
          <cell r="G212">
            <v>23.47</v>
          </cell>
          <cell r="H212">
            <v>25.5</v>
          </cell>
          <cell r="I212">
            <v>2.0299999999999998</v>
          </cell>
          <cell r="J212">
            <v>23.47</v>
          </cell>
          <cell r="K212">
            <v>25.5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F213">
            <v>2.23</v>
          </cell>
          <cell r="G213">
            <v>29.27</v>
          </cell>
          <cell r="H213">
            <v>31.5</v>
          </cell>
          <cell r="I213">
            <v>2.23</v>
          </cell>
          <cell r="J213">
            <v>29.27</v>
          </cell>
          <cell r="K213">
            <v>31.5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F214">
            <v>2.4300000000000002</v>
          </cell>
          <cell r="G214">
            <v>35.07</v>
          </cell>
          <cell r="H214">
            <v>37.5</v>
          </cell>
          <cell r="I214">
            <v>2.4300000000000002</v>
          </cell>
          <cell r="J214">
            <v>35.07</v>
          </cell>
          <cell r="K214">
            <v>37.5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F215">
            <v>7.0000000000000007E-2</v>
          </cell>
          <cell r="G215">
            <v>7.0000000000000007E-2</v>
          </cell>
          <cell r="H215">
            <v>2</v>
          </cell>
          <cell r="I215">
            <v>7.0000000000000007E-2</v>
          </cell>
          <cell r="J215">
            <v>0</v>
          </cell>
          <cell r="K215">
            <v>7.0000000000000007E-2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F216">
            <v>7.0000000000000007E-2</v>
          </cell>
          <cell r="G216">
            <v>7.0000000000000007E-2</v>
          </cell>
          <cell r="H216">
            <v>2</v>
          </cell>
          <cell r="I216">
            <v>7.0000000000000007E-2</v>
          </cell>
          <cell r="J216">
            <v>0</v>
          </cell>
          <cell r="K216">
            <v>7.0000000000000007E-2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F217">
            <v>7.0000000000000007E-2</v>
          </cell>
          <cell r="G217">
            <v>7.0000000000000007E-2</v>
          </cell>
          <cell r="H217">
            <v>2</v>
          </cell>
          <cell r="I217">
            <v>7.0000000000000007E-2</v>
          </cell>
          <cell r="J217">
            <v>0</v>
          </cell>
          <cell r="K217">
            <v>7.0000000000000007E-2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F218">
            <v>7.0000000000000007E-2</v>
          </cell>
          <cell r="G218">
            <v>7.0000000000000007E-2</v>
          </cell>
          <cell r="H218">
            <v>2</v>
          </cell>
          <cell r="I218">
            <v>7.0000000000000007E-2</v>
          </cell>
          <cell r="J218">
            <v>0</v>
          </cell>
          <cell r="K218">
            <v>7.0000000000000007E-2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F219">
            <v>7.0000000000000007E-2</v>
          </cell>
          <cell r="G219">
            <v>7.0000000000000007E-2</v>
          </cell>
          <cell r="H219">
            <v>2</v>
          </cell>
          <cell r="I219">
            <v>7.0000000000000007E-2</v>
          </cell>
          <cell r="J219">
            <v>0</v>
          </cell>
          <cell r="K219">
            <v>7.0000000000000007E-2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F220">
            <v>7.0000000000000007E-2</v>
          </cell>
          <cell r="G220">
            <v>7.0000000000000007E-2</v>
          </cell>
          <cell r="H220">
            <v>2</v>
          </cell>
          <cell r="I220">
            <v>7.0000000000000007E-2</v>
          </cell>
          <cell r="J220">
            <v>0</v>
          </cell>
          <cell r="K220">
            <v>7.0000000000000007E-2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F221">
            <v>7.0000000000000007E-2</v>
          </cell>
          <cell r="G221">
            <v>0</v>
          </cell>
          <cell r="H221">
            <v>7.0000000000000007E-2</v>
          </cell>
          <cell r="I221">
            <v>7.0000000000000007E-2</v>
          </cell>
          <cell r="J221">
            <v>0</v>
          </cell>
          <cell r="K221">
            <v>7.0000000000000007E-2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F222">
            <v>7.0000000000000007E-2</v>
          </cell>
          <cell r="G222">
            <v>0</v>
          </cell>
          <cell r="H222">
            <v>7.0000000000000007E-2</v>
          </cell>
          <cell r="I222">
            <v>7.0000000000000007E-2</v>
          </cell>
          <cell r="J222">
            <v>0</v>
          </cell>
          <cell r="K222">
            <v>7.0000000000000007E-2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F223">
            <v>0</v>
          </cell>
          <cell r="G223">
            <v>0</v>
          </cell>
          <cell r="H223">
            <v>0</v>
          </cell>
          <cell r="I223">
            <v>7.0000000000000007E-2</v>
          </cell>
          <cell r="J223">
            <v>0</v>
          </cell>
          <cell r="K223">
            <v>7.0000000000000007E-2</v>
          </cell>
          <cell r="L223">
            <v>2.12451171875</v>
          </cell>
          <cell r="M223">
            <v>0</v>
          </cell>
          <cell r="N223">
            <v>4.7320557945261064E-312</v>
          </cell>
          <cell r="O223">
            <v>80</v>
          </cell>
          <cell r="P223">
            <v>2</v>
          </cell>
          <cell r="Q223">
            <v>3.73</v>
          </cell>
          <cell r="R223">
            <v>1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F224">
            <v>7.0000000000000007E-2</v>
          </cell>
          <cell r="G224">
            <v>0</v>
          </cell>
          <cell r="H224">
            <v>7.0000000000000007E-2</v>
          </cell>
          <cell r="I224">
            <v>7.0000000000000007E-2</v>
          </cell>
          <cell r="J224">
            <v>0</v>
          </cell>
          <cell r="K224">
            <v>7.0000000000000007E-2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F225">
            <v>7.0000000000000007E-2</v>
          </cell>
          <cell r="G225">
            <v>0</v>
          </cell>
          <cell r="H225">
            <v>7.0000000000000007E-2</v>
          </cell>
          <cell r="I225">
            <v>7.0000000000000007E-2</v>
          </cell>
          <cell r="J225">
            <v>0</v>
          </cell>
          <cell r="K225">
            <v>7.0000000000000007E-2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F226">
            <v>7.0000000000000007E-2</v>
          </cell>
          <cell r="G226">
            <v>0</v>
          </cell>
          <cell r="H226">
            <v>7.0000000000000007E-2</v>
          </cell>
          <cell r="I226">
            <v>7.0000000000000007E-2</v>
          </cell>
          <cell r="J226">
            <v>0</v>
          </cell>
          <cell r="K226">
            <v>7.0000000000000007E-2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F227">
            <v>7.0000000000000007E-2</v>
          </cell>
          <cell r="G227">
            <v>0</v>
          </cell>
          <cell r="H227">
            <v>7.0000000000000007E-2</v>
          </cell>
          <cell r="I227">
            <v>7.0000000000000007E-2</v>
          </cell>
          <cell r="J227">
            <v>0</v>
          </cell>
          <cell r="K227">
            <v>7.0000000000000007E-2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F228">
            <v>7.0000000000000007E-2</v>
          </cell>
          <cell r="G228">
            <v>0</v>
          </cell>
          <cell r="H228">
            <v>7.0000000000000007E-2</v>
          </cell>
          <cell r="I228">
            <v>7.0000000000000007E-2</v>
          </cell>
          <cell r="J228">
            <v>0</v>
          </cell>
          <cell r="K228">
            <v>7.0000000000000007E-2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F229">
            <v>7.0000000000000007E-2</v>
          </cell>
          <cell r="G229">
            <v>0</v>
          </cell>
          <cell r="H229">
            <v>7.0000000000000007E-2</v>
          </cell>
          <cell r="I229">
            <v>7.0000000000000007E-2</v>
          </cell>
          <cell r="J229">
            <v>0</v>
          </cell>
          <cell r="K229">
            <v>7.0000000000000007E-2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F230">
            <v>0.15</v>
          </cell>
          <cell r="G230">
            <v>0</v>
          </cell>
          <cell r="H230">
            <v>0.15</v>
          </cell>
          <cell r="I230">
            <v>0.15</v>
          </cell>
          <cell r="J230">
            <v>0</v>
          </cell>
          <cell r="K230">
            <v>0.15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F231">
            <v>0.15</v>
          </cell>
          <cell r="G231">
            <v>0</v>
          </cell>
          <cell r="H231">
            <v>0.15</v>
          </cell>
          <cell r="I231">
            <v>0.15</v>
          </cell>
          <cell r="J231">
            <v>0</v>
          </cell>
          <cell r="K231">
            <v>0.15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F232">
            <v>0.15</v>
          </cell>
          <cell r="G232">
            <v>0</v>
          </cell>
          <cell r="H232">
            <v>0.15</v>
          </cell>
          <cell r="I232">
            <v>0.15</v>
          </cell>
          <cell r="J232">
            <v>0</v>
          </cell>
          <cell r="K232">
            <v>0.15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F233">
            <v>0.13</v>
          </cell>
          <cell r="G233">
            <v>0.17</v>
          </cell>
          <cell r="H233">
            <v>0.30000000000000004</v>
          </cell>
          <cell r="I233">
            <v>0.13</v>
          </cell>
          <cell r="J233">
            <v>0.17</v>
          </cell>
          <cell r="K233">
            <v>0.30000000000000004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F234">
            <v>0.13</v>
          </cell>
          <cell r="G234">
            <v>0.17</v>
          </cell>
          <cell r="H234">
            <v>0.30000000000000004</v>
          </cell>
          <cell r="I234">
            <v>0.13</v>
          </cell>
          <cell r="J234">
            <v>0.17</v>
          </cell>
          <cell r="K234">
            <v>0.30000000000000004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F235">
            <v>0.13</v>
          </cell>
          <cell r="G235">
            <v>0.17</v>
          </cell>
          <cell r="H235">
            <v>0.30000000000000004</v>
          </cell>
          <cell r="I235">
            <v>0.13</v>
          </cell>
          <cell r="J235">
            <v>0.17</v>
          </cell>
          <cell r="K235">
            <v>0.30000000000000004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F236">
            <v>0.15</v>
          </cell>
          <cell r="G236">
            <v>0.15</v>
          </cell>
          <cell r="H236">
            <v>0.3</v>
          </cell>
          <cell r="I236">
            <v>0.15</v>
          </cell>
          <cell r="J236">
            <v>0.15</v>
          </cell>
          <cell r="K236">
            <v>0.3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F237">
            <v>0.15</v>
          </cell>
          <cell r="G237">
            <v>0.15</v>
          </cell>
          <cell r="H237">
            <v>0.3</v>
          </cell>
          <cell r="I237">
            <v>0.15</v>
          </cell>
          <cell r="J237">
            <v>0.15</v>
          </cell>
          <cell r="K237">
            <v>0.3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2</v>
          </cell>
          <cell r="R237">
            <v>0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F238">
            <v>0.15</v>
          </cell>
          <cell r="G238">
            <v>0.15</v>
          </cell>
          <cell r="H238">
            <v>0.3</v>
          </cell>
          <cell r="I238">
            <v>0.15</v>
          </cell>
          <cell r="J238">
            <v>0.15</v>
          </cell>
          <cell r="K238">
            <v>0.3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F239">
            <v>0.2</v>
          </cell>
          <cell r="G239">
            <v>0.25</v>
          </cell>
          <cell r="H239">
            <v>0.45</v>
          </cell>
          <cell r="I239">
            <v>0.2</v>
          </cell>
          <cell r="J239">
            <v>0.25</v>
          </cell>
          <cell r="K239">
            <v>0.45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F240">
            <v>0.2</v>
          </cell>
          <cell r="G240">
            <v>0.25</v>
          </cell>
          <cell r="H240">
            <v>0.45</v>
          </cell>
          <cell r="I240">
            <v>0.2</v>
          </cell>
          <cell r="J240">
            <v>0.25</v>
          </cell>
          <cell r="K240">
            <v>0.45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F241">
            <v>0.2</v>
          </cell>
          <cell r="G241">
            <v>0.25</v>
          </cell>
          <cell r="H241">
            <v>0.45</v>
          </cell>
          <cell r="I241">
            <v>0.2</v>
          </cell>
          <cell r="J241">
            <v>0.25</v>
          </cell>
          <cell r="K241">
            <v>0.45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F242">
            <v>0.25</v>
          </cell>
          <cell r="G242">
            <v>0.5</v>
          </cell>
          <cell r="H242">
            <v>0.75</v>
          </cell>
          <cell r="I242">
            <v>0.25</v>
          </cell>
          <cell r="J242">
            <v>0.5</v>
          </cell>
          <cell r="K242">
            <v>0.75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F243">
            <v>0.3</v>
          </cell>
          <cell r="G243">
            <v>0.6</v>
          </cell>
          <cell r="H243">
            <v>0.89999999999999991</v>
          </cell>
          <cell r="I243">
            <v>0.3</v>
          </cell>
          <cell r="J243">
            <v>0.6</v>
          </cell>
          <cell r="K243">
            <v>0.89999999999999991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F244">
            <v>0.35</v>
          </cell>
          <cell r="G244">
            <v>0.85</v>
          </cell>
          <cell r="H244">
            <v>1.2</v>
          </cell>
          <cell r="I244">
            <v>0.35</v>
          </cell>
          <cell r="J244">
            <v>0.85</v>
          </cell>
          <cell r="K244">
            <v>1.2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3</v>
          </cell>
        </row>
        <row r="245">
          <cell r="A245">
            <v>0</v>
          </cell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F245">
            <v>0.41</v>
          </cell>
          <cell r="G245">
            <v>0.93</v>
          </cell>
          <cell r="H245">
            <v>1.34</v>
          </cell>
          <cell r="I245">
            <v>0.41</v>
          </cell>
          <cell r="J245">
            <v>0.93</v>
          </cell>
          <cell r="K245">
            <v>1.34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F246">
            <v>0.51</v>
          </cell>
          <cell r="G246">
            <v>1.59</v>
          </cell>
          <cell r="H246">
            <v>2.1</v>
          </cell>
          <cell r="I246">
            <v>0.51</v>
          </cell>
          <cell r="J246">
            <v>1.59</v>
          </cell>
          <cell r="K246">
            <v>2.1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F247">
            <v>0.61</v>
          </cell>
          <cell r="G247">
            <v>2.69</v>
          </cell>
          <cell r="H247">
            <v>3.3</v>
          </cell>
          <cell r="I247">
            <v>0.61</v>
          </cell>
          <cell r="J247">
            <v>2.69</v>
          </cell>
          <cell r="K247">
            <v>3.3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F248">
            <v>0.81</v>
          </cell>
          <cell r="G248">
            <v>4.58</v>
          </cell>
          <cell r="H248">
            <v>5.3900000000000006</v>
          </cell>
          <cell r="I248">
            <v>0.81</v>
          </cell>
          <cell r="J248">
            <v>4.58</v>
          </cell>
          <cell r="K248">
            <v>5.3900000000000006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F249">
            <v>1.01</v>
          </cell>
          <cell r="G249">
            <v>7.99</v>
          </cell>
          <cell r="H249">
            <v>9</v>
          </cell>
          <cell r="I249">
            <v>1.01</v>
          </cell>
          <cell r="J249">
            <v>7.99</v>
          </cell>
          <cell r="K249">
            <v>9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F250">
            <v>1.22</v>
          </cell>
          <cell r="G250">
            <v>11.68</v>
          </cell>
          <cell r="H250">
            <v>12.9</v>
          </cell>
          <cell r="I250">
            <v>1.22</v>
          </cell>
          <cell r="J250">
            <v>11.68</v>
          </cell>
          <cell r="K250">
            <v>12.9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F251">
            <v>1.42</v>
          </cell>
          <cell r="G251">
            <v>12.68</v>
          </cell>
          <cell r="H251">
            <v>14.1</v>
          </cell>
          <cell r="I251">
            <v>1.42</v>
          </cell>
          <cell r="J251">
            <v>12.68</v>
          </cell>
          <cell r="K251">
            <v>14.1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F252">
            <v>1.62</v>
          </cell>
          <cell r="G252">
            <v>19.37</v>
          </cell>
          <cell r="H252">
            <v>20.990000000000002</v>
          </cell>
          <cell r="I252">
            <v>1.62</v>
          </cell>
          <cell r="J252">
            <v>19.37</v>
          </cell>
          <cell r="K252">
            <v>20.990000000000002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F253">
            <v>1.82</v>
          </cell>
          <cell r="G253">
            <v>26.68</v>
          </cell>
          <cell r="H253">
            <v>28.5</v>
          </cell>
          <cell r="I253">
            <v>1.82</v>
          </cell>
          <cell r="J253">
            <v>26.68</v>
          </cell>
          <cell r="K253">
            <v>28.5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F254">
            <v>2.0299999999999998</v>
          </cell>
          <cell r="G254">
            <v>36.96</v>
          </cell>
          <cell r="H254">
            <v>38.99</v>
          </cell>
          <cell r="I254">
            <v>2.0299999999999998</v>
          </cell>
          <cell r="J254">
            <v>36.96</v>
          </cell>
          <cell r="K254">
            <v>38.99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F255">
            <v>2.23</v>
          </cell>
          <cell r="G255">
            <v>45.77</v>
          </cell>
          <cell r="H255">
            <v>48</v>
          </cell>
          <cell r="I255">
            <v>2.23</v>
          </cell>
          <cell r="J255">
            <v>45.77</v>
          </cell>
          <cell r="K255">
            <v>48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F256">
            <v>2.4300000000000002</v>
          </cell>
          <cell r="G256">
            <v>53.07</v>
          </cell>
          <cell r="H256">
            <v>55.5</v>
          </cell>
          <cell r="I256">
            <v>2.4300000000000002</v>
          </cell>
          <cell r="J256">
            <v>53.07</v>
          </cell>
          <cell r="K256">
            <v>55.5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8</v>
          </cell>
        </row>
        <row r="257">
          <cell r="A257">
            <v>0</v>
          </cell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F257">
            <v>7.0000000000000007E-2</v>
          </cell>
          <cell r="G257">
            <v>7.0000000000000007E-2</v>
          </cell>
          <cell r="H257">
            <v>2</v>
          </cell>
          <cell r="I257">
            <v>7.0000000000000007E-2</v>
          </cell>
          <cell r="J257">
            <v>0</v>
          </cell>
          <cell r="K257">
            <v>7.0000000000000007E-2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F258">
            <v>7.0000000000000007E-2</v>
          </cell>
          <cell r="G258">
            <v>7.0000000000000007E-2</v>
          </cell>
          <cell r="H258">
            <v>2</v>
          </cell>
          <cell r="I258">
            <v>7.0000000000000007E-2</v>
          </cell>
          <cell r="J258">
            <v>0</v>
          </cell>
          <cell r="K258">
            <v>7.0000000000000007E-2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F259">
            <v>7.0000000000000007E-2</v>
          </cell>
          <cell r="G259">
            <v>7.0000000000000007E-2</v>
          </cell>
          <cell r="H259">
            <v>2</v>
          </cell>
          <cell r="I259">
            <v>7.0000000000000007E-2</v>
          </cell>
          <cell r="J259">
            <v>0</v>
          </cell>
          <cell r="K259">
            <v>7.0000000000000007E-2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F260">
            <v>7.0000000000000007E-2</v>
          </cell>
          <cell r="G260">
            <v>7.0000000000000007E-2</v>
          </cell>
          <cell r="H260">
            <v>2</v>
          </cell>
          <cell r="I260">
            <v>7.0000000000000007E-2</v>
          </cell>
          <cell r="J260">
            <v>0</v>
          </cell>
          <cell r="K260">
            <v>7.0000000000000007E-2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2</v>
          </cell>
        </row>
        <row r="261">
          <cell r="A261">
            <v>0</v>
          </cell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F261">
            <v>7.0000000000000007E-2</v>
          </cell>
          <cell r="G261">
            <v>7.0000000000000007E-2</v>
          </cell>
          <cell r="H261">
            <v>2</v>
          </cell>
          <cell r="I261">
            <v>7.0000000000000007E-2</v>
          </cell>
          <cell r="J261">
            <v>0</v>
          </cell>
          <cell r="K261">
            <v>7.0000000000000007E-2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2</v>
          </cell>
          <cell r="Q261">
            <v>0</v>
          </cell>
          <cell r="R261">
            <v>0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F262">
            <v>7.0000000000000007E-2</v>
          </cell>
          <cell r="G262">
            <v>7.0000000000000007E-2</v>
          </cell>
          <cell r="H262">
            <v>2</v>
          </cell>
          <cell r="I262">
            <v>7.0000000000000007E-2</v>
          </cell>
          <cell r="J262">
            <v>0</v>
          </cell>
          <cell r="K262">
            <v>7.0000000000000007E-2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F263">
            <v>7.0000000000000007E-2</v>
          </cell>
          <cell r="G263">
            <v>0</v>
          </cell>
          <cell r="H263">
            <v>7.0000000000000007E-2</v>
          </cell>
          <cell r="I263">
            <v>7.0000000000000007E-2</v>
          </cell>
          <cell r="J263">
            <v>0</v>
          </cell>
          <cell r="K263">
            <v>7.0000000000000007E-2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F264">
            <v>7.0000000000000007E-2</v>
          </cell>
          <cell r="G264">
            <v>0</v>
          </cell>
          <cell r="H264">
            <v>7.0000000000000007E-2</v>
          </cell>
          <cell r="I264">
            <v>7.0000000000000007E-2</v>
          </cell>
          <cell r="J264">
            <v>0</v>
          </cell>
          <cell r="K264">
            <v>7.0000000000000007E-2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F265">
            <v>7.0000000000000007E-2</v>
          </cell>
          <cell r="G265">
            <v>0</v>
          </cell>
          <cell r="H265">
            <v>7.0000000000000007E-2</v>
          </cell>
          <cell r="I265">
            <v>7.0000000000000007E-2</v>
          </cell>
          <cell r="J265">
            <v>0</v>
          </cell>
          <cell r="K265">
            <v>7.0000000000000007E-2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F266">
            <v>7.0000000000000007E-2</v>
          </cell>
          <cell r="G266">
            <v>0</v>
          </cell>
          <cell r="H266">
            <v>7.0000000000000007E-2</v>
          </cell>
          <cell r="I266">
            <v>7.0000000000000007E-2</v>
          </cell>
          <cell r="J266">
            <v>0</v>
          </cell>
          <cell r="K266">
            <v>7.0000000000000007E-2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F267">
            <v>7.0000000000000007E-2</v>
          </cell>
          <cell r="G267">
            <v>0</v>
          </cell>
          <cell r="H267">
            <v>7.0000000000000007E-2</v>
          </cell>
          <cell r="I267">
            <v>7.0000000000000007E-2</v>
          </cell>
          <cell r="J267">
            <v>0</v>
          </cell>
          <cell r="K267">
            <v>7.0000000000000007E-2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F268">
            <v>7.0000000000000007E-2</v>
          </cell>
          <cell r="G268">
            <v>0</v>
          </cell>
          <cell r="H268">
            <v>7.0000000000000007E-2</v>
          </cell>
          <cell r="I268">
            <v>7.0000000000000007E-2</v>
          </cell>
          <cell r="J268">
            <v>0</v>
          </cell>
          <cell r="K268">
            <v>7.0000000000000007E-2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F269">
            <v>7.0000000000000007E-2</v>
          </cell>
          <cell r="G269">
            <v>0</v>
          </cell>
          <cell r="H269">
            <v>0</v>
          </cell>
          <cell r="I269">
            <v>7.0000000000000007E-2</v>
          </cell>
          <cell r="J269">
            <v>0</v>
          </cell>
          <cell r="K269">
            <v>7.0000000000000007E-2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2</v>
          </cell>
          <cell r="R269">
            <v>0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F270">
            <v>7.0000000000000007E-2</v>
          </cell>
          <cell r="G270">
            <v>0</v>
          </cell>
          <cell r="H270">
            <v>7.0000000000000007E-2</v>
          </cell>
          <cell r="I270">
            <v>7.0000000000000007E-2</v>
          </cell>
          <cell r="J270">
            <v>0</v>
          </cell>
          <cell r="K270">
            <v>7.0000000000000007E-2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F271">
            <v>7.0000000000000007E-2</v>
          </cell>
          <cell r="G271">
            <v>0</v>
          </cell>
          <cell r="H271">
            <v>7.0000000000000007E-2</v>
          </cell>
          <cell r="I271">
            <v>7.0000000000000007E-2</v>
          </cell>
          <cell r="J271">
            <v>0</v>
          </cell>
          <cell r="K271">
            <v>7.0000000000000007E-2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2</v>
          </cell>
          <cell r="Q271">
            <v>0</v>
          </cell>
          <cell r="R271">
            <v>0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F272">
            <v>0.15</v>
          </cell>
          <cell r="G272">
            <v>0</v>
          </cell>
          <cell r="H272">
            <v>0.15</v>
          </cell>
          <cell r="I272">
            <v>0.15</v>
          </cell>
          <cell r="J272">
            <v>0</v>
          </cell>
          <cell r="K272">
            <v>0.15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F273">
            <v>0.15</v>
          </cell>
          <cell r="G273">
            <v>0</v>
          </cell>
          <cell r="H273">
            <v>0.15</v>
          </cell>
          <cell r="I273">
            <v>0.15</v>
          </cell>
          <cell r="J273">
            <v>0</v>
          </cell>
          <cell r="K273">
            <v>0.15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F274">
            <v>0.15</v>
          </cell>
          <cell r="G274">
            <v>0</v>
          </cell>
          <cell r="H274">
            <v>0.15</v>
          </cell>
          <cell r="I274">
            <v>0.15</v>
          </cell>
          <cell r="J274">
            <v>0</v>
          </cell>
          <cell r="K274">
            <v>0.15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F275">
            <v>0.13</v>
          </cell>
          <cell r="G275">
            <v>0.17</v>
          </cell>
          <cell r="H275">
            <v>0.30000000000000004</v>
          </cell>
          <cell r="I275">
            <v>0.13</v>
          </cell>
          <cell r="J275">
            <v>0.17</v>
          </cell>
          <cell r="K275">
            <v>0.30000000000000004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F276">
            <v>0.13</v>
          </cell>
          <cell r="G276">
            <v>0.17</v>
          </cell>
          <cell r="H276">
            <v>0.30000000000000004</v>
          </cell>
          <cell r="I276">
            <v>0.13</v>
          </cell>
          <cell r="J276">
            <v>0.17</v>
          </cell>
          <cell r="K276">
            <v>0.30000000000000004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F277">
            <v>0.13</v>
          </cell>
          <cell r="G277">
            <v>0.17</v>
          </cell>
          <cell r="H277">
            <v>0.30000000000000004</v>
          </cell>
          <cell r="I277">
            <v>0.13</v>
          </cell>
          <cell r="J277">
            <v>0.17</v>
          </cell>
          <cell r="K277">
            <v>0.30000000000000004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F278">
            <v>0.15</v>
          </cell>
          <cell r="G278">
            <v>0.15</v>
          </cell>
          <cell r="H278">
            <v>0.3</v>
          </cell>
          <cell r="I278">
            <v>0.15</v>
          </cell>
          <cell r="J278">
            <v>0.15</v>
          </cell>
          <cell r="K278">
            <v>0.3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F279">
            <v>0.15</v>
          </cell>
          <cell r="G279">
            <v>0.15</v>
          </cell>
          <cell r="H279">
            <v>0.3</v>
          </cell>
          <cell r="I279">
            <v>0.15</v>
          </cell>
          <cell r="J279">
            <v>0.15</v>
          </cell>
          <cell r="K279">
            <v>0.3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F280">
            <v>0.15</v>
          </cell>
          <cell r="G280">
            <v>0.15</v>
          </cell>
          <cell r="H280">
            <v>0.3</v>
          </cell>
          <cell r="I280">
            <v>0.15</v>
          </cell>
          <cell r="J280">
            <v>0.15</v>
          </cell>
          <cell r="K280">
            <v>0.3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F281">
            <v>0.2</v>
          </cell>
          <cell r="G281">
            <v>0.25</v>
          </cell>
          <cell r="H281">
            <v>0.45</v>
          </cell>
          <cell r="I281">
            <v>0.2</v>
          </cell>
          <cell r="J281">
            <v>0.25</v>
          </cell>
          <cell r="K281">
            <v>0.45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F282">
            <v>0.2</v>
          </cell>
          <cell r="G282">
            <v>0.25</v>
          </cell>
          <cell r="H282">
            <v>0.45</v>
          </cell>
          <cell r="I282">
            <v>0.2</v>
          </cell>
          <cell r="J282">
            <v>0.25</v>
          </cell>
          <cell r="K282">
            <v>0.45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F283">
            <v>0.2</v>
          </cell>
          <cell r="G283">
            <v>0.25</v>
          </cell>
          <cell r="H283">
            <v>0.45</v>
          </cell>
          <cell r="I283">
            <v>0.2</v>
          </cell>
          <cell r="J283">
            <v>0.25</v>
          </cell>
          <cell r="K283">
            <v>0.45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F284">
            <v>0.25</v>
          </cell>
          <cell r="G284">
            <v>0.5</v>
          </cell>
          <cell r="H284">
            <v>0.75</v>
          </cell>
          <cell r="I284">
            <v>0.25</v>
          </cell>
          <cell r="J284">
            <v>0.5</v>
          </cell>
          <cell r="K284">
            <v>0.75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F285">
            <v>0.3</v>
          </cell>
          <cell r="G285">
            <v>0.6</v>
          </cell>
          <cell r="H285">
            <v>0.89999999999999991</v>
          </cell>
          <cell r="I285">
            <v>0.3</v>
          </cell>
          <cell r="J285">
            <v>0.6</v>
          </cell>
          <cell r="K285">
            <v>0.89999999999999991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F286">
            <v>0.35</v>
          </cell>
          <cell r="G286">
            <v>0.85</v>
          </cell>
          <cell r="H286">
            <v>1.2</v>
          </cell>
          <cell r="I286">
            <v>0.35</v>
          </cell>
          <cell r="J286">
            <v>0.85</v>
          </cell>
          <cell r="K286">
            <v>1.2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3</v>
          </cell>
        </row>
        <row r="287">
          <cell r="A287" t="str">
            <v>80S</v>
          </cell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F287">
            <v>0.41</v>
          </cell>
          <cell r="G287">
            <v>0.93</v>
          </cell>
          <cell r="H287">
            <v>1.34</v>
          </cell>
          <cell r="I287">
            <v>0.41</v>
          </cell>
          <cell r="J287">
            <v>0.93</v>
          </cell>
          <cell r="K287">
            <v>1.34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F288">
            <v>0.51</v>
          </cell>
          <cell r="G288">
            <v>1.59</v>
          </cell>
          <cell r="H288">
            <v>2.1</v>
          </cell>
          <cell r="I288">
            <v>0.51</v>
          </cell>
          <cell r="J288">
            <v>1.59</v>
          </cell>
          <cell r="K288">
            <v>2.1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F289">
            <v>0.61</v>
          </cell>
          <cell r="G289">
            <v>2.69</v>
          </cell>
          <cell r="H289">
            <v>3.3</v>
          </cell>
          <cell r="I289">
            <v>0.61</v>
          </cell>
          <cell r="J289">
            <v>2.69</v>
          </cell>
          <cell r="K289">
            <v>3.3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F290">
            <v>0.81</v>
          </cell>
          <cell r="G290">
            <v>4.58</v>
          </cell>
          <cell r="H290">
            <v>5.3900000000000006</v>
          </cell>
          <cell r="I290">
            <v>0.81</v>
          </cell>
          <cell r="J290">
            <v>4.58</v>
          </cell>
          <cell r="K290">
            <v>5.3900000000000006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F291">
            <v>1.01</v>
          </cell>
          <cell r="G291">
            <v>5.74</v>
          </cell>
          <cell r="H291">
            <v>6.75</v>
          </cell>
          <cell r="I291">
            <v>1.01</v>
          </cell>
          <cell r="J291">
            <v>5.74</v>
          </cell>
          <cell r="K291">
            <v>6.75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F292">
            <v>1.22</v>
          </cell>
          <cell r="G292">
            <v>6.73</v>
          </cell>
          <cell r="H292">
            <v>7.95</v>
          </cell>
          <cell r="I292">
            <v>1.22</v>
          </cell>
          <cell r="J292">
            <v>6.73</v>
          </cell>
          <cell r="K292">
            <v>7.95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F293">
            <v>0.81</v>
          </cell>
          <cell r="G293">
            <v>6.09</v>
          </cell>
          <cell r="H293">
            <v>6.9</v>
          </cell>
          <cell r="I293">
            <v>0.81</v>
          </cell>
          <cell r="J293">
            <v>6.09</v>
          </cell>
          <cell r="K293">
            <v>6.9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F294">
            <v>1.01</v>
          </cell>
          <cell r="G294">
            <v>11.44</v>
          </cell>
          <cell r="H294">
            <v>12.45</v>
          </cell>
          <cell r="I294">
            <v>1.01</v>
          </cell>
          <cell r="J294">
            <v>11.44</v>
          </cell>
          <cell r="K294">
            <v>12.45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F295">
            <v>1.22</v>
          </cell>
          <cell r="G295">
            <v>15.28</v>
          </cell>
          <cell r="H295">
            <v>16.5</v>
          </cell>
          <cell r="I295">
            <v>1.22</v>
          </cell>
          <cell r="J295">
            <v>15.28</v>
          </cell>
          <cell r="K295">
            <v>16.5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F296">
            <v>1.42</v>
          </cell>
          <cell r="G296">
            <v>21.07</v>
          </cell>
          <cell r="H296">
            <v>22.490000000000002</v>
          </cell>
          <cell r="I296">
            <v>1.42</v>
          </cell>
          <cell r="J296">
            <v>21.07</v>
          </cell>
          <cell r="K296">
            <v>22.490000000000002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F297">
            <v>1.62</v>
          </cell>
          <cell r="G297">
            <v>28.38</v>
          </cell>
          <cell r="H297">
            <v>30</v>
          </cell>
          <cell r="I297">
            <v>1.62</v>
          </cell>
          <cell r="J297">
            <v>28.38</v>
          </cell>
          <cell r="K297">
            <v>30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F298">
            <v>1.82</v>
          </cell>
          <cell r="G298">
            <v>37.17</v>
          </cell>
          <cell r="H298">
            <v>38.99</v>
          </cell>
          <cell r="I298">
            <v>1.82</v>
          </cell>
          <cell r="J298">
            <v>37.17</v>
          </cell>
          <cell r="K298">
            <v>38.99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F299">
            <v>2.0299999999999998</v>
          </cell>
          <cell r="G299">
            <v>45.97</v>
          </cell>
          <cell r="H299">
            <v>48</v>
          </cell>
          <cell r="I299">
            <v>2.0299999999999998</v>
          </cell>
          <cell r="J299">
            <v>45.97</v>
          </cell>
          <cell r="K299">
            <v>48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F300">
            <v>2.23</v>
          </cell>
          <cell r="G300">
            <v>65.27</v>
          </cell>
          <cell r="H300">
            <v>67.5</v>
          </cell>
          <cell r="I300">
            <v>2.23</v>
          </cell>
          <cell r="J300">
            <v>65.27</v>
          </cell>
          <cell r="K300">
            <v>67.5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F301">
            <v>2.4300000000000002</v>
          </cell>
          <cell r="G301">
            <v>75.56</v>
          </cell>
          <cell r="H301">
            <v>77.990000000000009</v>
          </cell>
          <cell r="I301">
            <v>2.4300000000000002</v>
          </cell>
          <cell r="J301">
            <v>75.56</v>
          </cell>
          <cell r="K301">
            <v>77.990000000000009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F302">
            <v>0.41</v>
          </cell>
          <cell r="G302">
            <v>1.84</v>
          </cell>
          <cell r="H302">
            <v>2.25</v>
          </cell>
          <cell r="I302">
            <v>0.41</v>
          </cell>
          <cell r="J302">
            <v>1.84</v>
          </cell>
          <cell r="K302">
            <v>2.25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F303">
            <v>0.51</v>
          </cell>
          <cell r="G303">
            <v>2.94</v>
          </cell>
          <cell r="H303">
            <v>3.45</v>
          </cell>
          <cell r="I303">
            <v>0.51</v>
          </cell>
          <cell r="J303">
            <v>2.94</v>
          </cell>
          <cell r="K303">
            <v>3.45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F304">
            <v>0.61</v>
          </cell>
          <cell r="G304">
            <v>4.1900000000000004</v>
          </cell>
          <cell r="H304">
            <v>4.8000000000000007</v>
          </cell>
          <cell r="I304">
            <v>0.61</v>
          </cell>
          <cell r="J304">
            <v>4.1900000000000004</v>
          </cell>
          <cell r="K304">
            <v>4.8000000000000007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F305">
            <v>0.81</v>
          </cell>
          <cell r="G305">
            <v>9.23</v>
          </cell>
          <cell r="H305">
            <v>10.040000000000001</v>
          </cell>
          <cell r="I305">
            <v>0.81</v>
          </cell>
          <cell r="J305">
            <v>9.23</v>
          </cell>
          <cell r="K305">
            <v>10.040000000000001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F306">
            <v>1.01</v>
          </cell>
          <cell r="G306">
            <v>12.49</v>
          </cell>
          <cell r="H306">
            <v>13.5</v>
          </cell>
          <cell r="I306">
            <v>1.01</v>
          </cell>
          <cell r="J306">
            <v>12.49</v>
          </cell>
          <cell r="K306">
            <v>13.5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F307">
            <v>1.22</v>
          </cell>
          <cell r="G307">
            <v>21.27</v>
          </cell>
          <cell r="H307">
            <v>22.49</v>
          </cell>
          <cell r="I307">
            <v>1.22</v>
          </cell>
          <cell r="J307">
            <v>21.27</v>
          </cell>
          <cell r="K307">
            <v>22.49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F308">
            <v>1.42</v>
          </cell>
          <cell r="G308">
            <v>25.58</v>
          </cell>
          <cell r="H308">
            <v>27</v>
          </cell>
          <cell r="I308">
            <v>1.42</v>
          </cell>
          <cell r="J308">
            <v>25.58</v>
          </cell>
          <cell r="K308">
            <v>27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F309">
            <v>1.62</v>
          </cell>
          <cell r="G309">
            <v>35.880000000000003</v>
          </cell>
          <cell r="H309">
            <v>37.5</v>
          </cell>
          <cell r="I309">
            <v>1.62</v>
          </cell>
          <cell r="J309">
            <v>35.880000000000003</v>
          </cell>
          <cell r="K309">
            <v>37.5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F310">
            <v>1.82</v>
          </cell>
          <cell r="G310">
            <v>47.68</v>
          </cell>
          <cell r="H310">
            <v>49.5</v>
          </cell>
          <cell r="I310">
            <v>1.82</v>
          </cell>
          <cell r="J310">
            <v>47.68</v>
          </cell>
          <cell r="K310">
            <v>49.5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F311">
            <v>2.0299999999999998</v>
          </cell>
          <cell r="G311">
            <v>62.47</v>
          </cell>
          <cell r="H311">
            <v>64.5</v>
          </cell>
          <cell r="I311">
            <v>2.0299999999999998</v>
          </cell>
          <cell r="J311">
            <v>62.47</v>
          </cell>
          <cell r="K311">
            <v>64.5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F312">
            <v>2.23</v>
          </cell>
          <cell r="G312">
            <v>84.76</v>
          </cell>
          <cell r="H312">
            <v>86.990000000000009</v>
          </cell>
          <cell r="I312">
            <v>2.23</v>
          </cell>
          <cell r="J312">
            <v>84.76</v>
          </cell>
          <cell r="K312">
            <v>86.990000000000009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F313">
            <v>2.4300000000000002</v>
          </cell>
          <cell r="G313">
            <v>98.07</v>
          </cell>
          <cell r="H313">
            <v>100.5</v>
          </cell>
          <cell r="I313">
            <v>2.4300000000000002</v>
          </cell>
          <cell r="J313">
            <v>98.07</v>
          </cell>
          <cell r="K313">
            <v>100.5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8</v>
          </cell>
          <cell r="Q313">
            <v>0</v>
          </cell>
          <cell r="R313">
            <v>0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F314">
            <v>0.81</v>
          </cell>
          <cell r="G314">
            <v>10.130000000000001</v>
          </cell>
          <cell r="H314">
            <v>10.940000000000001</v>
          </cell>
          <cell r="I314">
            <v>0.81</v>
          </cell>
          <cell r="J314">
            <v>10.130000000000001</v>
          </cell>
          <cell r="K314">
            <v>10.940000000000001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F315">
            <v>1.01</v>
          </cell>
          <cell r="G315">
            <v>18.48</v>
          </cell>
          <cell r="H315">
            <v>19.490000000000002</v>
          </cell>
          <cell r="I315">
            <v>1.01</v>
          </cell>
          <cell r="J315">
            <v>18.48</v>
          </cell>
          <cell r="K315">
            <v>19.490000000000002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F316">
            <v>1.22</v>
          </cell>
          <cell r="G316">
            <v>25.78</v>
          </cell>
          <cell r="H316">
            <v>27</v>
          </cell>
          <cell r="I316">
            <v>1.22</v>
          </cell>
          <cell r="J316">
            <v>25.78</v>
          </cell>
          <cell r="K316">
            <v>27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F317">
            <v>1.42</v>
          </cell>
          <cell r="G317">
            <v>31.58</v>
          </cell>
          <cell r="H317">
            <v>33</v>
          </cell>
          <cell r="I317">
            <v>1.42</v>
          </cell>
          <cell r="J317">
            <v>31.58</v>
          </cell>
          <cell r="K317">
            <v>33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F318">
            <v>1.62</v>
          </cell>
          <cell r="G318">
            <v>44.87</v>
          </cell>
          <cell r="H318">
            <v>46.489999999999995</v>
          </cell>
          <cell r="I318">
            <v>1.62</v>
          </cell>
          <cell r="J318">
            <v>44.87</v>
          </cell>
          <cell r="K318">
            <v>46.489999999999995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F319">
            <v>1.82</v>
          </cell>
          <cell r="G319">
            <v>59.68</v>
          </cell>
          <cell r="H319">
            <v>61.5</v>
          </cell>
          <cell r="I319">
            <v>1.82</v>
          </cell>
          <cell r="J319">
            <v>59.68</v>
          </cell>
          <cell r="K319">
            <v>61.5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F320">
            <v>2.0299999999999998</v>
          </cell>
          <cell r="G320">
            <v>78.959999999999994</v>
          </cell>
          <cell r="H320">
            <v>80.989999999999995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F321">
            <v>2.23</v>
          </cell>
          <cell r="G321">
            <v>108.77</v>
          </cell>
          <cell r="H321">
            <v>111</v>
          </cell>
          <cell r="I321">
            <v>2.23</v>
          </cell>
          <cell r="J321">
            <v>108.77</v>
          </cell>
          <cell r="K321">
            <v>111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F322">
            <v>2.4300000000000002</v>
          </cell>
          <cell r="G322">
            <v>126.57</v>
          </cell>
          <cell r="H322">
            <v>129</v>
          </cell>
          <cell r="I322">
            <v>2.4300000000000002</v>
          </cell>
          <cell r="J322">
            <v>126.57</v>
          </cell>
          <cell r="K322">
            <v>129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F323">
            <v>7.0000000000000007E-2</v>
          </cell>
          <cell r="G323">
            <v>0.08</v>
          </cell>
          <cell r="H323">
            <v>0.15000000000000002</v>
          </cell>
          <cell r="I323">
            <v>7.0000000000000007E-2</v>
          </cell>
          <cell r="J323">
            <v>0.08</v>
          </cell>
          <cell r="K323">
            <v>0.15000000000000002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F324">
            <v>7.0000000000000007E-2</v>
          </cell>
          <cell r="G324">
            <v>0.08</v>
          </cell>
          <cell r="H324">
            <v>0.15000000000000002</v>
          </cell>
          <cell r="I324">
            <v>7.0000000000000007E-2</v>
          </cell>
          <cell r="J324">
            <v>0.08</v>
          </cell>
          <cell r="K324">
            <v>0.15000000000000002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F325">
            <v>7.0000000000000007E-2</v>
          </cell>
          <cell r="G325">
            <v>0.08</v>
          </cell>
          <cell r="H325">
            <v>0.15000000000000002</v>
          </cell>
          <cell r="I325">
            <v>7.0000000000000007E-2</v>
          </cell>
          <cell r="J325">
            <v>0.08</v>
          </cell>
          <cell r="K325">
            <v>0.15000000000000002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F326">
            <v>0.08</v>
          </cell>
          <cell r="G326">
            <v>7.0000000000000007E-2</v>
          </cell>
          <cell r="H326">
            <v>0.15000000000000002</v>
          </cell>
          <cell r="I326">
            <v>0.08</v>
          </cell>
          <cell r="J326">
            <v>7.0000000000000007E-2</v>
          </cell>
          <cell r="K326">
            <v>0.15000000000000002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F327">
            <v>0.08</v>
          </cell>
          <cell r="G327">
            <v>7.0000000000000007E-2</v>
          </cell>
          <cell r="H327">
            <v>0.15000000000000002</v>
          </cell>
          <cell r="I327">
            <v>0.08</v>
          </cell>
          <cell r="J327">
            <v>7.0000000000000007E-2</v>
          </cell>
          <cell r="K327">
            <v>0.15000000000000002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F328">
            <v>0.08</v>
          </cell>
          <cell r="G328">
            <v>7.0000000000000007E-2</v>
          </cell>
          <cell r="H328">
            <v>0.15000000000000002</v>
          </cell>
          <cell r="I328">
            <v>0.08</v>
          </cell>
          <cell r="J328">
            <v>7.0000000000000007E-2</v>
          </cell>
          <cell r="K328">
            <v>0.15000000000000002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F329">
            <v>0.1</v>
          </cell>
          <cell r="G329">
            <v>0.35</v>
          </cell>
          <cell r="H329">
            <v>0.44999999999999996</v>
          </cell>
          <cell r="I329">
            <v>0.1</v>
          </cell>
          <cell r="J329">
            <v>0.35</v>
          </cell>
          <cell r="K329">
            <v>0.44999999999999996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F330">
            <v>0.1</v>
          </cell>
          <cell r="G330">
            <v>0.35</v>
          </cell>
          <cell r="H330">
            <v>0.44999999999999996</v>
          </cell>
          <cell r="I330">
            <v>0.1</v>
          </cell>
          <cell r="J330">
            <v>0.35</v>
          </cell>
          <cell r="K330">
            <v>0.44999999999999996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F331">
            <v>0.1</v>
          </cell>
          <cell r="G331">
            <v>0.35</v>
          </cell>
          <cell r="H331">
            <v>0.44999999999999996</v>
          </cell>
          <cell r="I331">
            <v>0.1</v>
          </cell>
          <cell r="J331">
            <v>0.35</v>
          </cell>
          <cell r="K331">
            <v>0.44999999999999996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F332">
            <v>0.13</v>
          </cell>
          <cell r="G332">
            <v>0.32</v>
          </cell>
          <cell r="H332">
            <v>0.45</v>
          </cell>
          <cell r="I332">
            <v>0.13</v>
          </cell>
          <cell r="J332">
            <v>0.32</v>
          </cell>
          <cell r="K332">
            <v>0.45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F333">
            <v>0.13</v>
          </cell>
          <cell r="G333">
            <v>0.32</v>
          </cell>
          <cell r="H333">
            <v>0.45</v>
          </cell>
          <cell r="I333">
            <v>0.13</v>
          </cell>
          <cell r="J333">
            <v>0.32</v>
          </cell>
          <cell r="K333">
            <v>0.45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F334">
            <v>0.13</v>
          </cell>
          <cell r="G334">
            <v>0.32</v>
          </cell>
          <cell r="H334">
            <v>0.45</v>
          </cell>
          <cell r="I334">
            <v>0.13</v>
          </cell>
          <cell r="J334">
            <v>0.32</v>
          </cell>
          <cell r="K334">
            <v>0.45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F335">
            <v>0.15</v>
          </cell>
          <cell r="G335">
            <v>0.45</v>
          </cell>
          <cell r="H335">
            <v>0.6</v>
          </cell>
          <cell r="I335">
            <v>0.15</v>
          </cell>
          <cell r="J335">
            <v>0.45</v>
          </cell>
          <cell r="K335">
            <v>0.6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F336">
            <v>0.15</v>
          </cell>
          <cell r="G336">
            <v>0.45</v>
          </cell>
          <cell r="H336">
            <v>0.6</v>
          </cell>
          <cell r="I336">
            <v>0.15</v>
          </cell>
          <cell r="J336">
            <v>0.45</v>
          </cell>
          <cell r="K336">
            <v>0.6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F337">
            <v>0.15</v>
          </cell>
          <cell r="G337">
            <v>0.45</v>
          </cell>
          <cell r="H337">
            <v>0.6</v>
          </cell>
          <cell r="I337">
            <v>0.15</v>
          </cell>
          <cell r="J337">
            <v>0.45</v>
          </cell>
          <cell r="K337">
            <v>0.6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F338">
            <v>0.2</v>
          </cell>
          <cell r="G338">
            <v>0.7</v>
          </cell>
          <cell r="H338">
            <v>0.89999999999999991</v>
          </cell>
          <cell r="I338">
            <v>0.2</v>
          </cell>
          <cell r="J338">
            <v>0.7</v>
          </cell>
          <cell r="K338">
            <v>0.89999999999999991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F339">
            <v>0.2</v>
          </cell>
          <cell r="G339">
            <v>0.7</v>
          </cell>
          <cell r="H339">
            <v>0.89999999999999991</v>
          </cell>
          <cell r="I339">
            <v>0.2</v>
          </cell>
          <cell r="J339">
            <v>0.7</v>
          </cell>
          <cell r="K339">
            <v>0.89999999999999991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F340">
            <v>0.2</v>
          </cell>
          <cell r="G340">
            <v>0.7</v>
          </cell>
          <cell r="H340">
            <v>0.89999999999999991</v>
          </cell>
          <cell r="I340">
            <v>0.2</v>
          </cell>
          <cell r="J340">
            <v>0.7</v>
          </cell>
          <cell r="K340">
            <v>0.89999999999999991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F341">
            <v>0.25</v>
          </cell>
          <cell r="G341">
            <v>0.8</v>
          </cell>
          <cell r="H341">
            <v>1.05</v>
          </cell>
          <cell r="I341">
            <v>0.25</v>
          </cell>
          <cell r="J341">
            <v>0.8</v>
          </cell>
          <cell r="K341">
            <v>1.05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F342">
            <v>0.3</v>
          </cell>
          <cell r="G342">
            <v>1.5</v>
          </cell>
          <cell r="H342">
            <v>1.8</v>
          </cell>
          <cell r="I342">
            <v>0.3</v>
          </cell>
          <cell r="J342">
            <v>1.5</v>
          </cell>
          <cell r="K342">
            <v>1.8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F343">
            <v>0.41</v>
          </cell>
          <cell r="G343">
            <v>2.59</v>
          </cell>
          <cell r="H343">
            <v>3</v>
          </cell>
          <cell r="I343">
            <v>0.41</v>
          </cell>
          <cell r="J343">
            <v>2.59</v>
          </cell>
          <cell r="K343">
            <v>3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F344">
            <v>0</v>
          </cell>
          <cell r="G344">
            <v>4.29</v>
          </cell>
          <cell r="H344">
            <v>4.8</v>
          </cell>
          <cell r="I344">
            <v>0.51</v>
          </cell>
          <cell r="J344">
            <v>4.29</v>
          </cell>
          <cell r="K344">
            <v>4.8</v>
          </cell>
          <cell r="L344">
            <v>4</v>
          </cell>
          <cell r="M344">
            <v>0</v>
          </cell>
          <cell r="N344">
            <v>0</v>
          </cell>
          <cell r="O344">
            <v>160</v>
          </cell>
          <cell r="P344">
            <v>4</v>
          </cell>
          <cell r="Q344">
            <v>0</v>
          </cell>
          <cell r="R344">
            <v>7.2784507436844332E-312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F345">
            <v>0.61</v>
          </cell>
          <cell r="G345">
            <v>7.04</v>
          </cell>
          <cell r="H345">
            <v>7.65</v>
          </cell>
          <cell r="I345">
            <v>0.61</v>
          </cell>
          <cell r="J345">
            <v>7.04</v>
          </cell>
          <cell r="K345">
            <v>7.65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F346">
            <v>0.81</v>
          </cell>
          <cell r="G346">
            <v>11.19</v>
          </cell>
          <cell r="H346">
            <v>12</v>
          </cell>
          <cell r="I346">
            <v>0.81</v>
          </cell>
          <cell r="J346">
            <v>11.19</v>
          </cell>
          <cell r="K346">
            <v>12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F347">
            <v>1.01</v>
          </cell>
          <cell r="G347">
            <v>21.48</v>
          </cell>
          <cell r="H347">
            <v>22.490000000000002</v>
          </cell>
          <cell r="I347">
            <v>1.01</v>
          </cell>
          <cell r="J347">
            <v>21.48</v>
          </cell>
          <cell r="K347">
            <v>22.490000000000002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F348">
            <v>1.22</v>
          </cell>
          <cell r="G348">
            <v>31.78</v>
          </cell>
          <cell r="H348">
            <v>33</v>
          </cell>
          <cell r="I348">
            <v>1.22</v>
          </cell>
          <cell r="J348">
            <v>31.78</v>
          </cell>
          <cell r="K348">
            <v>33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F349">
            <v>1.42</v>
          </cell>
          <cell r="G349">
            <v>39.07</v>
          </cell>
          <cell r="H349">
            <v>40.49</v>
          </cell>
          <cell r="I349">
            <v>1.42</v>
          </cell>
          <cell r="J349">
            <v>39.07</v>
          </cell>
          <cell r="K349">
            <v>40.49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6</v>
          </cell>
        </row>
        <row r="350">
          <cell r="A350">
            <v>160</v>
          </cell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F350">
            <v>1.62</v>
          </cell>
          <cell r="G350">
            <v>53.88</v>
          </cell>
          <cell r="H350">
            <v>55.5</v>
          </cell>
          <cell r="I350">
            <v>1.62</v>
          </cell>
          <cell r="J350">
            <v>53.88</v>
          </cell>
          <cell r="K350">
            <v>55.5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F351">
            <v>1.82</v>
          </cell>
          <cell r="G351">
            <v>71.680000000000007</v>
          </cell>
          <cell r="H351">
            <v>73.5</v>
          </cell>
          <cell r="I351">
            <v>1.82</v>
          </cell>
          <cell r="J351">
            <v>71.680000000000007</v>
          </cell>
          <cell r="K351">
            <v>73.5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F352">
            <v>2.0299999999999998</v>
          </cell>
          <cell r="G352">
            <v>93.97</v>
          </cell>
          <cell r="H352">
            <v>96</v>
          </cell>
          <cell r="I352">
            <v>2.0299999999999998</v>
          </cell>
          <cell r="J352">
            <v>93.97</v>
          </cell>
          <cell r="K352">
            <v>96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F353">
            <v>2.23</v>
          </cell>
          <cell r="G353">
            <v>132.77000000000001</v>
          </cell>
          <cell r="H353">
            <v>135</v>
          </cell>
          <cell r="I353">
            <v>2.23</v>
          </cell>
          <cell r="J353">
            <v>132.77000000000001</v>
          </cell>
          <cell r="K353">
            <v>135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F354">
            <v>2.4300000000000002</v>
          </cell>
          <cell r="G354">
            <v>162.56</v>
          </cell>
          <cell r="H354">
            <v>164.99</v>
          </cell>
          <cell r="I354">
            <v>2.4300000000000002</v>
          </cell>
          <cell r="J354">
            <v>162.56</v>
          </cell>
          <cell r="K354">
            <v>164.99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F355">
            <v>7.0000000000000007E-2</v>
          </cell>
          <cell r="G355">
            <v>7.0000000000000007E-2</v>
          </cell>
          <cell r="H355">
            <v>2</v>
          </cell>
          <cell r="I355">
            <v>7.0000000000000007E-2</v>
          </cell>
          <cell r="J355">
            <v>0</v>
          </cell>
          <cell r="K355">
            <v>7.0000000000000007E-2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F356">
            <v>7.0000000000000007E-2</v>
          </cell>
          <cell r="G356">
            <v>7.0000000000000007E-2</v>
          </cell>
          <cell r="H356">
            <v>2</v>
          </cell>
          <cell r="I356">
            <v>7.0000000000000007E-2</v>
          </cell>
          <cell r="J356">
            <v>0</v>
          </cell>
          <cell r="K356">
            <v>7.0000000000000007E-2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F357">
            <v>7.0000000000000007E-2</v>
          </cell>
          <cell r="G357">
            <v>7.0000000000000007E-2</v>
          </cell>
          <cell r="H357">
            <v>2</v>
          </cell>
          <cell r="I357">
            <v>7.0000000000000007E-2</v>
          </cell>
          <cell r="J357">
            <v>0</v>
          </cell>
          <cell r="K357">
            <v>7.0000000000000007E-2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F358">
            <v>7.0000000000000007E-2</v>
          </cell>
          <cell r="G358">
            <v>7.0000000000000007E-2</v>
          </cell>
          <cell r="H358">
            <v>2</v>
          </cell>
          <cell r="I358">
            <v>7.0000000000000007E-2</v>
          </cell>
          <cell r="J358">
            <v>0</v>
          </cell>
          <cell r="K358">
            <v>7.0000000000000007E-2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F359">
            <v>7.0000000000000007E-2</v>
          </cell>
          <cell r="G359">
            <v>7.0000000000000007E-2</v>
          </cell>
          <cell r="H359">
            <v>2</v>
          </cell>
          <cell r="I359">
            <v>7.0000000000000007E-2</v>
          </cell>
          <cell r="J359">
            <v>0</v>
          </cell>
          <cell r="K359">
            <v>7.0000000000000007E-2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F360">
            <v>7.0000000000000007E-2</v>
          </cell>
          <cell r="G360">
            <v>7.0000000000000007E-2</v>
          </cell>
          <cell r="H360">
            <v>2</v>
          </cell>
          <cell r="I360">
            <v>7.0000000000000007E-2</v>
          </cell>
          <cell r="J360">
            <v>0</v>
          </cell>
          <cell r="K360">
            <v>7.0000000000000007E-2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F361">
            <v>7.0000000000000007E-2</v>
          </cell>
          <cell r="G361">
            <v>0</v>
          </cell>
          <cell r="H361">
            <v>7.0000000000000007E-2</v>
          </cell>
          <cell r="I361">
            <v>7.0000000000000007E-2</v>
          </cell>
          <cell r="J361">
            <v>0</v>
          </cell>
          <cell r="K361">
            <v>7.0000000000000007E-2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F362">
            <v>7.0000000000000007E-2</v>
          </cell>
          <cell r="G362">
            <v>0</v>
          </cell>
          <cell r="H362">
            <v>7.0000000000000007E-2</v>
          </cell>
          <cell r="I362">
            <v>7.0000000000000007E-2</v>
          </cell>
          <cell r="J362">
            <v>0</v>
          </cell>
          <cell r="K362">
            <v>7.0000000000000007E-2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F363">
            <v>7.0000000000000007E-2</v>
          </cell>
          <cell r="G363">
            <v>0</v>
          </cell>
          <cell r="H363">
            <v>7.0000000000000007E-2</v>
          </cell>
          <cell r="I363">
            <v>7.0000000000000007E-2</v>
          </cell>
          <cell r="J363">
            <v>0</v>
          </cell>
          <cell r="K363">
            <v>7.0000000000000007E-2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F364">
            <v>7.0000000000000007E-2</v>
          </cell>
          <cell r="G364">
            <v>0</v>
          </cell>
          <cell r="H364">
            <v>7.0000000000000007E-2</v>
          </cell>
          <cell r="I364">
            <v>7.0000000000000007E-2</v>
          </cell>
          <cell r="J364">
            <v>0</v>
          </cell>
          <cell r="K364">
            <v>7.0000000000000007E-2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F365">
            <v>7.0000000000000007E-2</v>
          </cell>
          <cell r="G365">
            <v>0</v>
          </cell>
          <cell r="H365">
            <v>7.0000000000000007E-2</v>
          </cell>
          <cell r="I365">
            <v>7.0000000000000007E-2</v>
          </cell>
          <cell r="J365">
            <v>0</v>
          </cell>
          <cell r="K365">
            <v>7.0000000000000007E-2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F366">
            <v>7.0000000000000007E-2</v>
          </cell>
          <cell r="G366">
            <v>0</v>
          </cell>
          <cell r="H366">
            <v>7.0000000000000007E-2</v>
          </cell>
          <cell r="I366">
            <v>7.0000000000000007E-2</v>
          </cell>
          <cell r="J366">
            <v>0</v>
          </cell>
          <cell r="K366">
            <v>7.0000000000000007E-2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F367">
            <v>7.0000000000000007E-2</v>
          </cell>
          <cell r="G367">
            <v>0</v>
          </cell>
          <cell r="H367">
            <v>7.0000000000000007E-2</v>
          </cell>
          <cell r="I367">
            <v>7.0000000000000007E-2</v>
          </cell>
          <cell r="J367">
            <v>0</v>
          </cell>
          <cell r="K367">
            <v>7.0000000000000007E-2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F368">
            <v>7.0000000000000007E-2</v>
          </cell>
          <cell r="G368">
            <v>0</v>
          </cell>
          <cell r="H368">
            <v>7.0000000000000007E-2</v>
          </cell>
          <cell r="I368">
            <v>7.0000000000000007E-2</v>
          </cell>
          <cell r="J368">
            <v>0</v>
          </cell>
          <cell r="K368">
            <v>7.0000000000000007E-2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F369">
            <v>7.0000000000000007E-2</v>
          </cell>
          <cell r="G369">
            <v>0</v>
          </cell>
          <cell r="H369">
            <v>7.0000000000000007E-2</v>
          </cell>
          <cell r="I369">
            <v>7.0000000000000007E-2</v>
          </cell>
          <cell r="J369">
            <v>0</v>
          </cell>
          <cell r="K369">
            <v>7.0000000000000007E-2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F370">
            <v>0.12</v>
          </cell>
          <cell r="G370">
            <v>0</v>
          </cell>
          <cell r="H370">
            <v>0.12</v>
          </cell>
          <cell r="I370">
            <v>0.12</v>
          </cell>
          <cell r="J370">
            <v>0</v>
          </cell>
          <cell r="K370">
            <v>0.12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F371">
            <v>0.12</v>
          </cell>
          <cell r="G371">
            <v>0</v>
          </cell>
          <cell r="H371">
            <v>0.12</v>
          </cell>
          <cell r="I371">
            <v>0.12</v>
          </cell>
          <cell r="J371">
            <v>0</v>
          </cell>
          <cell r="K371">
            <v>0.12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F372">
            <v>0.12</v>
          </cell>
          <cell r="G372">
            <v>0</v>
          </cell>
          <cell r="H372">
            <v>0.12</v>
          </cell>
          <cell r="I372">
            <v>0.12</v>
          </cell>
          <cell r="J372">
            <v>0</v>
          </cell>
          <cell r="K372">
            <v>0.12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F373">
            <v>0.15</v>
          </cell>
          <cell r="G373">
            <v>0.15</v>
          </cell>
          <cell r="H373">
            <v>2</v>
          </cell>
          <cell r="I373">
            <v>0.15</v>
          </cell>
          <cell r="J373">
            <v>0</v>
          </cell>
          <cell r="K373">
            <v>0.15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F374">
            <v>0.15</v>
          </cell>
          <cell r="G374">
            <v>0.15</v>
          </cell>
          <cell r="H374">
            <v>2</v>
          </cell>
          <cell r="I374">
            <v>0.15</v>
          </cell>
          <cell r="J374">
            <v>0</v>
          </cell>
          <cell r="K374">
            <v>0.15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F375">
            <v>0.15</v>
          </cell>
          <cell r="G375">
            <v>0.15</v>
          </cell>
          <cell r="H375">
            <v>2</v>
          </cell>
          <cell r="I375">
            <v>0.15</v>
          </cell>
          <cell r="J375">
            <v>0</v>
          </cell>
          <cell r="K375">
            <v>0.15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F376">
            <v>0.15</v>
          </cell>
          <cell r="G376">
            <v>0</v>
          </cell>
          <cell r="H376">
            <v>0.15</v>
          </cell>
          <cell r="I376">
            <v>0.15</v>
          </cell>
          <cell r="J376">
            <v>0</v>
          </cell>
          <cell r="K376">
            <v>0.15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F377">
            <v>0.15</v>
          </cell>
          <cell r="G377">
            <v>0</v>
          </cell>
          <cell r="H377">
            <v>0.15</v>
          </cell>
          <cell r="I377">
            <v>0.15</v>
          </cell>
          <cell r="J377">
            <v>0</v>
          </cell>
          <cell r="K377">
            <v>0.15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F378">
            <v>0.15</v>
          </cell>
          <cell r="G378">
            <v>0</v>
          </cell>
          <cell r="H378">
            <v>0.15</v>
          </cell>
          <cell r="I378">
            <v>0.15</v>
          </cell>
          <cell r="J378">
            <v>0</v>
          </cell>
          <cell r="K378">
            <v>0.15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F379">
            <v>0.3</v>
          </cell>
          <cell r="G379">
            <v>0</v>
          </cell>
          <cell r="H379">
            <v>0.3</v>
          </cell>
          <cell r="I379">
            <v>0.3</v>
          </cell>
          <cell r="J379">
            <v>0</v>
          </cell>
          <cell r="K379">
            <v>0.3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F380">
            <v>0.3</v>
          </cell>
          <cell r="G380">
            <v>0</v>
          </cell>
          <cell r="H380">
            <v>0.3</v>
          </cell>
          <cell r="I380">
            <v>0.3</v>
          </cell>
          <cell r="J380">
            <v>0</v>
          </cell>
          <cell r="K380">
            <v>0.3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F381">
            <v>0.3</v>
          </cell>
          <cell r="G381">
            <v>0</v>
          </cell>
          <cell r="H381">
            <v>0.3</v>
          </cell>
          <cell r="I381">
            <v>0.3</v>
          </cell>
          <cell r="J381">
            <v>0</v>
          </cell>
          <cell r="K381">
            <v>0.3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F382">
            <v>0.25</v>
          </cell>
          <cell r="G382">
            <v>0.2</v>
          </cell>
          <cell r="H382">
            <v>0.45</v>
          </cell>
          <cell r="I382">
            <v>0.25</v>
          </cell>
          <cell r="J382">
            <v>0.2</v>
          </cell>
          <cell r="K382">
            <v>0.45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F383">
            <v>0.3</v>
          </cell>
          <cell r="G383">
            <v>0.3</v>
          </cell>
          <cell r="H383">
            <v>0.6</v>
          </cell>
          <cell r="I383">
            <v>0.3</v>
          </cell>
          <cell r="J383">
            <v>0.3</v>
          </cell>
          <cell r="K383">
            <v>0.6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F384">
            <v>0.35</v>
          </cell>
          <cell r="G384">
            <v>0.4</v>
          </cell>
          <cell r="H384">
            <v>0.75</v>
          </cell>
          <cell r="I384">
            <v>0.35</v>
          </cell>
          <cell r="J384">
            <v>0.4</v>
          </cell>
          <cell r="K384">
            <v>0.75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F385">
            <v>0.41</v>
          </cell>
          <cell r="G385">
            <v>0.49</v>
          </cell>
          <cell r="H385">
            <v>0.89999999999999991</v>
          </cell>
          <cell r="I385">
            <v>0.41</v>
          </cell>
          <cell r="J385">
            <v>0.49</v>
          </cell>
          <cell r="K385">
            <v>0.89999999999999991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F386">
            <v>0.51</v>
          </cell>
          <cell r="G386">
            <v>0.54</v>
          </cell>
          <cell r="H386">
            <v>1.05</v>
          </cell>
          <cell r="I386">
            <v>0.51</v>
          </cell>
          <cell r="J386">
            <v>0.54</v>
          </cell>
          <cell r="K386">
            <v>1.05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F387">
            <v>0.61</v>
          </cell>
          <cell r="G387">
            <v>1.04</v>
          </cell>
          <cell r="H387">
            <v>1.65</v>
          </cell>
          <cell r="I387">
            <v>0.61</v>
          </cell>
          <cell r="J387">
            <v>1.04</v>
          </cell>
          <cell r="K387">
            <v>1.65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F388">
            <v>0.81</v>
          </cell>
          <cell r="G388">
            <v>1.73</v>
          </cell>
          <cell r="H388">
            <v>2.54</v>
          </cell>
          <cell r="I388">
            <v>0.81</v>
          </cell>
          <cell r="J388">
            <v>1.73</v>
          </cell>
          <cell r="K388">
            <v>2.54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F389">
            <v>1.01</v>
          </cell>
          <cell r="G389">
            <v>3.04</v>
          </cell>
          <cell r="H389">
            <v>4.05</v>
          </cell>
          <cell r="I389">
            <v>1.01</v>
          </cell>
          <cell r="J389">
            <v>3.04</v>
          </cell>
          <cell r="K389">
            <v>4.05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F390">
            <v>1.22</v>
          </cell>
          <cell r="G390">
            <v>3.28</v>
          </cell>
          <cell r="H390">
            <v>4.5</v>
          </cell>
          <cell r="I390">
            <v>1.22</v>
          </cell>
          <cell r="J390">
            <v>3.28</v>
          </cell>
          <cell r="K390">
            <v>4.5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F391">
            <v>1.42</v>
          </cell>
          <cell r="G391">
            <v>3.97</v>
          </cell>
          <cell r="H391">
            <v>5.3900000000000006</v>
          </cell>
          <cell r="I391">
            <v>1.42</v>
          </cell>
          <cell r="J391">
            <v>3.97</v>
          </cell>
          <cell r="K391">
            <v>5.3900000000000006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F392">
            <v>1.62</v>
          </cell>
          <cell r="G392">
            <v>4.68</v>
          </cell>
          <cell r="H392">
            <v>6.3</v>
          </cell>
          <cell r="I392">
            <v>1.62</v>
          </cell>
          <cell r="J392">
            <v>4.68</v>
          </cell>
          <cell r="K392">
            <v>6.3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F393">
            <v>1.82</v>
          </cell>
          <cell r="G393">
            <v>5.38</v>
          </cell>
          <cell r="H393">
            <v>7.2</v>
          </cell>
          <cell r="I393">
            <v>1.82</v>
          </cell>
          <cell r="J393">
            <v>5.38</v>
          </cell>
          <cell r="K393">
            <v>7.2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F394">
            <v>2.0299999999999998</v>
          </cell>
          <cell r="G394">
            <v>5.47</v>
          </cell>
          <cell r="H394">
            <v>7.5</v>
          </cell>
          <cell r="I394">
            <v>2.0299999999999998</v>
          </cell>
          <cell r="J394">
            <v>5.47</v>
          </cell>
          <cell r="K394">
            <v>7.5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F395">
            <v>2.23</v>
          </cell>
          <cell r="G395">
            <v>6.47</v>
          </cell>
          <cell r="H395">
            <v>8.6999999999999993</v>
          </cell>
          <cell r="I395">
            <v>2.23</v>
          </cell>
          <cell r="J395">
            <v>6.47</v>
          </cell>
          <cell r="K395">
            <v>8.6999999999999993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F396">
            <v>2.4300000000000002</v>
          </cell>
          <cell r="G396">
            <v>6.57</v>
          </cell>
          <cell r="H396">
            <v>9</v>
          </cell>
          <cell r="I396">
            <v>2.4300000000000002</v>
          </cell>
          <cell r="J396">
            <v>6.57</v>
          </cell>
          <cell r="K396">
            <v>9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F397">
            <v>2.64</v>
          </cell>
          <cell r="G397">
            <v>7.7</v>
          </cell>
          <cell r="H397">
            <v>10.34</v>
          </cell>
          <cell r="I397">
            <v>2.64</v>
          </cell>
          <cell r="J397">
            <v>7.7</v>
          </cell>
          <cell r="K397">
            <v>10.34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F398">
            <v>2.84</v>
          </cell>
          <cell r="G398">
            <v>8.25</v>
          </cell>
          <cell r="H398">
            <v>11.09</v>
          </cell>
          <cell r="I398">
            <v>2.84</v>
          </cell>
          <cell r="J398">
            <v>8.25</v>
          </cell>
          <cell r="K398">
            <v>11.09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F399">
            <v>3.04</v>
          </cell>
          <cell r="G399">
            <v>8.9600000000000009</v>
          </cell>
          <cell r="H399">
            <v>12</v>
          </cell>
          <cell r="I399">
            <v>3.04</v>
          </cell>
          <cell r="J399">
            <v>8.9600000000000009</v>
          </cell>
          <cell r="K399">
            <v>12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F400">
            <v>3.24</v>
          </cell>
          <cell r="G400">
            <v>9.51</v>
          </cell>
          <cell r="H400">
            <v>12.75</v>
          </cell>
          <cell r="I400">
            <v>3.24</v>
          </cell>
          <cell r="J400">
            <v>9.51</v>
          </cell>
          <cell r="K400">
            <v>12.75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F401">
            <v>3.45</v>
          </cell>
          <cell r="G401">
            <v>10.050000000000001</v>
          </cell>
          <cell r="H401">
            <v>13.5</v>
          </cell>
          <cell r="I401">
            <v>3.45</v>
          </cell>
          <cell r="J401">
            <v>10.050000000000001</v>
          </cell>
          <cell r="K401">
            <v>13.5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F402">
            <v>3.65</v>
          </cell>
          <cell r="G402">
            <v>10.6</v>
          </cell>
          <cell r="H402">
            <v>14.25</v>
          </cell>
          <cell r="I402">
            <v>3.65</v>
          </cell>
          <cell r="J402">
            <v>10.6</v>
          </cell>
          <cell r="K402">
            <v>14.25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F403">
            <v>3.85</v>
          </cell>
          <cell r="G403">
            <v>11.23</v>
          </cell>
          <cell r="H403">
            <v>15.08</v>
          </cell>
          <cell r="I403">
            <v>3.85</v>
          </cell>
          <cell r="J403">
            <v>11.23</v>
          </cell>
          <cell r="K403">
            <v>15.08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F404">
            <v>4.0599999999999996</v>
          </cell>
          <cell r="G404">
            <v>11.66</v>
          </cell>
          <cell r="H404">
            <v>15.719999999999999</v>
          </cell>
          <cell r="I404">
            <v>4.0599999999999996</v>
          </cell>
          <cell r="J404">
            <v>11.66</v>
          </cell>
          <cell r="K404">
            <v>15.719999999999999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F405">
            <v>4.26</v>
          </cell>
          <cell r="G405">
            <v>12.24</v>
          </cell>
          <cell r="H405">
            <v>16.5</v>
          </cell>
          <cell r="I405">
            <v>4.26</v>
          </cell>
          <cell r="J405">
            <v>12.24</v>
          </cell>
          <cell r="K405">
            <v>16.5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F406">
            <v>4.47</v>
          </cell>
          <cell r="G406">
            <v>17.54</v>
          </cell>
          <cell r="H406">
            <v>22.009999999999998</v>
          </cell>
          <cell r="I406">
            <v>4.47</v>
          </cell>
          <cell r="J406">
            <v>17.54</v>
          </cell>
          <cell r="K406">
            <v>22.009999999999998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F407">
            <v>4.67</v>
          </cell>
          <cell r="G407">
            <v>18.329999999999998</v>
          </cell>
          <cell r="H407">
            <v>23</v>
          </cell>
          <cell r="I407">
            <v>4.67</v>
          </cell>
          <cell r="J407">
            <v>18.329999999999998</v>
          </cell>
          <cell r="K407">
            <v>23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F408">
            <v>4.87</v>
          </cell>
          <cell r="G408">
            <v>19.13</v>
          </cell>
          <cell r="H408">
            <v>24</v>
          </cell>
          <cell r="I408">
            <v>4.87</v>
          </cell>
          <cell r="J408">
            <v>19.13</v>
          </cell>
          <cell r="K408">
            <v>24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F409">
            <v>7.0000000000000007E-2</v>
          </cell>
          <cell r="G409">
            <v>7.0000000000000007E-2</v>
          </cell>
          <cell r="H409">
            <v>2</v>
          </cell>
          <cell r="I409">
            <v>7.0000000000000007E-2</v>
          </cell>
          <cell r="J409">
            <v>0</v>
          </cell>
          <cell r="K409">
            <v>7.0000000000000007E-2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F410">
            <v>7.0000000000000007E-2</v>
          </cell>
          <cell r="G410">
            <v>7.0000000000000007E-2</v>
          </cell>
          <cell r="H410">
            <v>2</v>
          </cell>
          <cell r="I410">
            <v>7.0000000000000007E-2</v>
          </cell>
          <cell r="J410">
            <v>0</v>
          </cell>
          <cell r="K410">
            <v>7.0000000000000007E-2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F411">
            <v>7.0000000000000007E-2</v>
          </cell>
          <cell r="G411">
            <v>7.0000000000000007E-2</v>
          </cell>
          <cell r="H411">
            <v>2</v>
          </cell>
          <cell r="I411">
            <v>7.0000000000000007E-2</v>
          </cell>
          <cell r="J411">
            <v>0</v>
          </cell>
          <cell r="K411">
            <v>7.0000000000000007E-2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F412">
            <v>0</v>
          </cell>
          <cell r="G412">
            <v>7.0000000000000007E-2</v>
          </cell>
          <cell r="H412">
            <v>2</v>
          </cell>
          <cell r="I412">
            <v>7.0000000000000007E-2</v>
          </cell>
          <cell r="J412">
            <v>0</v>
          </cell>
          <cell r="K412">
            <v>7.0000000000000007E-2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F413">
            <v>7.0000000000000007E-2</v>
          </cell>
          <cell r="G413">
            <v>7.0000000000000007E-2</v>
          </cell>
          <cell r="H413">
            <v>2</v>
          </cell>
          <cell r="I413">
            <v>7.0000000000000007E-2</v>
          </cell>
          <cell r="J413">
            <v>0</v>
          </cell>
          <cell r="K413">
            <v>7.0000000000000007E-2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F414">
            <v>7.0000000000000007E-2</v>
          </cell>
          <cell r="G414">
            <v>7.0000000000000007E-2</v>
          </cell>
          <cell r="H414">
            <v>2</v>
          </cell>
          <cell r="I414">
            <v>7.0000000000000007E-2</v>
          </cell>
          <cell r="J414">
            <v>0</v>
          </cell>
          <cell r="K414">
            <v>7.0000000000000007E-2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F415">
            <v>0</v>
          </cell>
          <cell r="G415">
            <v>0</v>
          </cell>
          <cell r="H415">
            <v>0</v>
          </cell>
          <cell r="I415">
            <v>7.0000000000000007E-2</v>
          </cell>
          <cell r="J415">
            <v>0</v>
          </cell>
          <cell r="K415">
            <v>7.0000000000000007E-2</v>
          </cell>
          <cell r="L415">
            <v>2</v>
          </cell>
          <cell r="M415">
            <v>0</v>
          </cell>
          <cell r="N415">
            <v>8.8062877131794293E-312</v>
          </cell>
          <cell r="O415" t="str">
            <v xml:space="preserve">XS </v>
          </cell>
          <cell r="P415">
            <v>2</v>
          </cell>
          <cell r="Q415">
            <v>3.2</v>
          </cell>
          <cell r="R415">
            <v>1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F416">
            <v>7.0000000000000007E-2</v>
          </cell>
          <cell r="G416">
            <v>0</v>
          </cell>
          <cell r="H416">
            <v>7.0000000000000007E-2</v>
          </cell>
          <cell r="I416">
            <v>7.0000000000000007E-2</v>
          </cell>
          <cell r="J416">
            <v>0</v>
          </cell>
          <cell r="K416">
            <v>7.0000000000000007E-2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F417">
            <v>7.0000000000000007E-2</v>
          </cell>
          <cell r="G417">
            <v>0</v>
          </cell>
          <cell r="H417">
            <v>7.0000000000000007E-2</v>
          </cell>
          <cell r="I417">
            <v>7.0000000000000007E-2</v>
          </cell>
          <cell r="J417">
            <v>0</v>
          </cell>
          <cell r="K417">
            <v>7.0000000000000007E-2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2</v>
          </cell>
        </row>
        <row r="418">
          <cell r="A418">
            <v>2</v>
          </cell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F418">
            <v>0</v>
          </cell>
          <cell r="G418">
            <v>0</v>
          </cell>
          <cell r="H418">
            <v>0</v>
          </cell>
          <cell r="I418">
            <v>7.0000000000000007E-2</v>
          </cell>
          <cell r="J418">
            <v>0</v>
          </cell>
          <cell r="K418">
            <v>7.0000000000000007E-2</v>
          </cell>
          <cell r="L418">
            <v>2</v>
          </cell>
          <cell r="M418">
            <v>0</v>
          </cell>
          <cell r="N418">
            <v>8.8699475869083874E-312</v>
          </cell>
          <cell r="O418" t="str">
            <v xml:space="preserve">XS </v>
          </cell>
          <cell r="P418">
            <v>2</v>
          </cell>
          <cell r="Q418">
            <v>3.73</v>
          </cell>
          <cell r="R418">
            <v>1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F419">
            <v>0</v>
          </cell>
          <cell r="G419">
            <v>0</v>
          </cell>
          <cell r="H419">
            <v>7.0000000000000007E-2</v>
          </cell>
          <cell r="I419">
            <v>7.0000000000000007E-2</v>
          </cell>
          <cell r="J419">
            <v>0</v>
          </cell>
          <cell r="K419">
            <v>7.0000000000000007E-2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2</v>
          </cell>
          <cell r="Q419">
            <v>0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F420">
            <v>7.0000000000000007E-2</v>
          </cell>
          <cell r="G420">
            <v>0</v>
          </cell>
          <cell r="H420">
            <v>7.0000000000000007E-2</v>
          </cell>
          <cell r="I420">
            <v>7.0000000000000007E-2</v>
          </cell>
          <cell r="J420">
            <v>0</v>
          </cell>
          <cell r="K420">
            <v>7.0000000000000007E-2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F421">
            <v>7.0000000000000007E-2</v>
          </cell>
          <cell r="G421">
            <v>0</v>
          </cell>
          <cell r="H421">
            <v>7.0000000000000007E-2</v>
          </cell>
          <cell r="I421">
            <v>7.0000000000000007E-2</v>
          </cell>
          <cell r="J421">
            <v>0</v>
          </cell>
          <cell r="K421">
            <v>7.0000000000000007E-2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F422">
            <v>7.0000000000000007E-2</v>
          </cell>
          <cell r="G422">
            <v>0</v>
          </cell>
          <cell r="H422">
            <v>7.0000000000000007E-2</v>
          </cell>
          <cell r="I422">
            <v>7.0000000000000007E-2</v>
          </cell>
          <cell r="J422">
            <v>0</v>
          </cell>
          <cell r="K422">
            <v>7.0000000000000007E-2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F423">
            <v>7.0000000000000007E-2</v>
          </cell>
          <cell r="G423">
            <v>0</v>
          </cell>
          <cell r="H423">
            <v>7.0000000000000007E-2</v>
          </cell>
          <cell r="I423">
            <v>7.0000000000000007E-2</v>
          </cell>
          <cell r="J423">
            <v>0</v>
          </cell>
          <cell r="K423">
            <v>7.0000000000000007E-2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F424">
            <v>0.15</v>
          </cell>
          <cell r="G424">
            <v>0</v>
          </cell>
          <cell r="H424">
            <v>0.15</v>
          </cell>
          <cell r="I424">
            <v>0.15</v>
          </cell>
          <cell r="J424">
            <v>0</v>
          </cell>
          <cell r="K424">
            <v>0.15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F425">
            <v>0.15</v>
          </cell>
          <cell r="G425">
            <v>0</v>
          </cell>
          <cell r="H425">
            <v>0.15</v>
          </cell>
          <cell r="I425">
            <v>0.15</v>
          </cell>
          <cell r="J425">
            <v>0</v>
          </cell>
          <cell r="K425">
            <v>0.15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F426">
            <v>0.15</v>
          </cell>
          <cell r="G426">
            <v>0</v>
          </cell>
          <cell r="H426">
            <v>0.15</v>
          </cell>
          <cell r="I426">
            <v>0.15</v>
          </cell>
          <cell r="J426">
            <v>0</v>
          </cell>
          <cell r="K426">
            <v>0.15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F427">
            <v>0.13</v>
          </cell>
          <cell r="G427">
            <v>0.17</v>
          </cell>
          <cell r="H427">
            <v>0.30000000000000004</v>
          </cell>
          <cell r="I427">
            <v>0.13</v>
          </cell>
          <cell r="J427">
            <v>0.17</v>
          </cell>
          <cell r="K427">
            <v>0.30000000000000004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F428">
            <v>0.13</v>
          </cell>
          <cell r="G428">
            <v>0.17</v>
          </cell>
          <cell r="H428">
            <v>0.30000000000000004</v>
          </cell>
          <cell r="I428">
            <v>0.13</v>
          </cell>
          <cell r="J428">
            <v>0.17</v>
          </cell>
          <cell r="K428">
            <v>0.30000000000000004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F429">
            <v>0</v>
          </cell>
          <cell r="G429">
            <v>0</v>
          </cell>
          <cell r="H429">
            <v>0</v>
          </cell>
          <cell r="I429">
            <v>0.13</v>
          </cell>
          <cell r="J429">
            <v>0.17</v>
          </cell>
          <cell r="K429">
            <v>0.30000000000000004</v>
          </cell>
          <cell r="L429">
            <v>2</v>
          </cell>
          <cell r="M429">
            <v>0</v>
          </cell>
          <cell r="N429">
            <v>9.1033671239145674E-312</v>
          </cell>
          <cell r="O429" t="str">
            <v xml:space="preserve">XS </v>
          </cell>
          <cell r="P429">
            <v>2</v>
          </cell>
          <cell r="Q429">
            <v>0</v>
          </cell>
          <cell r="R429">
            <v>9.0821471660049147E-312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F430">
            <v>0.15</v>
          </cell>
          <cell r="G430">
            <v>0.15</v>
          </cell>
          <cell r="H430">
            <v>0.3</v>
          </cell>
          <cell r="I430">
            <v>0.15</v>
          </cell>
          <cell r="J430">
            <v>0.15</v>
          </cell>
          <cell r="K430">
            <v>0.3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F431">
            <v>0.15</v>
          </cell>
          <cell r="G431">
            <v>0.15</v>
          </cell>
          <cell r="H431">
            <v>0.3</v>
          </cell>
          <cell r="I431">
            <v>0.15</v>
          </cell>
          <cell r="J431">
            <v>0.15</v>
          </cell>
          <cell r="K431">
            <v>0.3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F432">
            <v>0.15</v>
          </cell>
          <cell r="G432">
            <v>0.15</v>
          </cell>
          <cell r="H432">
            <v>0.3</v>
          </cell>
          <cell r="I432">
            <v>0.15</v>
          </cell>
          <cell r="J432">
            <v>0.15</v>
          </cell>
          <cell r="K432">
            <v>0.3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F433">
            <v>0.2</v>
          </cell>
          <cell r="G433">
            <v>0.25</v>
          </cell>
          <cell r="H433">
            <v>0.45</v>
          </cell>
          <cell r="I433">
            <v>0.2</v>
          </cell>
          <cell r="J433">
            <v>0.25</v>
          </cell>
          <cell r="K433">
            <v>0.45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F434">
            <v>0.2</v>
          </cell>
          <cell r="G434">
            <v>0.25</v>
          </cell>
          <cell r="H434">
            <v>0.45</v>
          </cell>
          <cell r="I434">
            <v>0.2</v>
          </cell>
          <cell r="J434">
            <v>0.25</v>
          </cell>
          <cell r="K434">
            <v>0.45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F435">
            <v>0.2</v>
          </cell>
          <cell r="G435">
            <v>0.25</v>
          </cell>
          <cell r="H435">
            <v>0.45</v>
          </cell>
          <cell r="I435">
            <v>0.2</v>
          </cell>
          <cell r="J435">
            <v>0.25</v>
          </cell>
          <cell r="K435">
            <v>0.45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F436">
            <v>0.25</v>
          </cell>
          <cell r="G436">
            <v>0.5</v>
          </cell>
          <cell r="H436">
            <v>0.75</v>
          </cell>
          <cell r="I436">
            <v>0.25</v>
          </cell>
          <cell r="J436">
            <v>0.5</v>
          </cell>
          <cell r="K436">
            <v>0.75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F437">
            <v>0.3</v>
          </cell>
          <cell r="G437">
            <v>0.6</v>
          </cell>
          <cell r="H437">
            <v>0.89999999999999991</v>
          </cell>
          <cell r="I437">
            <v>0.3</v>
          </cell>
          <cell r="J437">
            <v>0.6</v>
          </cell>
          <cell r="K437">
            <v>0.89999999999999991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F438">
            <v>0.35</v>
          </cell>
          <cell r="G438">
            <v>0.85</v>
          </cell>
          <cell r="H438">
            <v>1.2</v>
          </cell>
          <cell r="I438">
            <v>0.35</v>
          </cell>
          <cell r="J438">
            <v>0.85</v>
          </cell>
          <cell r="K438">
            <v>1.2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F439">
            <v>0.41</v>
          </cell>
          <cell r="G439">
            <v>0.93</v>
          </cell>
          <cell r="H439">
            <v>1.34</v>
          </cell>
          <cell r="I439">
            <v>0.41</v>
          </cell>
          <cell r="J439">
            <v>0.93</v>
          </cell>
          <cell r="K439">
            <v>1.34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F440">
            <v>0</v>
          </cell>
          <cell r="G440">
            <v>0</v>
          </cell>
          <cell r="H440">
            <v>0</v>
          </cell>
          <cell r="I440">
            <v>0.51</v>
          </cell>
          <cell r="J440">
            <v>1.59</v>
          </cell>
          <cell r="K440">
            <v>2.1</v>
          </cell>
          <cell r="L440">
            <v>4</v>
          </cell>
          <cell r="M440">
            <v>0</v>
          </cell>
          <cell r="N440">
            <v>9.3367866609207473E-312</v>
          </cell>
          <cell r="O440" t="str">
            <v xml:space="preserve">XS </v>
          </cell>
          <cell r="P440">
            <v>4</v>
          </cell>
          <cell r="Q440">
            <v>0</v>
          </cell>
          <cell r="R440">
            <v>9.3155667030110946E-312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F441">
            <v>0.61</v>
          </cell>
          <cell r="G441">
            <v>2.69</v>
          </cell>
          <cell r="H441">
            <v>3.3</v>
          </cell>
          <cell r="I441">
            <v>0.61</v>
          </cell>
          <cell r="J441">
            <v>2.69</v>
          </cell>
          <cell r="K441">
            <v>3.3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F442">
            <v>0.81</v>
          </cell>
          <cell r="G442">
            <v>4.58</v>
          </cell>
          <cell r="H442">
            <v>5.3900000000000006</v>
          </cell>
          <cell r="I442">
            <v>0.81</v>
          </cell>
          <cell r="J442">
            <v>4.58</v>
          </cell>
          <cell r="K442">
            <v>5.3900000000000006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F443">
            <v>1.01</v>
          </cell>
          <cell r="G443">
            <v>5.74</v>
          </cell>
          <cell r="H443">
            <v>6.75</v>
          </cell>
          <cell r="I443">
            <v>1.01</v>
          </cell>
          <cell r="J443">
            <v>5.74</v>
          </cell>
          <cell r="K443">
            <v>6.75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F444">
            <v>1.22</v>
          </cell>
          <cell r="G444">
            <v>6.73</v>
          </cell>
          <cell r="H444">
            <v>7.95</v>
          </cell>
          <cell r="I444">
            <v>1.22</v>
          </cell>
          <cell r="J444">
            <v>6.73</v>
          </cell>
          <cell r="K444">
            <v>7.95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F445">
            <v>1.42</v>
          </cell>
          <cell r="G445">
            <v>7.28</v>
          </cell>
          <cell r="H445">
            <v>8.6999999999999993</v>
          </cell>
          <cell r="I445">
            <v>1.42</v>
          </cell>
          <cell r="J445">
            <v>7.28</v>
          </cell>
          <cell r="K445">
            <v>8.6999999999999993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F446">
            <v>1.62</v>
          </cell>
          <cell r="G446">
            <v>8.42</v>
          </cell>
          <cell r="H446">
            <v>10.039999999999999</v>
          </cell>
          <cell r="I446">
            <v>1.62</v>
          </cell>
          <cell r="J446">
            <v>8.42</v>
          </cell>
          <cell r="K446">
            <v>10.039999999999999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F447">
            <v>1.82</v>
          </cell>
          <cell r="G447">
            <v>9.42</v>
          </cell>
          <cell r="H447">
            <v>11.24</v>
          </cell>
          <cell r="I447">
            <v>1.82</v>
          </cell>
          <cell r="J447">
            <v>9.42</v>
          </cell>
          <cell r="K447">
            <v>11.24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F448">
            <v>2.0299999999999998</v>
          </cell>
          <cell r="G448">
            <v>10.42</v>
          </cell>
          <cell r="H448">
            <v>12.45</v>
          </cell>
          <cell r="I448">
            <v>2.0299999999999998</v>
          </cell>
          <cell r="J448">
            <v>10.42</v>
          </cell>
          <cell r="K448">
            <v>12.45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F449">
            <v>2.23</v>
          </cell>
          <cell r="G449">
            <v>11.72</v>
          </cell>
          <cell r="H449">
            <v>13.950000000000001</v>
          </cell>
          <cell r="I449">
            <v>2.23</v>
          </cell>
          <cell r="J449">
            <v>11.72</v>
          </cell>
          <cell r="K449">
            <v>13.950000000000001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F450">
            <v>2.4300000000000002</v>
          </cell>
          <cell r="G450">
            <v>12.57</v>
          </cell>
          <cell r="H450">
            <v>15</v>
          </cell>
          <cell r="I450">
            <v>2.4300000000000002</v>
          </cell>
          <cell r="J450">
            <v>12.57</v>
          </cell>
          <cell r="K450">
            <v>15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F451">
            <v>0</v>
          </cell>
          <cell r="G451">
            <v>0</v>
          </cell>
          <cell r="H451">
            <v>0</v>
          </cell>
          <cell r="I451">
            <v>2.64</v>
          </cell>
          <cell r="J451">
            <v>13.86</v>
          </cell>
          <cell r="K451">
            <v>16.5</v>
          </cell>
          <cell r="L451">
            <v>9</v>
          </cell>
          <cell r="M451">
            <v>0</v>
          </cell>
          <cell r="N451">
            <v>9.5702061979269273E-312</v>
          </cell>
          <cell r="O451" t="str">
            <v xml:space="preserve">XS </v>
          </cell>
          <cell r="P451">
            <v>9</v>
          </cell>
          <cell r="Q451">
            <v>0</v>
          </cell>
          <cell r="R451">
            <v>9.5489862400172746E-312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F452">
            <v>2.84</v>
          </cell>
          <cell r="G452">
            <v>15.16</v>
          </cell>
          <cell r="H452">
            <v>18</v>
          </cell>
          <cell r="I452">
            <v>2.84</v>
          </cell>
          <cell r="J452">
            <v>15.16</v>
          </cell>
          <cell r="K452">
            <v>18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F453">
            <v>3.04</v>
          </cell>
          <cell r="G453">
            <v>16.45</v>
          </cell>
          <cell r="H453">
            <v>19.489999999999998</v>
          </cell>
          <cell r="I453">
            <v>3.04</v>
          </cell>
          <cell r="J453">
            <v>16.45</v>
          </cell>
          <cell r="K453">
            <v>19.489999999999998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F454">
            <v>3.24</v>
          </cell>
          <cell r="G454">
            <v>17.75</v>
          </cell>
          <cell r="H454">
            <v>20.990000000000002</v>
          </cell>
          <cell r="I454">
            <v>3.24</v>
          </cell>
          <cell r="J454">
            <v>17.75</v>
          </cell>
          <cell r="K454">
            <v>20.990000000000002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F455">
            <v>3.45</v>
          </cell>
          <cell r="G455">
            <v>18.54</v>
          </cell>
          <cell r="H455">
            <v>21.99</v>
          </cell>
          <cell r="I455">
            <v>3.45</v>
          </cell>
          <cell r="J455">
            <v>18.54</v>
          </cell>
          <cell r="K455">
            <v>21.99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F456">
            <v>3.65</v>
          </cell>
          <cell r="G456">
            <v>18.84</v>
          </cell>
          <cell r="H456">
            <v>22.49</v>
          </cell>
          <cell r="I456">
            <v>3.65</v>
          </cell>
          <cell r="J456">
            <v>18.84</v>
          </cell>
          <cell r="K456">
            <v>22.49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F457">
            <v>3.85</v>
          </cell>
          <cell r="G457">
            <v>19.89</v>
          </cell>
          <cell r="H457">
            <v>23.740000000000002</v>
          </cell>
          <cell r="I457">
            <v>3.85</v>
          </cell>
          <cell r="J457">
            <v>19.89</v>
          </cell>
          <cell r="K457">
            <v>23.740000000000002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F458">
            <v>4.0599999999999996</v>
          </cell>
          <cell r="G458">
            <v>21.66</v>
          </cell>
          <cell r="H458">
            <v>25.72</v>
          </cell>
          <cell r="I458">
            <v>4.0599999999999996</v>
          </cell>
          <cell r="J458">
            <v>21.66</v>
          </cell>
          <cell r="K458">
            <v>25.72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F459">
            <v>4.26</v>
          </cell>
          <cell r="G459">
            <v>22.74</v>
          </cell>
          <cell r="H459">
            <v>27</v>
          </cell>
          <cell r="I459">
            <v>4.26</v>
          </cell>
          <cell r="J459">
            <v>22.74</v>
          </cell>
          <cell r="K459">
            <v>27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F460">
            <v>4.47</v>
          </cell>
          <cell r="G460">
            <v>27.16</v>
          </cell>
          <cell r="H460">
            <v>31.63</v>
          </cell>
          <cell r="I460">
            <v>4.47</v>
          </cell>
          <cell r="J460">
            <v>27.16</v>
          </cell>
          <cell r="K460">
            <v>31.63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F461">
            <v>4.67</v>
          </cell>
          <cell r="G461">
            <v>28.4</v>
          </cell>
          <cell r="H461">
            <v>33.07</v>
          </cell>
          <cell r="I461">
            <v>4.67</v>
          </cell>
          <cell r="J461">
            <v>28.4</v>
          </cell>
          <cell r="K461">
            <v>33.07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F462">
            <v>4.87</v>
          </cell>
          <cell r="G462">
            <v>29.63</v>
          </cell>
          <cell r="H462">
            <v>34.5</v>
          </cell>
          <cell r="I462">
            <v>4.87</v>
          </cell>
          <cell r="J462">
            <v>29.63</v>
          </cell>
          <cell r="K462">
            <v>34.5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F463">
            <v>7.0000000000000007E-2</v>
          </cell>
          <cell r="G463">
            <v>0.23</v>
          </cell>
          <cell r="H463">
            <v>0.30000000000000004</v>
          </cell>
          <cell r="I463">
            <v>7.0000000000000007E-2</v>
          </cell>
          <cell r="J463">
            <v>0.23</v>
          </cell>
          <cell r="K463">
            <v>0.30000000000000004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F464">
            <v>7.0000000000000007E-2</v>
          </cell>
          <cell r="G464">
            <v>0.23</v>
          </cell>
          <cell r="H464">
            <v>0.30000000000000004</v>
          </cell>
          <cell r="I464">
            <v>7.0000000000000007E-2</v>
          </cell>
          <cell r="J464">
            <v>0.23</v>
          </cell>
          <cell r="K464">
            <v>0.30000000000000004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F465">
            <v>7.0000000000000007E-2</v>
          </cell>
          <cell r="G465">
            <v>0.23</v>
          </cell>
          <cell r="H465">
            <v>0.30000000000000004</v>
          </cell>
          <cell r="I465">
            <v>7.0000000000000007E-2</v>
          </cell>
          <cell r="J465">
            <v>0.23</v>
          </cell>
          <cell r="K465">
            <v>0.30000000000000004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2</v>
          </cell>
          <cell r="Q465">
            <v>0</v>
          </cell>
          <cell r="R465">
            <v>0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F466">
            <v>0.08</v>
          </cell>
          <cell r="G466">
            <v>0.22</v>
          </cell>
          <cell r="H466">
            <v>0.3</v>
          </cell>
          <cell r="I466">
            <v>0.08</v>
          </cell>
          <cell r="J466">
            <v>0.22</v>
          </cell>
          <cell r="K466">
            <v>0.3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F467">
            <v>0.08</v>
          </cell>
          <cell r="G467">
            <v>0.22</v>
          </cell>
          <cell r="H467">
            <v>0.3</v>
          </cell>
          <cell r="I467">
            <v>0.08</v>
          </cell>
          <cell r="J467">
            <v>0.22</v>
          </cell>
          <cell r="K467">
            <v>0.3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F468">
            <v>0.08</v>
          </cell>
          <cell r="G468">
            <v>0.22</v>
          </cell>
          <cell r="H468">
            <v>0.3</v>
          </cell>
          <cell r="I468">
            <v>0.08</v>
          </cell>
          <cell r="J468">
            <v>0.22</v>
          </cell>
          <cell r="K468">
            <v>0.3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F469">
            <v>0.1</v>
          </cell>
          <cell r="G469">
            <v>0.5</v>
          </cell>
          <cell r="H469">
            <v>0.6</v>
          </cell>
          <cell r="I469">
            <v>0.1</v>
          </cell>
          <cell r="J469">
            <v>0.5</v>
          </cell>
          <cell r="K469">
            <v>0.6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F470">
            <v>0.1</v>
          </cell>
          <cell r="G470">
            <v>0.5</v>
          </cell>
          <cell r="H470">
            <v>0.6</v>
          </cell>
          <cell r="I470">
            <v>0.1</v>
          </cell>
          <cell r="J470">
            <v>0.5</v>
          </cell>
          <cell r="K470">
            <v>0.6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F471">
            <v>0.1</v>
          </cell>
          <cell r="G471">
            <v>0.5</v>
          </cell>
          <cell r="H471">
            <v>0.6</v>
          </cell>
          <cell r="I471">
            <v>0.1</v>
          </cell>
          <cell r="J471">
            <v>0.5</v>
          </cell>
          <cell r="K471">
            <v>0.6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F472">
            <v>0.13</v>
          </cell>
          <cell r="G472">
            <v>0.67</v>
          </cell>
          <cell r="H472">
            <v>0.8</v>
          </cell>
          <cell r="I472">
            <v>0.13</v>
          </cell>
          <cell r="J472">
            <v>0.67</v>
          </cell>
          <cell r="K472">
            <v>0.8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F473">
            <v>0.13</v>
          </cell>
          <cell r="G473">
            <v>0.67</v>
          </cell>
          <cell r="H473">
            <v>0.8</v>
          </cell>
          <cell r="I473">
            <v>0.13</v>
          </cell>
          <cell r="J473">
            <v>0.67</v>
          </cell>
          <cell r="K473">
            <v>0.8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F474">
            <v>0.13</v>
          </cell>
          <cell r="G474">
            <v>0.67</v>
          </cell>
          <cell r="H474">
            <v>0.8</v>
          </cell>
          <cell r="I474">
            <v>0.13</v>
          </cell>
          <cell r="J474">
            <v>0.67</v>
          </cell>
          <cell r="K474">
            <v>0.8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F475">
            <v>0.15</v>
          </cell>
          <cell r="G475">
            <v>0.75</v>
          </cell>
          <cell r="H475">
            <v>0.9</v>
          </cell>
          <cell r="I475">
            <v>0.15</v>
          </cell>
          <cell r="J475">
            <v>0.75</v>
          </cell>
          <cell r="K475">
            <v>0.9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F476">
            <v>0.15</v>
          </cell>
          <cell r="G476">
            <v>0.75</v>
          </cell>
          <cell r="H476">
            <v>0.9</v>
          </cell>
          <cell r="I476">
            <v>0.15</v>
          </cell>
          <cell r="J476">
            <v>0.75</v>
          </cell>
          <cell r="K476">
            <v>0.9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F477">
            <v>0.15</v>
          </cell>
          <cell r="G477">
            <v>0.75</v>
          </cell>
          <cell r="H477">
            <v>0.9</v>
          </cell>
          <cell r="I477">
            <v>0.15</v>
          </cell>
          <cell r="J477">
            <v>0.75</v>
          </cell>
          <cell r="K477">
            <v>0.9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F478">
            <v>0</v>
          </cell>
          <cell r="G478">
            <v>1</v>
          </cell>
          <cell r="H478">
            <v>1.2</v>
          </cell>
          <cell r="I478">
            <v>0.2</v>
          </cell>
          <cell r="J478">
            <v>1</v>
          </cell>
          <cell r="K478">
            <v>1.2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F479">
            <v>0.2</v>
          </cell>
          <cell r="G479">
            <v>1</v>
          </cell>
          <cell r="H479">
            <v>1.2</v>
          </cell>
          <cell r="I479">
            <v>0.2</v>
          </cell>
          <cell r="J479">
            <v>1</v>
          </cell>
          <cell r="K479">
            <v>1.2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F480">
            <v>0.2</v>
          </cell>
          <cell r="G480">
            <v>1</v>
          </cell>
          <cell r="H480">
            <v>1.2</v>
          </cell>
          <cell r="I480">
            <v>0.2</v>
          </cell>
          <cell r="J480">
            <v>1</v>
          </cell>
          <cell r="K480">
            <v>1.2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F481">
            <v>0.25</v>
          </cell>
          <cell r="G481">
            <v>1.7</v>
          </cell>
          <cell r="H481">
            <v>1.95</v>
          </cell>
          <cell r="I481">
            <v>0.25</v>
          </cell>
          <cell r="J481">
            <v>1.7</v>
          </cell>
          <cell r="K481">
            <v>1.95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F482">
            <v>0.3</v>
          </cell>
          <cell r="G482">
            <v>2.39</v>
          </cell>
          <cell r="H482">
            <v>2.69</v>
          </cell>
          <cell r="I482">
            <v>0.3</v>
          </cell>
          <cell r="J482">
            <v>2.39</v>
          </cell>
          <cell r="K482">
            <v>2.69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F483">
            <v>0.41</v>
          </cell>
          <cell r="G483">
            <v>4.09</v>
          </cell>
          <cell r="H483">
            <v>4.5</v>
          </cell>
          <cell r="I483">
            <v>0.41</v>
          </cell>
          <cell r="J483">
            <v>4.09</v>
          </cell>
          <cell r="K483">
            <v>4.5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F484">
            <v>0.51</v>
          </cell>
          <cell r="G484">
            <v>4.43</v>
          </cell>
          <cell r="H484">
            <v>4.9399999999999995</v>
          </cell>
          <cell r="I484">
            <v>0.51</v>
          </cell>
          <cell r="J484">
            <v>4.43</v>
          </cell>
          <cell r="K484">
            <v>4.9399999999999995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F485">
            <v>0.61</v>
          </cell>
          <cell r="G485">
            <v>8.09</v>
          </cell>
          <cell r="H485">
            <v>8.6999999999999993</v>
          </cell>
          <cell r="I485">
            <v>0.61</v>
          </cell>
          <cell r="J485">
            <v>8.09</v>
          </cell>
          <cell r="K485">
            <v>8.6999999999999993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F486">
            <v>0.81</v>
          </cell>
          <cell r="G486">
            <v>11.49</v>
          </cell>
          <cell r="H486">
            <v>12.3</v>
          </cell>
          <cell r="I486">
            <v>0.81</v>
          </cell>
          <cell r="J486">
            <v>11.49</v>
          </cell>
          <cell r="K486">
            <v>12.3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F487">
            <v>1.01</v>
          </cell>
          <cell r="G487">
            <v>18.489999999999998</v>
          </cell>
          <cell r="H487">
            <v>19.5</v>
          </cell>
          <cell r="I487">
            <v>1.01</v>
          </cell>
          <cell r="J487">
            <v>18.489999999999998</v>
          </cell>
          <cell r="K487">
            <v>19.5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F488">
            <v>1.22</v>
          </cell>
          <cell r="G488">
            <v>21.27</v>
          </cell>
          <cell r="H488">
            <v>22.49</v>
          </cell>
          <cell r="I488">
            <v>1.22</v>
          </cell>
          <cell r="J488">
            <v>21.27</v>
          </cell>
          <cell r="K488">
            <v>22.49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F489">
            <v>6.49</v>
          </cell>
          <cell r="G489">
            <v>20.29</v>
          </cell>
          <cell r="H489">
            <v>26.78</v>
          </cell>
          <cell r="I489">
            <v>6.49</v>
          </cell>
          <cell r="J489">
            <v>20.29</v>
          </cell>
          <cell r="K489">
            <v>26.78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21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/>
      <sheetData sheetId="802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/>
      <sheetData sheetId="887"/>
      <sheetData sheetId="888" refreshError="1"/>
      <sheetData sheetId="889" refreshError="1"/>
      <sheetData sheetId="890"/>
      <sheetData sheetId="891" refreshError="1"/>
      <sheetData sheetId="892"/>
      <sheetData sheetId="893" refreshError="1"/>
      <sheetData sheetId="894" refreshError="1"/>
      <sheetData sheetId="895" refreshError="1"/>
      <sheetData sheetId="896" refreshError="1"/>
      <sheetData sheetId="897"/>
      <sheetData sheetId="898" refreshError="1"/>
      <sheetData sheetId="899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 refreshError="1"/>
      <sheetData sheetId="907" refreshError="1"/>
      <sheetData sheetId="908"/>
      <sheetData sheetId="909"/>
      <sheetData sheetId="91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/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/>
          </cell>
          <cell r="U6" t="str">
            <v/>
          </cell>
        </row>
        <row r="7">
          <cell r="A7">
            <v>2</v>
          </cell>
          <cell r="B7">
            <v>0.75</v>
          </cell>
          <cell r="E7" t="str">
            <v/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/>
          </cell>
          <cell r="U7" t="str">
            <v/>
          </cell>
        </row>
        <row r="8">
          <cell r="A8">
            <v>3</v>
          </cell>
          <cell r="B8">
            <v>1</v>
          </cell>
          <cell r="E8" t="str">
            <v/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/>
          </cell>
          <cell r="U8" t="str">
            <v/>
          </cell>
        </row>
        <row r="9">
          <cell r="A9">
            <v>4</v>
          </cell>
          <cell r="B9">
            <v>1.5</v>
          </cell>
          <cell r="E9" t="str">
            <v/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/>
          </cell>
          <cell r="U9" t="str">
            <v/>
          </cell>
        </row>
        <row r="10">
          <cell r="A10">
            <v>5</v>
          </cell>
          <cell r="B10">
            <v>2</v>
          </cell>
          <cell r="E10" t="str">
            <v/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/>
          </cell>
          <cell r="U10" t="str">
            <v/>
          </cell>
        </row>
        <row r="11">
          <cell r="A11">
            <v>6</v>
          </cell>
          <cell r="B11">
            <v>2.5</v>
          </cell>
          <cell r="E11" t="str">
            <v/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/>
          </cell>
          <cell r="U11" t="str">
            <v/>
          </cell>
        </row>
        <row r="12">
          <cell r="A12">
            <v>7</v>
          </cell>
          <cell r="B12">
            <v>3</v>
          </cell>
          <cell r="E12" t="str">
            <v/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/>
          </cell>
          <cell r="U12" t="str">
            <v/>
          </cell>
        </row>
        <row r="13">
          <cell r="A13">
            <v>8</v>
          </cell>
          <cell r="B13">
            <v>4</v>
          </cell>
          <cell r="E13" t="str">
            <v/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/>
          </cell>
          <cell r="U13" t="str">
            <v/>
          </cell>
        </row>
        <row r="14">
          <cell r="A14">
            <v>9</v>
          </cell>
          <cell r="B14">
            <v>5</v>
          </cell>
          <cell r="E14" t="str">
            <v/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/>
          </cell>
          <cell r="U14" t="str">
            <v/>
          </cell>
        </row>
        <row r="15">
          <cell r="A15">
            <v>10</v>
          </cell>
          <cell r="B15">
            <v>6</v>
          </cell>
          <cell r="E15" t="str">
            <v/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/>
          </cell>
          <cell r="U15" t="str">
            <v/>
          </cell>
        </row>
        <row r="16">
          <cell r="A16">
            <v>11</v>
          </cell>
          <cell r="B16">
            <v>8</v>
          </cell>
          <cell r="E16" t="str">
            <v/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/>
          </cell>
          <cell r="U16" t="str">
            <v/>
          </cell>
        </row>
        <row r="17">
          <cell r="A17">
            <v>12</v>
          </cell>
          <cell r="B17">
            <v>10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/>
          </cell>
          <cell r="U17" t="str">
            <v/>
          </cell>
        </row>
        <row r="18">
          <cell r="A18">
            <v>13</v>
          </cell>
          <cell r="B18">
            <v>12</v>
          </cell>
          <cell r="E18" t="str">
            <v/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/>
          </cell>
          <cell r="U18" t="str">
            <v/>
          </cell>
        </row>
        <row r="19">
          <cell r="A19">
            <v>14</v>
          </cell>
          <cell r="B19">
            <v>14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/>
          </cell>
          <cell r="U19" t="str">
            <v/>
          </cell>
        </row>
        <row r="20">
          <cell r="A20">
            <v>15</v>
          </cell>
          <cell r="B20">
            <v>16</v>
          </cell>
          <cell r="E20" t="str">
            <v/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/>
          </cell>
          <cell r="U20" t="str">
            <v/>
          </cell>
        </row>
        <row r="21">
          <cell r="A21">
            <v>16</v>
          </cell>
          <cell r="B21">
            <v>18</v>
          </cell>
          <cell r="E21" t="str">
            <v/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/>
          </cell>
          <cell r="U21" t="str">
            <v/>
          </cell>
        </row>
        <row r="22">
          <cell r="A22">
            <v>17</v>
          </cell>
          <cell r="B22">
            <v>20</v>
          </cell>
          <cell r="E22" t="str">
            <v/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/>
          </cell>
          <cell r="U22" t="str">
            <v/>
          </cell>
        </row>
        <row r="23">
          <cell r="A23">
            <v>18</v>
          </cell>
          <cell r="B23">
            <v>22</v>
          </cell>
          <cell r="E23" t="str">
            <v/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/>
          </cell>
          <cell r="U23" t="str">
            <v/>
          </cell>
        </row>
        <row r="24">
          <cell r="A24">
            <v>19</v>
          </cell>
          <cell r="B24">
            <v>24</v>
          </cell>
          <cell r="E24" t="str">
            <v/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/>
          </cell>
          <cell r="U24" t="str">
            <v/>
          </cell>
        </row>
        <row r="25">
          <cell r="A25">
            <v>20</v>
          </cell>
          <cell r="B25">
            <v>26</v>
          </cell>
          <cell r="E25" t="str">
            <v/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/>
          </cell>
          <cell r="U25" t="str">
            <v/>
          </cell>
        </row>
        <row r="26">
          <cell r="A26">
            <v>21</v>
          </cell>
          <cell r="B26">
            <v>28</v>
          </cell>
          <cell r="E26" t="str">
            <v/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/>
          </cell>
          <cell r="U26" t="str">
            <v/>
          </cell>
        </row>
        <row r="27">
          <cell r="A27">
            <v>22</v>
          </cell>
          <cell r="B27">
            <v>30</v>
          </cell>
          <cell r="E27" t="str">
            <v/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/>
          </cell>
          <cell r="U27" t="str">
            <v/>
          </cell>
        </row>
        <row r="28">
          <cell r="A28">
            <v>23</v>
          </cell>
          <cell r="B28">
            <v>32</v>
          </cell>
          <cell r="E28" t="str">
            <v/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/>
          </cell>
          <cell r="U28" t="str">
            <v/>
          </cell>
        </row>
        <row r="29">
          <cell r="A29">
            <v>24</v>
          </cell>
          <cell r="B29">
            <v>34</v>
          </cell>
          <cell r="E29" t="str">
            <v/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/>
          </cell>
          <cell r="U29" t="str">
            <v/>
          </cell>
        </row>
        <row r="30">
          <cell r="A30">
            <v>25</v>
          </cell>
          <cell r="B30">
            <v>36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/>
          </cell>
          <cell r="U30" t="str">
            <v/>
          </cell>
        </row>
        <row r="31">
          <cell r="A31">
            <v>26</v>
          </cell>
          <cell r="B31">
            <v>38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/>
          </cell>
          <cell r="U31" t="str">
            <v/>
          </cell>
        </row>
        <row r="32">
          <cell r="A32">
            <v>27</v>
          </cell>
          <cell r="B32">
            <v>40</v>
          </cell>
          <cell r="E32" t="str">
            <v/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/>
          </cell>
          <cell r="U32" t="str">
            <v/>
          </cell>
        </row>
        <row r="33">
          <cell r="A33">
            <v>28</v>
          </cell>
          <cell r="B33">
            <v>42</v>
          </cell>
          <cell r="E33" t="str">
            <v/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/>
          </cell>
          <cell r="U33" t="str">
            <v/>
          </cell>
        </row>
        <row r="34">
          <cell r="A34">
            <v>29</v>
          </cell>
          <cell r="B34">
            <v>44</v>
          </cell>
          <cell r="E34" t="str">
            <v/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/>
          </cell>
          <cell r="U34" t="str">
            <v/>
          </cell>
        </row>
        <row r="35">
          <cell r="A35">
            <v>30</v>
          </cell>
          <cell r="B35">
            <v>46</v>
          </cell>
          <cell r="E35" t="str">
            <v/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/>
          </cell>
          <cell r="U35" t="str">
            <v/>
          </cell>
        </row>
        <row r="36">
          <cell r="A36">
            <v>31</v>
          </cell>
          <cell r="B36">
            <v>48</v>
          </cell>
          <cell r="E36" t="str">
            <v/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/>
          </cell>
          <cell r="U36" t="str">
            <v/>
          </cell>
        </row>
        <row r="37">
          <cell r="A37">
            <v>32</v>
          </cell>
          <cell r="B37">
            <v>52</v>
          </cell>
          <cell r="E37" t="str">
            <v/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/>
          </cell>
          <cell r="U37" t="str">
            <v/>
          </cell>
        </row>
        <row r="38">
          <cell r="A38">
            <v>33</v>
          </cell>
          <cell r="B38">
            <v>56</v>
          </cell>
          <cell r="E38" t="str">
            <v/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/>
          </cell>
          <cell r="U38" t="str">
            <v/>
          </cell>
        </row>
        <row r="39">
          <cell r="A39">
            <v>34</v>
          </cell>
          <cell r="B39">
            <v>60</v>
          </cell>
          <cell r="E39" t="str">
            <v/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/>
          </cell>
          <cell r="U39" t="str">
            <v/>
          </cell>
        </row>
        <row r="40">
          <cell r="A40">
            <v>35</v>
          </cell>
          <cell r="B40">
            <v>64</v>
          </cell>
          <cell r="E40" t="str">
            <v/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/>
          </cell>
          <cell r="U40" t="str">
            <v/>
          </cell>
        </row>
        <row r="41">
          <cell r="A41">
            <v>36</v>
          </cell>
          <cell r="B41">
            <v>68</v>
          </cell>
          <cell r="E41" t="str">
            <v/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/>
          </cell>
          <cell r="U41" t="str">
            <v/>
          </cell>
        </row>
        <row r="42">
          <cell r="A42">
            <v>37</v>
          </cell>
          <cell r="B42">
            <v>72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/>
          </cell>
          <cell r="U42" t="str">
            <v/>
          </cell>
        </row>
        <row r="43">
          <cell r="A43">
            <v>38</v>
          </cell>
          <cell r="B43">
            <v>76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/>
          </cell>
          <cell r="U43" t="str">
            <v/>
          </cell>
        </row>
        <row r="44">
          <cell r="A44">
            <v>39</v>
          </cell>
          <cell r="B44">
            <v>80</v>
          </cell>
          <cell r="E44" t="str">
            <v/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/>
          </cell>
          <cell r="U44" t="str">
            <v/>
          </cell>
        </row>
        <row r="45">
          <cell r="A45" t="str">
            <v>AVE.</v>
          </cell>
          <cell r="B45" t="str">
            <v/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/>
          </cell>
          <cell r="U45" t="str">
            <v/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Õn ®é thùc hiÖn KC"/>
      <sheetName val="ESTI."/>
      <sheetName val="DI-ESTI"/>
      <sheetName val="KP giao lan 3 (QD 673)"/>
      <sheetName val="phu luc giao lan 2"/>
      <sheetName val="ma-pt"/>
      <sheetName val="DanhMuc"/>
      <sheetName val="MTL$-INTER"/>
      <sheetName val="TDT"/>
      <sheetName val="DTXL"/>
      <sheetName val="2.74"/>
      <sheetName val="IBASE"/>
      <sheetName val="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-pt"/>
      <sheetName val="2.74"/>
      <sheetName val="ESTI."/>
      <sheetName val="DI-ESTI"/>
      <sheetName val="TiÕn ®é thùc hiÖn KC"/>
      <sheetName val="IBASE"/>
      <sheetName val="2_74"/>
      <sheetName val="TiÕn_®é_thùc_hiÖn_KC"/>
      <sheetName val="ESTI_"/>
      <sheetName val="NS"/>
      <sheetName val="TONGKE3p "/>
      <sheetName val="TDTKP"/>
      <sheetName val="7 THAI NGUYEN"/>
      <sheetName val="2_741"/>
      <sheetName val="ESTI_1"/>
      <sheetName val="TiÕn_®é_thùc_hiÖn_KC1"/>
    </sheetNames>
    <sheetDataSet>
      <sheetData sheetId="0" refreshError="1">
        <row r="6">
          <cell r="A6" t="str">
            <v>1a</v>
          </cell>
          <cell r="B6" t="str">
            <v>T«n nÒn b»ng c¸t ®Çm kü</v>
          </cell>
          <cell r="C6" t="str">
            <v>m3</v>
          </cell>
          <cell r="D6">
            <v>1</v>
          </cell>
          <cell r="H6">
            <v>1.22</v>
          </cell>
        </row>
        <row r="7">
          <cell r="A7">
            <v>2</v>
          </cell>
          <cell r="B7" t="str">
            <v xml:space="preserve">X©y mãng ®¸ héc &lt;=60 hoÆc &gt;60 VXM 50 </v>
          </cell>
          <cell r="C7" t="str">
            <v>m3</v>
          </cell>
          <cell r="D7">
            <v>1</v>
          </cell>
          <cell r="E7">
            <v>89.47</v>
          </cell>
          <cell r="F7">
            <v>0.48299999999999998</v>
          </cell>
          <cell r="BD7">
            <v>1.2</v>
          </cell>
          <cell r="BE7">
            <v>5.7000000000000002E-2</v>
          </cell>
        </row>
        <row r="8">
          <cell r="A8">
            <v>3</v>
          </cell>
          <cell r="B8" t="str">
            <v>X©y mãng ®¸ héc &lt;=60 hoÆc &gt;60 VXM 75</v>
          </cell>
          <cell r="C8" t="str">
            <v>m3</v>
          </cell>
          <cell r="D8">
            <v>1</v>
          </cell>
          <cell r="E8">
            <v>124.33</v>
          </cell>
          <cell r="F8">
            <v>0.47</v>
          </cell>
          <cell r="BD8">
            <v>1.2</v>
          </cell>
          <cell r="BE8">
            <v>5.7000000000000002E-2</v>
          </cell>
        </row>
        <row r="9">
          <cell r="A9">
            <v>4</v>
          </cell>
          <cell r="B9" t="str">
            <v>X©y mãng ®¸ héc &lt;=60 hoÆc &gt;60 VXM 100</v>
          </cell>
          <cell r="C9" t="str">
            <v>m3</v>
          </cell>
          <cell r="D9">
            <v>1</v>
          </cell>
          <cell r="E9">
            <v>161.72</v>
          </cell>
          <cell r="F9">
            <v>0.45800000000000002</v>
          </cell>
          <cell r="BD9">
            <v>1.2</v>
          </cell>
          <cell r="BE9">
            <v>5.7000000000000002E-2</v>
          </cell>
        </row>
        <row r="10">
          <cell r="A10">
            <v>5</v>
          </cell>
          <cell r="B10" t="str">
            <v>X©y t­êng th¼ng VXM 50 dµy &lt;=60,cao &lt;=2m</v>
          </cell>
          <cell r="C10" t="str">
            <v>m3</v>
          </cell>
          <cell r="D10">
            <v>1</v>
          </cell>
          <cell r="E10">
            <v>89.47</v>
          </cell>
          <cell r="F10">
            <v>0.48299999999999998</v>
          </cell>
          <cell r="BD10">
            <v>1.2</v>
          </cell>
          <cell r="BE10">
            <v>5.7000000000000002E-2</v>
          </cell>
        </row>
        <row r="11">
          <cell r="A11">
            <v>6</v>
          </cell>
          <cell r="B11" t="str">
            <v>X©y t­êng th¼ng VXM 75 dµy &lt;=60,cao &lt;=2m</v>
          </cell>
          <cell r="C11" t="str">
            <v>m3</v>
          </cell>
          <cell r="D11">
            <v>1</v>
          </cell>
          <cell r="E11">
            <v>124.33</v>
          </cell>
          <cell r="F11">
            <v>0.47</v>
          </cell>
          <cell r="BD11">
            <v>1.2</v>
          </cell>
          <cell r="BE11">
            <v>5.7000000000000002E-2</v>
          </cell>
        </row>
        <row r="12">
          <cell r="A12">
            <v>7</v>
          </cell>
          <cell r="B12" t="str">
            <v>X©y t­êng th¼ng VXM 100 dµy &lt;=60,cao &lt;=2m</v>
          </cell>
          <cell r="C12" t="str">
            <v>m3</v>
          </cell>
          <cell r="D12">
            <v>1</v>
          </cell>
          <cell r="E12">
            <v>161.72</v>
          </cell>
          <cell r="F12">
            <v>0.45800000000000002</v>
          </cell>
          <cell r="BD12">
            <v>1.2</v>
          </cell>
          <cell r="BE12">
            <v>5.7000000000000002E-2</v>
          </cell>
        </row>
        <row r="13">
          <cell r="A13">
            <v>8</v>
          </cell>
          <cell r="B13" t="str">
            <v>X©y t­êng th¼ng VXM 50 dµy &lt;=60,cao &gt;2m</v>
          </cell>
          <cell r="C13" t="str">
            <v>m3</v>
          </cell>
          <cell r="D13">
            <v>1</v>
          </cell>
          <cell r="E13">
            <v>89.47</v>
          </cell>
          <cell r="F13">
            <v>0.48299999999999998</v>
          </cell>
          <cell r="K13">
            <v>1.62</v>
          </cell>
          <cell r="L13">
            <v>0.01</v>
          </cell>
          <cell r="BD13">
            <v>1.2</v>
          </cell>
          <cell r="BE13">
            <v>5.7000000000000002E-2</v>
          </cell>
          <cell r="BO13">
            <v>0.46</v>
          </cell>
        </row>
        <row r="14">
          <cell r="A14">
            <v>9</v>
          </cell>
          <cell r="B14" t="str">
            <v>X©y t­êng th¼ng VXM 75 dµy &lt;=60,cao &gt;2m</v>
          </cell>
          <cell r="C14" t="str">
            <v>m3</v>
          </cell>
          <cell r="D14">
            <v>1</v>
          </cell>
          <cell r="E14">
            <v>124.33</v>
          </cell>
          <cell r="F14">
            <v>0.47</v>
          </cell>
          <cell r="K14">
            <v>1.62</v>
          </cell>
          <cell r="L14">
            <v>0.01</v>
          </cell>
          <cell r="BD14">
            <v>1.2</v>
          </cell>
          <cell r="BE14">
            <v>5.7000000000000002E-2</v>
          </cell>
          <cell r="BO14">
            <v>0.46</v>
          </cell>
        </row>
        <row r="15">
          <cell r="A15">
            <v>10</v>
          </cell>
          <cell r="B15" t="str">
            <v>X©y t­êng th¼ng VXM 100 dµy &lt;=60,cao &gt;2m</v>
          </cell>
          <cell r="C15" t="str">
            <v>m3</v>
          </cell>
          <cell r="D15">
            <v>1</v>
          </cell>
          <cell r="E15">
            <v>161.72</v>
          </cell>
          <cell r="F15">
            <v>0.45800000000000002</v>
          </cell>
          <cell r="K15">
            <v>1.62</v>
          </cell>
          <cell r="L15">
            <v>0.01</v>
          </cell>
          <cell r="BD15">
            <v>1.2</v>
          </cell>
          <cell r="BE15">
            <v>5.7000000000000002E-2</v>
          </cell>
          <cell r="BO15">
            <v>0.46</v>
          </cell>
        </row>
        <row r="16">
          <cell r="A16">
            <v>11</v>
          </cell>
          <cell r="B16" t="str">
            <v>X©y t­êng th¼ng VXM 50 dµy &gt;60,cao &lt;=2m</v>
          </cell>
          <cell r="C16" t="str">
            <v>m3</v>
          </cell>
          <cell r="D16">
            <v>1</v>
          </cell>
          <cell r="E16">
            <v>89.47</v>
          </cell>
          <cell r="F16">
            <v>0.48299999999999998</v>
          </cell>
          <cell r="BD16">
            <v>1.2</v>
          </cell>
          <cell r="BE16">
            <v>5.7000000000000002E-2</v>
          </cell>
        </row>
        <row r="17">
          <cell r="A17">
            <v>12</v>
          </cell>
          <cell r="B17" t="str">
            <v>X©y t­êng th¼ng VXM 75 dµy &gt;60,cao &lt;=2m</v>
          </cell>
          <cell r="C17" t="str">
            <v>m3</v>
          </cell>
          <cell r="D17">
            <v>1</v>
          </cell>
          <cell r="E17">
            <v>124.33</v>
          </cell>
          <cell r="F17">
            <v>0.47</v>
          </cell>
          <cell r="BD17">
            <v>1.2</v>
          </cell>
          <cell r="BE17">
            <v>5.7000000000000002E-2</v>
          </cell>
        </row>
        <row r="18">
          <cell r="A18">
            <v>13</v>
          </cell>
          <cell r="B18" t="str">
            <v>X©y t­êng th¼ng VXM 100 dµy &gt;60,cao &lt;=2m</v>
          </cell>
          <cell r="C18" t="str">
            <v>m3</v>
          </cell>
          <cell r="D18">
            <v>1</v>
          </cell>
          <cell r="E18">
            <v>161.72</v>
          </cell>
          <cell r="F18">
            <v>0.45800000000000002</v>
          </cell>
          <cell r="BD18">
            <v>1.2</v>
          </cell>
          <cell r="BE18">
            <v>5.7000000000000002E-2</v>
          </cell>
        </row>
        <row r="19">
          <cell r="A19">
            <v>14</v>
          </cell>
          <cell r="B19" t="str">
            <v>X©y t­êng th¼ng VXM 50 dµy &gt;60,cao &gt;2m</v>
          </cell>
          <cell r="C19" t="str">
            <v>m3</v>
          </cell>
          <cell r="D19">
            <v>1</v>
          </cell>
          <cell r="E19">
            <v>89.47</v>
          </cell>
          <cell r="F19">
            <v>0.48299999999999998</v>
          </cell>
          <cell r="K19">
            <v>1.1599999999999999</v>
          </cell>
          <cell r="L19">
            <v>8.0000000000000002E-3</v>
          </cell>
          <cell r="BD19">
            <v>1.2</v>
          </cell>
          <cell r="BE19">
            <v>5.7000000000000002E-2</v>
          </cell>
          <cell r="BO19">
            <v>0.35</v>
          </cell>
        </row>
        <row r="20">
          <cell r="A20">
            <v>15</v>
          </cell>
          <cell r="B20" t="str">
            <v>X©y t­êng th¼ng VXM 75 dµy &gt;60,cao &gt;2m</v>
          </cell>
          <cell r="C20" t="str">
            <v>m3</v>
          </cell>
          <cell r="D20">
            <v>1</v>
          </cell>
          <cell r="E20">
            <v>124.33</v>
          </cell>
          <cell r="F20">
            <v>0.47</v>
          </cell>
          <cell r="K20">
            <v>1.1599999999999999</v>
          </cell>
          <cell r="L20">
            <v>8.0000000000000002E-3</v>
          </cell>
          <cell r="BD20">
            <v>1.2</v>
          </cell>
          <cell r="BE20">
            <v>5.7000000000000002E-2</v>
          </cell>
          <cell r="BO20">
            <v>0.35</v>
          </cell>
        </row>
        <row r="21">
          <cell r="A21">
            <v>16</v>
          </cell>
          <cell r="B21" t="str">
            <v>X©y t­êng th¼ng VXM 100 dµy &gt;60,cao &gt;2m</v>
          </cell>
          <cell r="C21" t="str">
            <v>m3</v>
          </cell>
          <cell r="D21">
            <v>1</v>
          </cell>
          <cell r="E21">
            <v>161.72</v>
          </cell>
          <cell r="F21">
            <v>0.45800000000000002</v>
          </cell>
          <cell r="K21">
            <v>1.1599999999999999</v>
          </cell>
          <cell r="L21">
            <v>8.0000000000000002E-3</v>
          </cell>
          <cell r="BD21">
            <v>1.2</v>
          </cell>
          <cell r="BE21">
            <v>5.7000000000000002E-2</v>
          </cell>
          <cell r="BO21">
            <v>0.35</v>
          </cell>
        </row>
        <row r="22">
          <cell r="A22">
            <v>17</v>
          </cell>
          <cell r="B22" t="str">
            <v>X©y t­êng cong nghiªng vÆn vá ®ç VXM 50 cao &lt;=2m</v>
          </cell>
          <cell r="C22" t="str">
            <v>m3</v>
          </cell>
          <cell r="D22">
            <v>1</v>
          </cell>
          <cell r="E22">
            <v>89.47</v>
          </cell>
          <cell r="F22">
            <v>0.48299999999999998</v>
          </cell>
          <cell r="BD22">
            <v>1.2</v>
          </cell>
          <cell r="BE22">
            <v>5.7000000000000002E-2</v>
          </cell>
        </row>
        <row r="23">
          <cell r="A23">
            <v>18</v>
          </cell>
          <cell r="B23" t="str">
            <v>X©y t­êng cong nghiªng vÆn vá ®ç VXM 75 cao &lt;=2m</v>
          </cell>
          <cell r="C23" t="str">
            <v>m3</v>
          </cell>
          <cell r="D23">
            <v>1</v>
          </cell>
          <cell r="E23">
            <v>124.33</v>
          </cell>
          <cell r="F23">
            <v>0.47</v>
          </cell>
          <cell r="BD23">
            <v>1.2</v>
          </cell>
          <cell r="BE23">
            <v>5.7000000000000002E-2</v>
          </cell>
        </row>
        <row r="24">
          <cell r="A24">
            <v>19</v>
          </cell>
          <cell r="B24" t="str">
            <v>X©y t­êng cong nghiªng vÆn vá ®ç VXM 100 cao &lt;=2m</v>
          </cell>
          <cell r="C24" t="str">
            <v>m3</v>
          </cell>
          <cell r="D24">
            <v>1</v>
          </cell>
          <cell r="E24">
            <v>161.72</v>
          </cell>
          <cell r="F24">
            <v>0.45800000000000002</v>
          </cell>
          <cell r="BD24">
            <v>1.2</v>
          </cell>
          <cell r="BE24">
            <v>5.7000000000000002E-2</v>
          </cell>
        </row>
        <row r="25">
          <cell r="A25">
            <v>20</v>
          </cell>
          <cell r="B25" t="str">
            <v>X©y t­êng cong nghiªng vÆn vá ®ç VXM 50 dµy&lt;=60,cao &gt;2m</v>
          </cell>
          <cell r="C25" t="str">
            <v>m3</v>
          </cell>
          <cell r="D25">
            <v>1</v>
          </cell>
          <cell r="E25">
            <v>89.47</v>
          </cell>
          <cell r="F25">
            <v>0.48299999999999998</v>
          </cell>
          <cell r="K25">
            <v>1.62</v>
          </cell>
          <cell r="L25">
            <v>0.01</v>
          </cell>
          <cell r="BD25">
            <v>1.2</v>
          </cell>
          <cell r="BE25">
            <v>5.7000000000000002E-2</v>
          </cell>
          <cell r="BO25">
            <v>0.46</v>
          </cell>
        </row>
        <row r="26">
          <cell r="A26">
            <v>21</v>
          </cell>
          <cell r="B26" t="str">
            <v>X©y t­êng cong nghiªng vÆn vá ®ç VXM 75 dµy&lt;=60,cao &gt;2m</v>
          </cell>
          <cell r="C26" t="str">
            <v>m3</v>
          </cell>
          <cell r="D26">
            <v>1</v>
          </cell>
          <cell r="E26">
            <v>124.33</v>
          </cell>
          <cell r="F26">
            <v>0.47</v>
          </cell>
          <cell r="K26">
            <v>1.62</v>
          </cell>
          <cell r="L26">
            <v>0.01</v>
          </cell>
          <cell r="BD26">
            <v>1.2</v>
          </cell>
          <cell r="BE26">
            <v>5.7000000000000002E-2</v>
          </cell>
          <cell r="BO26">
            <v>0.46</v>
          </cell>
        </row>
        <row r="27">
          <cell r="A27">
            <v>22</v>
          </cell>
          <cell r="B27" t="str">
            <v>X©y t­êng cong nghiªng vÆn vá ®ç VXM 100 dµy&lt;=60,cao &gt;2m</v>
          </cell>
          <cell r="C27" t="str">
            <v>m3</v>
          </cell>
          <cell r="D27">
            <v>1</v>
          </cell>
          <cell r="E27">
            <v>161.72</v>
          </cell>
          <cell r="F27">
            <v>0.45800000000000002</v>
          </cell>
          <cell r="K27">
            <v>1.62</v>
          </cell>
          <cell r="L27">
            <v>0.01</v>
          </cell>
          <cell r="BD27">
            <v>1.2</v>
          </cell>
          <cell r="BE27">
            <v>5.7000000000000002E-2</v>
          </cell>
          <cell r="BO27">
            <v>0.46</v>
          </cell>
        </row>
        <row r="28">
          <cell r="A28">
            <v>23</v>
          </cell>
          <cell r="B28" t="str">
            <v>X©y t­êng cong nghiªng vÆn vá ®ç VXM 50 dµy&gt;60,cao &gt;2m</v>
          </cell>
          <cell r="C28" t="str">
            <v>m3</v>
          </cell>
          <cell r="D28">
            <v>1</v>
          </cell>
          <cell r="E28">
            <v>89.47</v>
          </cell>
          <cell r="F28">
            <v>0.48299999999999998</v>
          </cell>
          <cell r="K28">
            <v>1.1599999999999999</v>
          </cell>
          <cell r="L28">
            <v>8.0000000000000002E-3</v>
          </cell>
          <cell r="BD28">
            <v>1.2</v>
          </cell>
          <cell r="BE28">
            <v>5.7000000000000002E-2</v>
          </cell>
          <cell r="BO28">
            <v>0.35</v>
          </cell>
        </row>
        <row r="29">
          <cell r="A29">
            <v>24</v>
          </cell>
          <cell r="B29" t="str">
            <v>X©y t­êng cong nghiªng vÆn vá ®ç VXM 75 dµy&gt;60,cao &gt;2m</v>
          </cell>
          <cell r="C29" t="str">
            <v>m3</v>
          </cell>
          <cell r="D29">
            <v>1</v>
          </cell>
          <cell r="E29">
            <v>124.33</v>
          </cell>
          <cell r="F29">
            <v>0.47</v>
          </cell>
          <cell r="K29">
            <v>1.1599999999999999</v>
          </cell>
          <cell r="L29">
            <v>8.0000000000000002E-3</v>
          </cell>
          <cell r="BD29">
            <v>1.2</v>
          </cell>
          <cell r="BE29">
            <v>5.7000000000000002E-2</v>
          </cell>
          <cell r="BO29">
            <v>0.35</v>
          </cell>
        </row>
        <row r="30">
          <cell r="A30">
            <v>25</v>
          </cell>
          <cell r="B30" t="str">
            <v>X©y t­êng cong nghiªng vÆn vá ®ç VXM 100 dµy&gt;60,cao &gt;2m</v>
          </cell>
          <cell r="C30" t="str">
            <v>m3</v>
          </cell>
          <cell r="D30">
            <v>1</v>
          </cell>
          <cell r="E30">
            <v>161.72</v>
          </cell>
          <cell r="F30">
            <v>0.45800000000000002</v>
          </cell>
          <cell r="K30">
            <v>1.1599999999999999</v>
          </cell>
          <cell r="L30">
            <v>8.0000000000000002E-3</v>
          </cell>
          <cell r="BD30">
            <v>1.2</v>
          </cell>
          <cell r="BE30">
            <v>5.7000000000000002E-2</v>
          </cell>
          <cell r="BO30">
            <v>0.35</v>
          </cell>
        </row>
        <row r="31">
          <cell r="A31">
            <v>26</v>
          </cell>
          <cell r="B31" t="str">
            <v xml:space="preserve">X©y mè cÇu chiÒu cao &lt;=2 VXM 50 </v>
          </cell>
          <cell r="C31" t="str">
            <v>m3</v>
          </cell>
          <cell r="D31">
            <v>1</v>
          </cell>
          <cell r="E31">
            <v>89.47</v>
          </cell>
          <cell r="F31">
            <v>0.48299999999999998</v>
          </cell>
          <cell r="K31">
            <v>1.62</v>
          </cell>
          <cell r="L31">
            <v>0.01</v>
          </cell>
          <cell r="BD31">
            <v>1.2</v>
          </cell>
          <cell r="BE31">
            <v>5.7000000000000002E-2</v>
          </cell>
        </row>
        <row r="32">
          <cell r="A32">
            <v>27</v>
          </cell>
          <cell r="B32" t="str">
            <v>X©y mè cÇu chiÒu cao &lt;=2 VXM 75</v>
          </cell>
          <cell r="C32" t="str">
            <v>m3</v>
          </cell>
          <cell r="D32">
            <v>1</v>
          </cell>
          <cell r="E32">
            <v>124.33</v>
          </cell>
          <cell r="F32">
            <v>0.47</v>
          </cell>
          <cell r="K32">
            <v>1.62</v>
          </cell>
          <cell r="L32">
            <v>0.01</v>
          </cell>
          <cell r="BD32">
            <v>1.2</v>
          </cell>
          <cell r="BE32">
            <v>5.7000000000000002E-2</v>
          </cell>
        </row>
        <row r="33">
          <cell r="A33">
            <v>28</v>
          </cell>
          <cell r="B33" t="str">
            <v xml:space="preserve">X©y mè cÇu chiÒu cao &lt;=2 VXM 100 </v>
          </cell>
          <cell r="C33" t="str">
            <v>m3</v>
          </cell>
          <cell r="D33">
            <v>1</v>
          </cell>
          <cell r="E33">
            <v>161.72</v>
          </cell>
          <cell r="F33">
            <v>0.45800000000000002</v>
          </cell>
          <cell r="K33">
            <v>1.62</v>
          </cell>
          <cell r="L33">
            <v>0.01</v>
          </cell>
          <cell r="BD33">
            <v>1.2</v>
          </cell>
          <cell r="BE33">
            <v>5.7000000000000002E-2</v>
          </cell>
        </row>
        <row r="34">
          <cell r="A34">
            <v>29</v>
          </cell>
          <cell r="B34" t="str">
            <v xml:space="preserve">X©y mè cÇu chiÒu cao &gt;2 VXM 50 </v>
          </cell>
          <cell r="C34" t="str">
            <v>m3</v>
          </cell>
          <cell r="D34">
            <v>1</v>
          </cell>
          <cell r="E34">
            <v>89.47</v>
          </cell>
          <cell r="F34">
            <v>0.48299999999999998</v>
          </cell>
          <cell r="K34">
            <v>1.62</v>
          </cell>
          <cell r="L34">
            <v>0.01</v>
          </cell>
          <cell r="BD34">
            <v>1.2</v>
          </cell>
          <cell r="BE34">
            <v>5.7000000000000002E-2</v>
          </cell>
          <cell r="BO34">
            <v>0.46</v>
          </cell>
        </row>
        <row r="35">
          <cell r="A35">
            <v>30</v>
          </cell>
          <cell r="B35" t="str">
            <v xml:space="preserve">X©y mè cÇu chiÒu cao &gt;2 VXM 75 </v>
          </cell>
          <cell r="C35" t="str">
            <v>m3</v>
          </cell>
          <cell r="D35">
            <v>1</v>
          </cell>
          <cell r="E35">
            <v>124.33</v>
          </cell>
          <cell r="F35">
            <v>0.47</v>
          </cell>
          <cell r="K35">
            <v>1.62</v>
          </cell>
          <cell r="L35">
            <v>0.01</v>
          </cell>
          <cell r="BD35">
            <v>1.2</v>
          </cell>
          <cell r="BE35">
            <v>5.7000000000000002E-2</v>
          </cell>
          <cell r="BO35">
            <v>0.46</v>
          </cell>
        </row>
        <row r="36">
          <cell r="A36">
            <v>31</v>
          </cell>
          <cell r="B36" t="str">
            <v xml:space="preserve">X©y mè cÇu chiÒu cao &gt;2 VXM 100 </v>
          </cell>
          <cell r="C36" t="str">
            <v>m3</v>
          </cell>
          <cell r="D36">
            <v>1</v>
          </cell>
          <cell r="E36">
            <v>161.72</v>
          </cell>
          <cell r="F36">
            <v>0.45800000000000002</v>
          </cell>
          <cell r="K36">
            <v>1.62</v>
          </cell>
          <cell r="L36">
            <v>0.01</v>
          </cell>
          <cell r="BD36">
            <v>1.2</v>
          </cell>
          <cell r="BE36">
            <v>5.7000000000000002E-2</v>
          </cell>
          <cell r="BO36">
            <v>0.46</v>
          </cell>
        </row>
        <row r="37">
          <cell r="A37">
            <v>32</v>
          </cell>
          <cell r="B37" t="str">
            <v xml:space="preserve">X©y trô cét chiÒu cao &lt;=2 VXM 50 </v>
          </cell>
          <cell r="C37" t="str">
            <v>m3</v>
          </cell>
          <cell r="D37">
            <v>1</v>
          </cell>
          <cell r="E37">
            <v>89.47</v>
          </cell>
          <cell r="F37">
            <v>0.48299999999999998</v>
          </cell>
          <cell r="K37">
            <v>0.5</v>
          </cell>
          <cell r="L37">
            <v>3.0000000000000001E-3</v>
          </cell>
          <cell r="BD37">
            <v>1.2</v>
          </cell>
          <cell r="BE37">
            <v>5.7000000000000002E-2</v>
          </cell>
          <cell r="BO37">
            <v>0.23</v>
          </cell>
          <cell r="BP37">
            <v>7.35</v>
          </cell>
        </row>
        <row r="38">
          <cell r="A38">
            <v>33</v>
          </cell>
          <cell r="B38" t="str">
            <v>X©y trô cét chiÒu cao &lt;=2 VXM 75</v>
          </cell>
          <cell r="C38" t="str">
            <v>m3</v>
          </cell>
          <cell r="D38">
            <v>1</v>
          </cell>
          <cell r="E38">
            <v>124.33</v>
          </cell>
          <cell r="F38">
            <v>0.47</v>
          </cell>
          <cell r="K38">
            <v>0.5</v>
          </cell>
          <cell r="L38">
            <v>3.0000000000000001E-3</v>
          </cell>
          <cell r="BD38">
            <v>1.2</v>
          </cell>
          <cell r="BE38">
            <v>5.7000000000000002E-2</v>
          </cell>
          <cell r="BO38">
            <v>0.23</v>
          </cell>
          <cell r="BP38">
            <v>7.35</v>
          </cell>
        </row>
        <row r="39">
          <cell r="A39">
            <v>34</v>
          </cell>
          <cell r="B39" t="str">
            <v xml:space="preserve">X©y trô cét chiÒu cao &lt;=2 VXM 100 </v>
          </cell>
          <cell r="C39" t="str">
            <v>m3</v>
          </cell>
          <cell r="D39">
            <v>1</v>
          </cell>
          <cell r="E39">
            <v>161.72</v>
          </cell>
          <cell r="F39">
            <v>0.45800000000000002</v>
          </cell>
          <cell r="K39">
            <v>0.5</v>
          </cell>
          <cell r="L39">
            <v>3.0000000000000001E-3</v>
          </cell>
          <cell r="BD39">
            <v>1.2</v>
          </cell>
          <cell r="BE39">
            <v>5.7000000000000002E-2</v>
          </cell>
          <cell r="BO39">
            <v>0.23</v>
          </cell>
          <cell r="BP39">
            <v>7.35</v>
          </cell>
        </row>
        <row r="40">
          <cell r="A40">
            <v>35</v>
          </cell>
          <cell r="B40" t="str">
            <v xml:space="preserve">X©y trô cét chiÒu cao &gt;2 VXM 50 </v>
          </cell>
          <cell r="C40" t="str">
            <v>m3</v>
          </cell>
          <cell r="D40">
            <v>1</v>
          </cell>
          <cell r="E40">
            <v>89.47</v>
          </cell>
          <cell r="F40">
            <v>0.48299999999999998</v>
          </cell>
          <cell r="K40">
            <v>1.62</v>
          </cell>
          <cell r="L40">
            <v>0.01</v>
          </cell>
          <cell r="BD40">
            <v>1.2</v>
          </cell>
          <cell r="BE40">
            <v>5.7000000000000002E-2</v>
          </cell>
          <cell r="BO40">
            <v>0.46</v>
          </cell>
          <cell r="BP40">
            <v>7.35</v>
          </cell>
        </row>
        <row r="41">
          <cell r="A41">
            <v>36</v>
          </cell>
          <cell r="B41" t="str">
            <v xml:space="preserve">X©y trô cét chiÒu cao &gt;2 VXM 75 </v>
          </cell>
          <cell r="C41" t="str">
            <v>m3</v>
          </cell>
          <cell r="D41">
            <v>1</v>
          </cell>
          <cell r="E41">
            <v>124.33</v>
          </cell>
          <cell r="F41">
            <v>0.47</v>
          </cell>
          <cell r="K41">
            <v>1.62</v>
          </cell>
          <cell r="L41">
            <v>0.01</v>
          </cell>
          <cell r="BD41">
            <v>1.2</v>
          </cell>
          <cell r="BE41">
            <v>5.7000000000000002E-2</v>
          </cell>
          <cell r="BO41">
            <v>0.46</v>
          </cell>
          <cell r="BP41">
            <v>7.35</v>
          </cell>
        </row>
        <row r="42">
          <cell r="A42">
            <v>37</v>
          </cell>
          <cell r="B42" t="str">
            <v xml:space="preserve">X©y trô cét chiÒu cao &gt;2 VXM 100 </v>
          </cell>
          <cell r="C42" t="str">
            <v>m3</v>
          </cell>
          <cell r="D42">
            <v>1</v>
          </cell>
          <cell r="E42">
            <v>161.72</v>
          </cell>
          <cell r="F42">
            <v>0.45800000000000002</v>
          </cell>
          <cell r="K42">
            <v>1.62</v>
          </cell>
          <cell r="L42">
            <v>0.01</v>
          </cell>
          <cell r="BD42">
            <v>1.2</v>
          </cell>
          <cell r="BE42">
            <v>5.7000000000000002E-2</v>
          </cell>
          <cell r="BO42">
            <v>0.46</v>
          </cell>
          <cell r="BP42">
            <v>7.35</v>
          </cell>
        </row>
        <row r="43">
          <cell r="A43">
            <v>38</v>
          </cell>
          <cell r="B43" t="str">
            <v xml:space="preserve">X©y t­êng ®Çu cÇu chiÒu cao &lt;=2 VXM 50 </v>
          </cell>
          <cell r="C43" t="str">
            <v>m3</v>
          </cell>
          <cell r="D43">
            <v>1</v>
          </cell>
          <cell r="E43">
            <v>89.47</v>
          </cell>
          <cell r="F43">
            <v>0.48299999999999998</v>
          </cell>
          <cell r="K43">
            <v>0.5</v>
          </cell>
          <cell r="L43">
            <v>3.0000000000000001E-3</v>
          </cell>
          <cell r="BD43">
            <v>1.2</v>
          </cell>
          <cell r="BE43">
            <v>5.7000000000000002E-2</v>
          </cell>
          <cell r="BO43">
            <v>0.23</v>
          </cell>
        </row>
        <row r="44">
          <cell r="A44">
            <v>39</v>
          </cell>
          <cell r="B44" t="str">
            <v>X©y t­êng ®Çu cÇu chiÒu cao &lt;=2 VXM 75</v>
          </cell>
          <cell r="C44" t="str">
            <v>m3</v>
          </cell>
          <cell r="D44">
            <v>1</v>
          </cell>
          <cell r="E44">
            <v>124.33</v>
          </cell>
          <cell r="F44">
            <v>0.47</v>
          </cell>
          <cell r="K44">
            <v>0.5</v>
          </cell>
          <cell r="L44">
            <v>3.0000000000000001E-3</v>
          </cell>
          <cell r="BD44">
            <v>1.2</v>
          </cell>
          <cell r="BE44">
            <v>5.7000000000000002E-2</v>
          </cell>
          <cell r="BO44">
            <v>0.23</v>
          </cell>
        </row>
        <row r="45">
          <cell r="A45">
            <v>40</v>
          </cell>
          <cell r="B45" t="str">
            <v xml:space="preserve">X©y t­êng ®Çu cÇu chiÒu cao &lt;=2 VXM 100 </v>
          </cell>
          <cell r="C45" t="str">
            <v>m3</v>
          </cell>
          <cell r="D45">
            <v>1</v>
          </cell>
          <cell r="E45">
            <v>161.72</v>
          </cell>
          <cell r="F45">
            <v>0.45800000000000002</v>
          </cell>
          <cell r="K45">
            <v>0.5</v>
          </cell>
          <cell r="L45">
            <v>3.0000000000000001E-3</v>
          </cell>
          <cell r="BD45">
            <v>1.2</v>
          </cell>
          <cell r="BE45">
            <v>5.7000000000000002E-2</v>
          </cell>
          <cell r="BO45">
            <v>0.23</v>
          </cell>
        </row>
        <row r="46">
          <cell r="A46">
            <v>41</v>
          </cell>
          <cell r="B46" t="str">
            <v xml:space="preserve">X©y t­êng ®Çu cÇu chiÒu cao &gt;2 VXM 50 </v>
          </cell>
          <cell r="C46" t="str">
            <v>m3</v>
          </cell>
          <cell r="D46">
            <v>1</v>
          </cell>
          <cell r="E46">
            <v>89.47</v>
          </cell>
          <cell r="F46">
            <v>0.48299999999999998</v>
          </cell>
          <cell r="K46">
            <v>1.62</v>
          </cell>
          <cell r="L46">
            <v>0.01</v>
          </cell>
          <cell r="BD46">
            <v>1.2</v>
          </cell>
          <cell r="BE46">
            <v>5.7000000000000002E-2</v>
          </cell>
          <cell r="BO46">
            <v>0.46</v>
          </cell>
        </row>
        <row r="47">
          <cell r="A47">
            <v>42</v>
          </cell>
          <cell r="B47" t="str">
            <v xml:space="preserve">X©y t­êng ®Çu cÇu chiÒu cao &gt;2 VXM 75 </v>
          </cell>
          <cell r="C47" t="str">
            <v>m3</v>
          </cell>
          <cell r="D47">
            <v>1</v>
          </cell>
          <cell r="E47">
            <v>124.33</v>
          </cell>
          <cell r="F47">
            <v>0.47</v>
          </cell>
          <cell r="K47">
            <v>1.62</v>
          </cell>
          <cell r="L47">
            <v>0.01</v>
          </cell>
          <cell r="BD47">
            <v>1.2</v>
          </cell>
          <cell r="BE47">
            <v>5.7000000000000002E-2</v>
          </cell>
          <cell r="BO47">
            <v>0.46</v>
          </cell>
        </row>
        <row r="48">
          <cell r="A48">
            <v>43</v>
          </cell>
          <cell r="B48" t="str">
            <v xml:space="preserve">X©y t­êng ®Çu cÇu chiÒu cao &gt;2 VXM 100 </v>
          </cell>
          <cell r="C48" t="str">
            <v>m3</v>
          </cell>
          <cell r="D48">
            <v>1</v>
          </cell>
          <cell r="E48">
            <v>161.72</v>
          </cell>
          <cell r="F48">
            <v>0.45800000000000002</v>
          </cell>
          <cell r="K48">
            <v>1.62</v>
          </cell>
          <cell r="L48">
            <v>0.01</v>
          </cell>
          <cell r="BD48">
            <v>1.2</v>
          </cell>
          <cell r="BE48">
            <v>5.7000000000000002E-2</v>
          </cell>
          <cell r="BO48">
            <v>0.46</v>
          </cell>
        </row>
        <row r="49">
          <cell r="A49">
            <v>44</v>
          </cell>
          <cell r="B49" t="str">
            <v>X©y mÆt b»ng ®¸ héc VXM 50</v>
          </cell>
          <cell r="C49" t="str">
            <v>m3</v>
          </cell>
          <cell r="D49">
            <v>1</v>
          </cell>
          <cell r="E49">
            <v>89.47</v>
          </cell>
          <cell r="F49">
            <v>0.48299999999999998</v>
          </cell>
          <cell r="BD49">
            <v>1.2</v>
          </cell>
          <cell r="BE49">
            <v>5.7000000000000002E-2</v>
          </cell>
        </row>
        <row r="50">
          <cell r="A50">
            <v>45</v>
          </cell>
          <cell r="B50" t="str">
            <v>X©y mÆt b»ng ®¸ héc VXM 75</v>
          </cell>
          <cell r="C50" t="str">
            <v>m3</v>
          </cell>
          <cell r="D50">
            <v>1</v>
          </cell>
          <cell r="E50">
            <v>124.33</v>
          </cell>
          <cell r="F50">
            <v>0.47</v>
          </cell>
          <cell r="BD50">
            <v>1.2</v>
          </cell>
          <cell r="BE50">
            <v>5.7000000000000002E-2</v>
          </cell>
        </row>
        <row r="51">
          <cell r="A51">
            <v>46</v>
          </cell>
          <cell r="B51" t="str">
            <v>X©y mÆt b»ng ®¸ héc VXM 100</v>
          </cell>
          <cell r="C51" t="str">
            <v>m3</v>
          </cell>
          <cell r="D51">
            <v>1</v>
          </cell>
          <cell r="E51">
            <v>161.72</v>
          </cell>
          <cell r="F51">
            <v>0.45800000000000002</v>
          </cell>
          <cell r="BD51">
            <v>1.2</v>
          </cell>
          <cell r="BE51">
            <v>5.7000000000000002E-2</v>
          </cell>
        </row>
        <row r="52">
          <cell r="A52">
            <v>47</v>
          </cell>
          <cell r="B52" t="str">
            <v>X©y mÆt b»ng m¸i dèc th¼ng ®¸ héc VXM 50</v>
          </cell>
          <cell r="C52" t="str">
            <v>m3</v>
          </cell>
          <cell r="D52">
            <v>1</v>
          </cell>
          <cell r="E52">
            <v>89.47</v>
          </cell>
          <cell r="F52">
            <v>0.48299999999999998</v>
          </cell>
          <cell r="BD52">
            <v>1.2</v>
          </cell>
          <cell r="BE52">
            <v>5.7000000000000002E-2</v>
          </cell>
        </row>
        <row r="53">
          <cell r="A53">
            <v>48</v>
          </cell>
          <cell r="B53" t="str">
            <v>X©y mÆt b»ng m¸i dèc th¼ng ®¸ héc VXM 75</v>
          </cell>
          <cell r="C53" t="str">
            <v>m3</v>
          </cell>
          <cell r="D53">
            <v>1</v>
          </cell>
          <cell r="E53">
            <v>124.33</v>
          </cell>
          <cell r="F53">
            <v>0.47</v>
          </cell>
          <cell r="BD53">
            <v>1.2</v>
          </cell>
          <cell r="BE53">
            <v>5.7000000000000002E-2</v>
          </cell>
        </row>
        <row r="54">
          <cell r="A54">
            <v>49</v>
          </cell>
          <cell r="B54" t="str">
            <v>X©y mÆt b»ng m¸i dèc th¼ng ®¸ héc VXM 100</v>
          </cell>
          <cell r="C54" t="str">
            <v>m3</v>
          </cell>
          <cell r="D54">
            <v>1</v>
          </cell>
          <cell r="E54">
            <v>161.72</v>
          </cell>
          <cell r="F54">
            <v>0.45800000000000002</v>
          </cell>
          <cell r="BD54">
            <v>1.2</v>
          </cell>
          <cell r="BE54">
            <v>5.7000000000000002E-2</v>
          </cell>
        </row>
        <row r="55">
          <cell r="A55">
            <v>50</v>
          </cell>
          <cell r="B55" t="str">
            <v>X©y mÆt b»ng m¸i dèc cong ®¸ héc VXM 50</v>
          </cell>
          <cell r="C55" t="str">
            <v>m3</v>
          </cell>
          <cell r="D55">
            <v>1</v>
          </cell>
          <cell r="E55">
            <v>89.47</v>
          </cell>
          <cell r="F55">
            <v>0.48299999999999998</v>
          </cell>
          <cell r="V55">
            <v>0.51</v>
          </cell>
          <cell r="BD55">
            <v>1.2</v>
          </cell>
          <cell r="BE55">
            <v>5.7000000000000002E-2</v>
          </cell>
        </row>
        <row r="56">
          <cell r="A56">
            <v>51</v>
          </cell>
          <cell r="B56" t="str">
            <v>X©y mÆt b»ng m¸i dèc cong ®¸ héc VXM 75</v>
          </cell>
          <cell r="C56" t="str">
            <v>m3</v>
          </cell>
          <cell r="D56">
            <v>1</v>
          </cell>
          <cell r="E56">
            <v>124.33</v>
          </cell>
          <cell r="F56">
            <v>0.47</v>
          </cell>
          <cell r="V56">
            <v>0.51</v>
          </cell>
          <cell r="BD56">
            <v>1.2</v>
          </cell>
          <cell r="BE56">
            <v>5.7000000000000002E-2</v>
          </cell>
        </row>
        <row r="57">
          <cell r="A57">
            <v>52</v>
          </cell>
          <cell r="B57" t="str">
            <v>X©y mÆt b»ng m¸i dèc cong ®¸ héc VXM 100</v>
          </cell>
          <cell r="C57" t="str">
            <v>m3</v>
          </cell>
          <cell r="D57">
            <v>1</v>
          </cell>
          <cell r="E57">
            <v>161.72</v>
          </cell>
          <cell r="F57">
            <v>0.45800000000000002</v>
          </cell>
          <cell r="V57">
            <v>0.51</v>
          </cell>
          <cell r="BD57">
            <v>1.2</v>
          </cell>
          <cell r="BE57">
            <v>5.7000000000000002E-2</v>
          </cell>
        </row>
        <row r="58">
          <cell r="A58">
            <v>53</v>
          </cell>
          <cell r="B58" t="str">
            <v>X©y mãng g¹ch chØ VXM 50 dµy &lt;=33</v>
          </cell>
          <cell r="C58" t="str">
            <v>m3</v>
          </cell>
          <cell r="D58">
            <v>1</v>
          </cell>
          <cell r="E58">
            <v>66.709999999999994</v>
          </cell>
          <cell r="F58">
            <v>0.32500000000000001</v>
          </cell>
          <cell r="I58">
            <v>550</v>
          </cell>
        </row>
        <row r="59">
          <cell r="A59">
            <v>54</v>
          </cell>
          <cell r="B59" t="str">
            <v>X©y mãng g¹ch chØ VXM 75 dµy &lt;=33</v>
          </cell>
          <cell r="C59" t="str">
            <v>m3</v>
          </cell>
          <cell r="D59">
            <v>1</v>
          </cell>
          <cell r="E59">
            <v>92.81</v>
          </cell>
          <cell r="F59">
            <v>0.316</v>
          </cell>
          <cell r="I59">
            <v>550</v>
          </cell>
        </row>
        <row r="60">
          <cell r="A60">
            <v>55</v>
          </cell>
          <cell r="B60" t="str">
            <v>X©y mãng g¹ch chØ VXM 100 dµy &lt;=33</v>
          </cell>
          <cell r="C60" t="str">
            <v>m3</v>
          </cell>
          <cell r="D60">
            <v>1</v>
          </cell>
          <cell r="E60">
            <v>118.91</v>
          </cell>
          <cell r="F60">
            <v>0.30499999999999999</v>
          </cell>
          <cell r="I60">
            <v>550</v>
          </cell>
        </row>
        <row r="61">
          <cell r="A61">
            <v>56</v>
          </cell>
          <cell r="B61" t="str">
            <v>X©y mãng VXM 50 dµy &gt;33</v>
          </cell>
          <cell r="C61" t="str">
            <v>m3</v>
          </cell>
          <cell r="D61">
            <v>1</v>
          </cell>
          <cell r="E61">
            <v>69.010000000000005</v>
          </cell>
          <cell r="F61">
            <v>0.33600000000000002</v>
          </cell>
          <cell r="I61">
            <v>539</v>
          </cell>
        </row>
        <row r="62">
          <cell r="A62">
            <v>57</v>
          </cell>
          <cell r="B62" t="str">
            <v>X©y mãng VXM 75 dµy &gt;33</v>
          </cell>
          <cell r="C62" t="str">
            <v>m3</v>
          </cell>
          <cell r="D62">
            <v>1</v>
          </cell>
          <cell r="E62">
            <v>96.01</v>
          </cell>
          <cell r="F62">
            <v>0.33</v>
          </cell>
          <cell r="I62">
            <v>539</v>
          </cell>
        </row>
        <row r="63">
          <cell r="A63">
            <v>58</v>
          </cell>
          <cell r="B63" t="str">
            <v>X©y mãng VXM 100 dµy &gt;33</v>
          </cell>
          <cell r="C63" t="str">
            <v>m3</v>
          </cell>
          <cell r="D63">
            <v>1</v>
          </cell>
          <cell r="E63">
            <v>123</v>
          </cell>
          <cell r="F63">
            <v>0.315</v>
          </cell>
          <cell r="I63">
            <v>539</v>
          </cell>
        </row>
        <row r="64">
          <cell r="A64">
            <v>59</v>
          </cell>
          <cell r="B64" t="str">
            <v>X©y t­êng g¹ch&lt;= 11 VTH c¸t ®en  25 cao&lt;=4m</v>
          </cell>
          <cell r="C64" t="str">
            <v>m3</v>
          </cell>
          <cell r="D64">
            <v>1</v>
          </cell>
          <cell r="E64">
            <v>27.83</v>
          </cell>
          <cell r="G64">
            <v>0.26</v>
          </cell>
          <cell r="I64">
            <v>643</v>
          </cell>
          <cell r="J64">
            <v>21.35</v>
          </cell>
          <cell r="K64">
            <v>0.5</v>
          </cell>
          <cell r="L64">
            <v>3.0000000000000001E-3</v>
          </cell>
          <cell r="BO64">
            <v>0.23</v>
          </cell>
        </row>
        <row r="65">
          <cell r="A65">
            <v>60</v>
          </cell>
          <cell r="B65" t="str">
            <v>X©y t­êng g¹ch&lt;= 11 VTH c¸t ®en  50 cao&lt;=4m</v>
          </cell>
          <cell r="C65" t="str">
            <v>m3</v>
          </cell>
          <cell r="D65">
            <v>1</v>
          </cell>
          <cell r="E65">
            <v>51.76</v>
          </cell>
          <cell r="G65">
            <v>0.253</v>
          </cell>
          <cell r="I65">
            <v>643</v>
          </cell>
          <cell r="J65">
            <v>15.08</v>
          </cell>
          <cell r="K65">
            <v>0.5</v>
          </cell>
          <cell r="L65">
            <v>3.0000000000000001E-3</v>
          </cell>
          <cell r="BO65">
            <v>0.23</v>
          </cell>
        </row>
        <row r="66">
          <cell r="A66">
            <v>61</v>
          </cell>
          <cell r="B66" t="str">
            <v>X©y t­êng g¹ch&lt;= 11 VTH c¸t ®en  75 cao&lt;=4m</v>
          </cell>
          <cell r="C66" t="str">
            <v>m3</v>
          </cell>
          <cell r="D66">
            <v>1</v>
          </cell>
          <cell r="E66">
            <v>73.430000000000007</v>
          </cell>
          <cell r="G66">
            <v>0.246</v>
          </cell>
          <cell r="I66">
            <v>643</v>
          </cell>
          <cell r="J66">
            <v>10.32</v>
          </cell>
          <cell r="K66">
            <v>0.5</v>
          </cell>
          <cell r="L66">
            <v>3.0000000000000001E-3</v>
          </cell>
          <cell r="BO66">
            <v>0.23</v>
          </cell>
        </row>
        <row r="67">
          <cell r="A67">
            <v>62</v>
          </cell>
          <cell r="B67" t="str">
            <v>X©y t­êng g¹ch&lt;= 11 VXM c¸t vµng  50 cao&lt;=4m</v>
          </cell>
          <cell r="C67" t="str">
            <v>m3</v>
          </cell>
          <cell r="D67">
            <v>1</v>
          </cell>
          <cell r="E67">
            <v>52.91</v>
          </cell>
          <cell r="F67">
            <v>0.25800000000000001</v>
          </cell>
          <cell r="I67">
            <v>643</v>
          </cell>
          <cell r="K67">
            <v>0.5</v>
          </cell>
          <cell r="L67">
            <v>3.0000000000000001E-3</v>
          </cell>
          <cell r="BO67">
            <v>0.23</v>
          </cell>
        </row>
        <row r="68">
          <cell r="A68">
            <v>63</v>
          </cell>
          <cell r="B68" t="str">
            <v>X©y t­êng g¹ch&lt;= 11 VXM c¸t vµng  75 cao&lt;=4m</v>
          </cell>
          <cell r="C68" t="str">
            <v>m3</v>
          </cell>
          <cell r="D68">
            <v>1</v>
          </cell>
          <cell r="E68">
            <v>73.61</v>
          </cell>
          <cell r="F68">
            <v>0.251</v>
          </cell>
          <cell r="I68">
            <v>643</v>
          </cell>
          <cell r="K68">
            <v>0.5</v>
          </cell>
          <cell r="L68">
            <v>3.0000000000000001E-3</v>
          </cell>
          <cell r="BO68">
            <v>0.23</v>
          </cell>
        </row>
        <row r="69">
          <cell r="A69">
            <v>64</v>
          </cell>
          <cell r="B69" t="str">
            <v>X©y t­êng g¹ch&lt;= 11 VXM c¸t vµng  100 cao&lt;=4m</v>
          </cell>
          <cell r="C69" t="str">
            <v>m3</v>
          </cell>
          <cell r="D69">
            <v>1</v>
          </cell>
          <cell r="E69">
            <v>94.31</v>
          </cell>
          <cell r="F69">
            <v>0.24199999999999999</v>
          </cell>
          <cell r="I69">
            <v>643</v>
          </cell>
          <cell r="K69">
            <v>0.5</v>
          </cell>
          <cell r="L69">
            <v>3.0000000000000001E-3</v>
          </cell>
          <cell r="BO69">
            <v>0.23</v>
          </cell>
        </row>
        <row r="70">
          <cell r="A70">
            <v>65</v>
          </cell>
          <cell r="B70" t="str">
            <v>X©y t­êng g¹ch&lt;= 11 VTH c¸t ®en 25 cao&gt;4m</v>
          </cell>
          <cell r="C70" t="str">
            <v>m3</v>
          </cell>
          <cell r="D70">
            <v>1</v>
          </cell>
          <cell r="E70">
            <v>27.83</v>
          </cell>
          <cell r="G70">
            <v>0.26</v>
          </cell>
          <cell r="I70">
            <v>643</v>
          </cell>
          <cell r="J70">
            <v>21.35</v>
          </cell>
          <cell r="K70">
            <v>1.62</v>
          </cell>
          <cell r="L70">
            <v>0.01</v>
          </cell>
          <cell r="BO70">
            <v>0.46</v>
          </cell>
        </row>
        <row r="71">
          <cell r="A71">
            <v>66</v>
          </cell>
          <cell r="B71" t="str">
            <v>X©y t­êng g¹ch&lt;= 11 VTH c¸t ®en 50 cao&gt;4m</v>
          </cell>
          <cell r="C71" t="str">
            <v>m3</v>
          </cell>
          <cell r="D71">
            <v>1</v>
          </cell>
          <cell r="E71">
            <v>51.76</v>
          </cell>
          <cell r="G71">
            <v>0.253</v>
          </cell>
          <cell r="I71">
            <v>643</v>
          </cell>
          <cell r="J71">
            <v>15.08</v>
          </cell>
          <cell r="K71">
            <v>1.62</v>
          </cell>
          <cell r="L71">
            <v>0.01</v>
          </cell>
          <cell r="BO71">
            <v>0.46</v>
          </cell>
        </row>
        <row r="72">
          <cell r="A72">
            <v>67</v>
          </cell>
          <cell r="B72" t="str">
            <v>X©y t­êng g¹ch&lt;= 11 VTH c¸t ®en 75 cao&gt;4m</v>
          </cell>
          <cell r="C72" t="str">
            <v>m3</v>
          </cell>
          <cell r="D72">
            <v>1</v>
          </cell>
          <cell r="E72">
            <v>73.430000000000007</v>
          </cell>
          <cell r="G72">
            <v>0.246</v>
          </cell>
          <cell r="I72">
            <v>643</v>
          </cell>
          <cell r="J72">
            <v>10.32</v>
          </cell>
          <cell r="K72">
            <v>1.62</v>
          </cell>
          <cell r="L72">
            <v>0.01</v>
          </cell>
          <cell r="BO72">
            <v>0.46</v>
          </cell>
        </row>
        <row r="73">
          <cell r="A73">
            <v>68</v>
          </cell>
          <cell r="B73" t="str">
            <v>X©y t­êng g¹ch&lt;= 11 VXM c¸t vµng  50 cao&gt;4m</v>
          </cell>
          <cell r="C73" t="str">
            <v>m3</v>
          </cell>
          <cell r="D73">
            <v>1</v>
          </cell>
          <cell r="E73">
            <v>52.91</v>
          </cell>
          <cell r="F73">
            <v>0.25800000000000001</v>
          </cell>
          <cell r="I73">
            <v>643</v>
          </cell>
          <cell r="K73">
            <v>1.62</v>
          </cell>
          <cell r="L73">
            <v>0.01</v>
          </cell>
          <cell r="BO73">
            <v>0.46</v>
          </cell>
        </row>
        <row r="74">
          <cell r="A74">
            <v>69</v>
          </cell>
          <cell r="B74" t="str">
            <v>X©y t­êng g¹ch&lt;= 11 VXM c¸t vµng  75 cao&gt;4m</v>
          </cell>
          <cell r="C74" t="str">
            <v>m3</v>
          </cell>
          <cell r="D74">
            <v>1</v>
          </cell>
          <cell r="E74">
            <v>73.61</v>
          </cell>
          <cell r="F74">
            <v>0.251</v>
          </cell>
          <cell r="I74">
            <v>643</v>
          </cell>
          <cell r="K74">
            <v>1.62</v>
          </cell>
          <cell r="L74">
            <v>0.01</v>
          </cell>
          <cell r="BO74">
            <v>0.46</v>
          </cell>
        </row>
        <row r="75">
          <cell r="A75">
            <v>70</v>
          </cell>
          <cell r="B75" t="str">
            <v>X©y t­êng g¹ch&lt;= 11 VXM c¸t vµng  100 cao&gt;4m</v>
          </cell>
          <cell r="C75" t="str">
            <v>m3</v>
          </cell>
          <cell r="D75">
            <v>1</v>
          </cell>
          <cell r="E75">
            <v>94.31</v>
          </cell>
          <cell r="F75">
            <v>0.24199999999999999</v>
          </cell>
          <cell r="I75">
            <v>643</v>
          </cell>
          <cell r="K75">
            <v>1.62</v>
          </cell>
          <cell r="L75">
            <v>0.01</v>
          </cell>
          <cell r="BO75">
            <v>0.46</v>
          </cell>
        </row>
        <row r="76">
          <cell r="A76">
            <v>71</v>
          </cell>
          <cell r="B76" t="str">
            <v>X©y t­êng g¹ch &lt;=33 VTH c¸t ®en 25 cao&lt;=4m</v>
          </cell>
          <cell r="C76" t="str">
            <v>m3</v>
          </cell>
          <cell r="D76">
            <v>1</v>
          </cell>
          <cell r="E76">
            <v>35.090000000000003</v>
          </cell>
          <cell r="G76">
            <v>0.32800000000000001</v>
          </cell>
          <cell r="I76">
            <v>550</v>
          </cell>
          <cell r="J76">
            <v>26.92</v>
          </cell>
          <cell r="K76">
            <v>0.5</v>
          </cell>
          <cell r="L76">
            <v>3.0000000000000001E-3</v>
          </cell>
          <cell r="BO76">
            <v>0.23</v>
          </cell>
        </row>
        <row r="77">
          <cell r="A77">
            <v>72</v>
          </cell>
          <cell r="B77" t="str">
            <v>X©y t­êng g¹ch &lt;=33 VTH c¸t ®en 50 cao&lt;=4m</v>
          </cell>
          <cell r="C77" t="str">
            <v>m3</v>
          </cell>
          <cell r="D77">
            <v>1</v>
          </cell>
          <cell r="E77">
            <v>65.260000000000005</v>
          </cell>
          <cell r="G77">
            <v>0.31900000000000001</v>
          </cell>
          <cell r="I77">
            <v>550</v>
          </cell>
          <cell r="J77">
            <v>19.52</v>
          </cell>
          <cell r="K77">
            <v>0.5</v>
          </cell>
          <cell r="L77">
            <v>3.0000000000000001E-3</v>
          </cell>
          <cell r="BO77">
            <v>0.23</v>
          </cell>
        </row>
        <row r="78">
          <cell r="A78">
            <v>73</v>
          </cell>
          <cell r="B78" t="str">
            <v>X©y t­êng g¹ch &lt;=33 VTH c¸t ®en 75 cao&lt;=4m</v>
          </cell>
          <cell r="C78" t="str">
            <v>m3</v>
          </cell>
          <cell r="D78">
            <v>1</v>
          </cell>
          <cell r="E78">
            <v>92.58</v>
          </cell>
          <cell r="G78">
            <v>0.31</v>
          </cell>
          <cell r="I78">
            <v>550</v>
          </cell>
          <cell r="J78">
            <v>13.02</v>
          </cell>
          <cell r="K78">
            <v>0.5</v>
          </cell>
          <cell r="L78">
            <v>3.0000000000000001E-3</v>
          </cell>
          <cell r="BO78">
            <v>0.23</v>
          </cell>
        </row>
        <row r="79">
          <cell r="A79">
            <v>74</v>
          </cell>
          <cell r="B79" t="str">
            <v>X©y t­êng g¹ch&lt;= 33 VXM c¸t vµng  50 cao&lt;=4m</v>
          </cell>
          <cell r="C79" t="str">
            <v>m3</v>
          </cell>
          <cell r="D79">
            <v>1</v>
          </cell>
          <cell r="E79">
            <v>66.709999999999994</v>
          </cell>
          <cell r="F79">
            <v>0.32500000000000001</v>
          </cell>
          <cell r="I79">
            <v>550</v>
          </cell>
          <cell r="K79">
            <v>0.5</v>
          </cell>
          <cell r="L79">
            <v>3.0000000000000001E-3</v>
          </cell>
          <cell r="BO79">
            <v>0.23</v>
          </cell>
        </row>
        <row r="80">
          <cell r="A80">
            <v>75</v>
          </cell>
          <cell r="B80" t="str">
            <v>X©y t­êng g¹ch&lt;= 33 VXM c¸t vµng  75 cao&lt;=4m</v>
          </cell>
          <cell r="C80" t="str">
            <v>m3</v>
          </cell>
          <cell r="D80">
            <v>1</v>
          </cell>
          <cell r="E80">
            <v>92.81</v>
          </cell>
          <cell r="F80">
            <v>0.316</v>
          </cell>
          <cell r="I80">
            <v>550</v>
          </cell>
          <cell r="K80">
            <v>0.5</v>
          </cell>
          <cell r="L80">
            <v>3.0000000000000001E-3</v>
          </cell>
          <cell r="BO80">
            <v>0.23</v>
          </cell>
        </row>
        <row r="81">
          <cell r="A81">
            <v>76</v>
          </cell>
          <cell r="B81" t="str">
            <v>X©y t­êng g¹ch&lt;= 33 VXM c¸t vµng  100 cao&lt;=4m</v>
          </cell>
          <cell r="C81" t="str">
            <v>m3</v>
          </cell>
          <cell r="D81">
            <v>1</v>
          </cell>
          <cell r="E81">
            <v>118.91</v>
          </cell>
          <cell r="F81">
            <v>0.30499999999999999</v>
          </cell>
          <cell r="I81">
            <v>550</v>
          </cell>
          <cell r="K81">
            <v>0.5</v>
          </cell>
          <cell r="L81">
            <v>3.0000000000000001E-3</v>
          </cell>
          <cell r="BO81">
            <v>0.23</v>
          </cell>
        </row>
        <row r="82">
          <cell r="A82">
            <v>77</v>
          </cell>
          <cell r="B82" t="str">
            <v>X©y t­êng g¹ch &lt;=33 VTH c¸t ®en 25 cao&gt;4m</v>
          </cell>
          <cell r="C82" t="str">
            <v>m3</v>
          </cell>
          <cell r="D82">
            <v>1</v>
          </cell>
          <cell r="E82">
            <v>35.090000000000003</v>
          </cell>
          <cell r="G82">
            <v>0.32800000000000001</v>
          </cell>
          <cell r="I82">
            <v>550</v>
          </cell>
          <cell r="J82">
            <v>26.92</v>
          </cell>
          <cell r="K82">
            <v>1.62</v>
          </cell>
          <cell r="L82">
            <v>0.01</v>
          </cell>
          <cell r="BO82">
            <v>0.46</v>
          </cell>
        </row>
        <row r="83">
          <cell r="A83">
            <v>78</v>
          </cell>
          <cell r="B83" t="str">
            <v>X©y t­êng g¹ch &lt;=33 VTH c¸t ®en 50 cao&gt;4m</v>
          </cell>
          <cell r="C83" t="str">
            <v>m3</v>
          </cell>
          <cell r="D83">
            <v>1</v>
          </cell>
          <cell r="E83">
            <v>65.260000000000005</v>
          </cell>
          <cell r="G83">
            <v>0.31900000000000001</v>
          </cell>
          <cell r="I83">
            <v>550</v>
          </cell>
          <cell r="J83">
            <v>19.52</v>
          </cell>
          <cell r="K83">
            <v>1.62</v>
          </cell>
          <cell r="L83">
            <v>0.01</v>
          </cell>
          <cell r="BO83">
            <v>0.46</v>
          </cell>
        </row>
        <row r="84">
          <cell r="A84">
            <v>79</v>
          </cell>
          <cell r="B84" t="str">
            <v>X©y t­êng g¹ch &lt;=33 VTH c¸t ®en 75 cao&gt;4m</v>
          </cell>
          <cell r="C84" t="str">
            <v>m3</v>
          </cell>
          <cell r="D84">
            <v>1</v>
          </cell>
          <cell r="E84">
            <v>92.58</v>
          </cell>
          <cell r="G84">
            <v>0.31</v>
          </cell>
          <cell r="I84">
            <v>550</v>
          </cell>
          <cell r="J84">
            <v>13.02</v>
          </cell>
          <cell r="K84">
            <v>1.62</v>
          </cell>
          <cell r="L84">
            <v>0.01</v>
          </cell>
          <cell r="BO84">
            <v>0.46</v>
          </cell>
        </row>
        <row r="85">
          <cell r="A85">
            <v>80</v>
          </cell>
          <cell r="B85" t="str">
            <v>X©y t­êng g¹ch&lt;= 33 VXM c¸t vµng  50 cao&gt;4m</v>
          </cell>
          <cell r="C85" t="str">
            <v>m3</v>
          </cell>
          <cell r="D85">
            <v>1</v>
          </cell>
          <cell r="E85">
            <v>66.709999999999994</v>
          </cell>
          <cell r="F85">
            <v>0.32500000000000001</v>
          </cell>
          <cell r="BO85">
            <v>0.46</v>
          </cell>
        </row>
        <row r="86">
          <cell r="A86">
            <v>81</v>
          </cell>
          <cell r="B86" t="str">
            <v>X©y t­êng g¹ch&lt;= 33 VXM c¸t vµng  75 cao&gt;4m</v>
          </cell>
          <cell r="C86" t="str">
            <v>m3</v>
          </cell>
          <cell r="D86">
            <v>1</v>
          </cell>
          <cell r="E86">
            <v>92.81</v>
          </cell>
          <cell r="F86">
            <v>0.316</v>
          </cell>
          <cell r="BO86">
            <v>0.46</v>
          </cell>
        </row>
        <row r="87">
          <cell r="A87">
            <v>82</v>
          </cell>
          <cell r="B87" t="str">
            <v>X©y t­êng g¹ch&lt;= 33 VXM c¸t vµng  100 cao&gt;4m</v>
          </cell>
          <cell r="C87" t="str">
            <v>m3</v>
          </cell>
          <cell r="D87">
            <v>1</v>
          </cell>
          <cell r="E87">
            <v>118.91</v>
          </cell>
          <cell r="F87">
            <v>0.30499999999999999</v>
          </cell>
          <cell r="BO87">
            <v>0.46</v>
          </cell>
        </row>
        <row r="88">
          <cell r="A88">
            <v>83</v>
          </cell>
          <cell r="B88" t="str">
            <v>X©y t­êng g¹ch &gt;33 VTH c¸t ®en 25 cao&lt;=4m</v>
          </cell>
          <cell r="C88" t="str">
            <v>m3</v>
          </cell>
          <cell r="D88">
            <v>1</v>
          </cell>
          <cell r="E88">
            <v>36.299999999999997</v>
          </cell>
          <cell r="G88">
            <v>0.33900000000000002</v>
          </cell>
          <cell r="I88">
            <v>539</v>
          </cell>
          <cell r="J88">
            <v>27.85</v>
          </cell>
          <cell r="K88">
            <v>0.4</v>
          </cell>
          <cell r="L88">
            <v>2.3999999999999998E-3</v>
          </cell>
          <cell r="BO88">
            <v>0.2</v>
          </cell>
        </row>
        <row r="89">
          <cell r="A89">
            <v>84</v>
          </cell>
          <cell r="B89" t="str">
            <v>X©y t­êng g¹ch &gt;33 VTH c¸t ®en 50 cao&lt;=4m</v>
          </cell>
          <cell r="C89" t="str">
            <v>m3</v>
          </cell>
          <cell r="D89">
            <v>1</v>
          </cell>
          <cell r="E89">
            <v>67.510000000000005</v>
          </cell>
          <cell r="G89">
            <v>0.33</v>
          </cell>
          <cell r="I89">
            <v>539</v>
          </cell>
          <cell r="J89">
            <v>20.2</v>
          </cell>
          <cell r="K89">
            <v>0.4</v>
          </cell>
          <cell r="L89">
            <v>2.3999999999999998E-3</v>
          </cell>
          <cell r="BO89">
            <v>0.2</v>
          </cell>
        </row>
        <row r="90">
          <cell r="A90">
            <v>85</v>
          </cell>
          <cell r="B90" t="str">
            <v>X©y t­êng g¹ch &gt;33 VTH c¸t ®en 75 cao&lt;=4m</v>
          </cell>
          <cell r="C90" t="str">
            <v>m3</v>
          </cell>
          <cell r="D90">
            <v>1</v>
          </cell>
          <cell r="E90">
            <v>95.78</v>
          </cell>
          <cell r="G90">
            <v>0.32100000000000001</v>
          </cell>
          <cell r="I90">
            <v>539</v>
          </cell>
          <cell r="J90">
            <v>13.46</v>
          </cell>
          <cell r="K90">
            <v>0.4</v>
          </cell>
          <cell r="L90">
            <v>2.3999999999999998E-3</v>
          </cell>
          <cell r="BO90">
            <v>0.2</v>
          </cell>
        </row>
        <row r="91">
          <cell r="A91">
            <v>86</v>
          </cell>
          <cell r="B91" t="str">
            <v>X©y t­êng g¹ch&gt; 33 VXM c¸t vµng  50 cao&lt;=4m</v>
          </cell>
          <cell r="C91" t="str">
            <v>m3</v>
          </cell>
          <cell r="D91">
            <v>1</v>
          </cell>
          <cell r="E91">
            <v>69.010000000000005</v>
          </cell>
          <cell r="F91">
            <v>0.33600000000000002</v>
          </cell>
          <cell r="I91">
            <v>539</v>
          </cell>
          <cell r="K91">
            <v>0.4</v>
          </cell>
          <cell r="L91">
            <v>2.3999999999999998E-3</v>
          </cell>
          <cell r="BO91">
            <v>0.2</v>
          </cell>
        </row>
        <row r="92">
          <cell r="A92">
            <v>87</v>
          </cell>
          <cell r="B92" t="str">
            <v>X©y t­êng g¹ch&gt; 33 VXM c¸t vµng  75 cao&lt;=4m</v>
          </cell>
          <cell r="C92" t="str">
            <v>m3</v>
          </cell>
          <cell r="D92">
            <v>1</v>
          </cell>
          <cell r="E92">
            <v>96.01</v>
          </cell>
          <cell r="F92">
            <v>0.33</v>
          </cell>
          <cell r="I92">
            <v>539</v>
          </cell>
          <cell r="K92">
            <v>0.4</v>
          </cell>
          <cell r="L92">
            <v>2.3999999999999998E-3</v>
          </cell>
          <cell r="BO92">
            <v>0.2</v>
          </cell>
        </row>
        <row r="93">
          <cell r="A93">
            <v>88</v>
          </cell>
          <cell r="B93" t="str">
            <v>X©y t­êng g¹ch&gt; 33 VXM c¸t vµng  100 cao&lt;=4m</v>
          </cell>
          <cell r="C93" t="str">
            <v>m3</v>
          </cell>
          <cell r="D93">
            <v>1</v>
          </cell>
          <cell r="E93">
            <v>123</v>
          </cell>
          <cell r="F93">
            <v>0.315</v>
          </cell>
          <cell r="I93">
            <v>539</v>
          </cell>
          <cell r="K93">
            <v>0.4</v>
          </cell>
          <cell r="L93">
            <v>2.3999999999999998E-3</v>
          </cell>
          <cell r="BO93">
            <v>0.2</v>
          </cell>
        </row>
        <row r="94">
          <cell r="A94">
            <v>89</v>
          </cell>
          <cell r="B94" t="str">
            <v>X©y t­êng g¹ch &gt;33 VTH c¸t ®en 25 cao&gt;4m</v>
          </cell>
          <cell r="C94" t="str">
            <v>m3</v>
          </cell>
          <cell r="D94">
            <v>1</v>
          </cell>
          <cell r="E94">
            <v>36.299999999999997</v>
          </cell>
          <cell r="G94">
            <v>0.33900000000000002</v>
          </cell>
          <cell r="I94">
            <v>539</v>
          </cell>
          <cell r="J94">
            <v>27.85</v>
          </cell>
          <cell r="K94">
            <v>1.1599999999999999</v>
          </cell>
          <cell r="L94">
            <v>8.0000000000000002E-3</v>
          </cell>
          <cell r="BO94">
            <v>0.35</v>
          </cell>
        </row>
        <row r="95">
          <cell r="A95">
            <v>90</v>
          </cell>
          <cell r="B95" t="str">
            <v>X©y t­êng g¹ch &gt;33 VTH c¸t ®en 50 cao&gt;4m</v>
          </cell>
          <cell r="C95" t="str">
            <v>m3</v>
          </cell>
          <cell r="D95">
            <v>1</v>
          </cell>
          <cell r="E95">
            <v>67.510000000000005</v>
          </cell>
          <cell r="G95">
            <v>0.33</v>
          </cell>
          <cell r="I95">
            <v>539</v>
          </cell>
          <cell r="J95">
            <v>20.2</v>
          </cell>
          <cell r="K95">
            <v>1.1599999999999999</v>
          </cell>
          <cell r="L95">
            <v>8.0000000000000002E-3</v>
          </cell>
          <cell r="BO95">
            <v>0.35</v>
          </cell>
        </row>
        <row r="96">
          <cell r="A96">
            <v>91</v>
          </cell>
          <cell r="B96" t="str">
            <v>X©y t­êng g¹ch &gt;33 VTH c¸t ®en 75 cao&gt;4m</v>
          </cell>
          <cell r="C96" t="str">
            <v>m3</v>
          </cell>
          <cell r="D96">
            <v>1</v>
          </cell>
          <cell r="E96">
            <v>95.78</v>
          </cell>
          <cell r="G96">
            <v>0.32100000000000001</v>
          </cell>
          <cell r="I96">
            <v>539</v>
          </cell>
          <cell r="J96">
            <v>13.46</v>
          </cell>
          <cell r="K96">
            <v>1.1599999999999999</v>
          </cell>
          <cell r="L96">
            <v>8.0000000000000002E-3</v>
          </cell>
          <cell r="BO96">
            <v>0.35</v>
          </cell>
        </row>
        <row r="97">
          <cell r="A97">
            <v>92</v>
          </cell>
          <cell r="B97" t="str">
            <v>X©y t­êng g¹ch&gt; 33 VXM c¸t vµng  50 cao&gt;4m</v>
          </cell>
          <cell r="C97" t="str">
            <v>m3</v>
          </cell>
          <cell r="D97">
            <v>1</v>
          </cell>
          <cell r="E97">
            <v>69.010000000000005</v>
          </cell>
          <cell r="F97">
            <v>0.33600000000000002</v>
          </cell>
          <cell r="I97">
            <v>539</v>
          </cell>
          <cell r="K97">
            <v>1.1599999999999999</v>
          </cell>
          <cell r="L97">
            <v>8.0000000000000002E-3</v>
          </cell>
          <cell r="BO97">
            <v>0.35</v>
          </cell>
        </row>
        <row r="98">
          <cell r="A98">
            <v>93</v>
          </cell>
          <cell r="B98" t="str">
            <v>X©y t­êng g¹ch&gt; 33 VXM c¸t vµng  75 cao&gt;4m</v>
          </cell>
          <cell r="C98" t="str">
            <v>m3</v>
          </cell>
          <cell r="D98">
            <v>1</v>
          </cell>
          <cell r="E98">
            <v>96.01</v>
          </cell>
          <cell r="F98">
            <v>0.33</v>
          </cell>
          <cell r="I98">
            <v>539</v>
          </cell>
          <cell r="K98">
            <v>1.1599999999999999</v>
          </cell>
          <cell r="L98">
            <v>8.0000000000000002E-3</v>
          </cell>
          <cell r="BO98">
            <v>0.35</v>
          </cell>
        </row>
        <row r="99">
          <cell r="A99">
            <v>94</v>
          </cell>
          <cell r="B99" t="str">
            <v>X©y t­êng g¹ch&gt; 33 VXM c¸t vµng  100 cao&gt;4m</v>
          </cell>
          <cell r="C99" t="str">
            <v>m3</v>
          </cell>
          <cell r="D99">
            <v>1</v>
          </cell>
          <cell r="E99">
            <v>123</v>
          </cell>
          <cell r="F99">
            <v>0.315</v>
          </cell>
          <cell r="I99">
            <v>539</v>
          </cell>
          <cell r="K99">
            <v>1.1599999999999999</v>
          </cell>
          <cell r="L99">
            <v>8.0000000000000002E-3</v>
          </cell>
          <cell r="BO99">
            <v>0.35</v>
          </cell>
        </row>
        <row r="100">
          <cell r="A100">
            <v>95</v>
          </cell>
          <cell r="B100" t="str">
            <v>X©y cét, trô ®éc lËp VTH c¸t ®en 25 cao&lt;=4m</v>
          </cell>
          <cell r="C100" t="str">
            <v>m3</v>
          </cell>
          <cell r="D100">
            <v>1</v>
          </cell>
          <cell r="E100">
            <v>36.299999999999997</v>
          </cell>
          <cell r="G100">
            <v>0.33900000000000002</v>
          </cell>
          <cell r="I100">
            <v>539</v>
          </cell>
          <cell r="J100">
            <v>27.85</v>
          </cell>
          <cell r="K100">
            <v>0.5</v>
          </cell>
          <cell r="L100">
            <v>3.0000000000000001E-3</v>
          </cell>
          <cell r="BO100">
            <v>0.23</v>
          </cell>
        </row>
        <row r="101">
          <cell r="A101">
            <v>96</v>
          </cell>
          <cell r="B101" t="str">
            <v>X©y cét, trô ®éc lËp VTH c¸t ®en 50 cao&lt;=4m</v>
          </cell>
          <cell r="C101" t="str">
            <v>m3</v>
          </cell>
          <cell r="D101">
            <v>1</v>
          </cell>
          <cell r="E101">
            <v>67.510000000000005</v>
          </cell>
          <cell r="G101">
            <v>0.33</v>
          </cell>
          <cell r="I101">
            <v>539</v>
          </cell>
          <cell r="J101">
            <v>20.2</v>
          </cell>
          <cell r="K101">
            <v>0.5</v>
          </cell>
          <cell r="L101">
            <v>3.0000000000000001E-3</v>
          </cell>
          <cell r="BO101">
            <v>0.23</v>
          </cell>
        </row>
        <row r="102">
          <cell r="A102">
            <v>97</v>
          </cell>
          <cell r="B102" t="str">
            <v>X©y cét, trô ®éc lËp VTH c¸t ®en 75 cao&lt;=4m</v>
          </cell>
          <cell r="C102" t="str">
            <v>m3</v>
          </cell>
          <cell r="D102">
            <v>1</v>
          </cell>
          <cell r="E102">
            <v>95.78</v>
          </cell>
          <cell r="G102">
            <v>0.32100000000000001</v>
          </cell>
          <cell r="I102">
            <v>539</v>
          </cell>
          <cell r="J102">
            <v>13.46</v>
          </cell>
          <cell r="K102">
            <v>0.5</v>
          </cell>
          <cell r="L102">
            <v>3.0000000000000001E-3</v>
          </cell>
          <cell r="BO102">
            <v>0.23</v>
          </cell>
        </row>
        <row r="103">
          <cell r="A103">
            <v>98</v>
          </cell>
          <cell r="B103" t="str">
            <v>X©y cét trô ®éc lËp VXM c¸t vµng  50 cao&lt;=4m</v>
          </cell>
          <cell r="C103" t="str">
            <v>m3</v>
          </cell>
          <cell r="D103">
            <v>1</v>
          </cell>
          <cell r="E103">
            <v>69.010000000000005</v>
          </cell>
          <cell r="F103">
            <v>0.33600000000000002</v>
          </cell>
          <cell r="I103">
            <v>539</v>
          </cell>
          <cell r="K103">
            <v>0.5</v>
          </cell>
          <cell r="L103">
            <v>3.0000000000000001E-3</v>
          </cell>
          <cell r="BO103">
            <v>3.0000000000000001E-3</v>
          </cell>
        </row>
        <row r="104">
          <cell r="A104">
            <v>99</v>
          </cell>
          <cell r="B104" t="str">
            <v>X©y cét trô ®éc lËp VXM c¸t vµng  75 cao&lt;=4m</v>
          </cell>
          <cell r="C104" t="str">
            <v>m3</v>
          </cell>
          <cell r="D104">
            <v>1</v>
          </cell>
          <cell r="E104">
            <v>96.01</v>
          </cell>
          <cell r="F104">
            <v>0.33</v>
          </cell>
          <cell r="I104">
            <v>539</v>
          </cell>
          <cell r="K104">
            <v>0.5</v>
          </cell>
          <cell r="L104">
            <v>3.0000000000000001E-3</v>
          </cell>
          <cell r="BO104">
            <v>3.0000000000000001E-3</v>
          </cell>
        </row>
        <row r="105">
          <cell r="A105">
            <v>100</v>
          </cell>
          <cell r="B105" t="str">
            <v>X©y cét trô ®éc lËp VXM c¸t vµng 100 cao&lt;=4m</v>
          </cell>
          <cell r="C105" t="str">
            <v>m3</v>
          </cell>
          <cell r="D105">
            <v>1</v>
          </cell>
          <cell r="E105">
            <v>123</v>
          </cell>
          <cell r="F105">
            <v>0.315</v>
          </cell>
          <cell r="I105">
            <v>539</v>
          </cell>
          <cell r="K105">
            <v>0.5</v>
          </cell>
          <cell r="L105">
            <v>3.0000000000000001E-3</v>
          </cell>
          <cell r="BO105">
            <v>3.0000000000000001E-3</v>
          </cell>
        </row>
        <row r="106">
          <cell r="A106">
            <v>101</v>
          </cell>
          <cell r="B106" t="str">
            <v>X©y cét, trô ®éc lËp VTH c¸t ®en 25 cao&gt;4</v>
          </cell>
          <cell r="C106" t="str">
            <v>m3</v>
          </cell>
          <cell r="D106">
            <v>1</v>
          </cell>
          <cell r="E106">
            <v>36.299999999999997</v>
          </cell>
          <cell r="G106">
            <v>0.33900000000000002</v>
          </cell>
          <cell r="I106">
            <v>539</v>
          </cell>
          <cell r="J106">
            <v>27.85</v>
          </cell>
          <cell r="K106">
            <v>1.62</v>
          </cell>
          <cell r="L106">
            <v>0.01</v>
          </cell>
          <cell r="BO106">
            <v>0.46</v>
          </cell>
        </row>
        <row r="107">
          <cell r="A107">
            <v>102</v>
          </cell>
          <cell r="B107" t="str">
            <v>X©y cét, trô ®éc lËp VTH c¸t ®en 50 cao&gt;4</v>
          </cell>
          <cell r="C107" t="str">
            <v>m3</v>
          </cell>
          <cell r="D107">
            <v>1</v>
          </cell>
          <cell r="E107">
            <v>67.510000000000005</v>
          </cell>
          <cell r="G107">
            <v>0.33</v>
          </cell>
          <cell r="I107">
            <v>539</v>
          </cell>
          <cell r="J107">
            <v>20.2</v>
          </cell>
          <cell r="K107">
            <v>1.62</v>
          </cell>
          <cell r="L107">
            <v>0.01</v>
          </cell>
          <cell r="BO107">
            <v>0.46</v>
          </cell>
        </row>
        <row r="108">
          <cell r="A108">
            <v>103</v>
          </cell>
          <cell r="B108" t="str">
            <v>X©y cét, trô ®éc lËp VTH c¸t ®en 75 cao&gt;4</v>
          </cell>
          <cell r="C108" t="str">
            <v>m3</v>
          </cell>
          <cell r="D108">
            <v>1</v>
          </cell>
          <cell r="E108">
            <v>95.78</v>
          </cell>
          <cell r="G108">
            <v>0.32100000000000001</v>
          </cell>
          <cell r="I108">
            <v>539</v>
          </cell>
          <cell r="J108">
            <v>13.46</v>
          </cell>
          <cell r="K108">
            <v>1.62</v>
          </cell>
          <cell r="L108">
            <v>0.01</v>
          </cell>
          <cell r="BO108">
            <v>0.46</v>
          </cell>
        </row>
        <row r="109">
          <cell r="A109">
            <v>104</v>
          </cell>
          <cell r="B109" t="str">
            <v>X©y cét trô ®éc lËp VXM c¸t vµng  50 cao&gt;4m</v>
          </cell>
          <cell r="C109" t="str">
            <v>m3</v>
          </cell>
          <cell r="D109">
            <v>1</v>
          </cell>
          <cell r="E109">
            <v>69.010000000000005</v>
          </cell>
          <cell r="F109">
            <v>0.33600000000000002</v>
          </cell>
          <cell r="I109">
            <v>539</v>
          </cell>
          <cell r="K109">
            <v>1.62</v>
          </cell>
          <cell r="L109">
            <v>0.01</v>
          </cell>
          <cell r="BO109">
            <v>0.46</v>
          </cell>
        </row>
        <row r="110">
          <cell r="A110">
            <v>105</v>
          </cell>
          <cell r="B110" t="str">
            <v>X©y cét trô ®éc lËp VXM c¸t vµng  75 cao&gt;4m</v>
          </cell>
          <cell r="C110" t="str">
            <v>m3</v>
          </cell>
          <cell r="D110">
            <v>1</v>
          </cell>
          <cell r="E110">
            <v>96.01</v>
          </cell>
          <cell r="F110">
            <v>0.33</v>
          </cell>
          <cell r="I110">
            <v>539</v>
          </cell>
          <cell r="K110">
            <v>1.62</v>
          </cell>
          <cell r="L110">
            <v>0.01</v>
          </cell>
          <cell r="BO110">
            <v>0.46</v>
          </cell>
        </row>
        <row r="111">
          <cell r="A111">
            <v>106</v>
          </cell>
          <cell r="B111" t="str">
            <v>X©y cét trô ®éc lËp VXM c¸t vµng 100 cao&gt;4m</v>
          </cell>
          <cell r="C111" t="str">
            <v>m3</v>
          </cell>
          <cell r="D111">
            <v>1</v>
          </cell>
          <cell r="E111">
            <v>123</v>
          </cell>
          <cell r="F111">
            <v>0.315</v>
          </cell>
          <cell r="I111">
            <v>539</v>
          </cell>
          <cell r="K111">
            <v>1.62</v>
          </cell>
          <cell r="L111">
            <v>0.01</v>
          </cell>
          <cell r="BO111">
            <v>0.46</v>
          </cell>
        </row>
        <row r="112">
          <cell r="A112">
            <v>107</v>
          </cell>
          <cell r="B112" t="str">
            <v>X©y t­êng cong nghiªn vÆn vá ®ç&lt;= 33 VTH c¸t ®en  25 &lt;=4m</v>
          </cell>
          <cell r="C112" t="str">
            <v>m3</v>
          </cell>
          <cell r="D112">
            <v>1</v>
          </cell>
          <cell r="E112">
            <v>35.090000000000003</v>
          </cell>
          <cell r="G112">
            <v>0.32800000000000001</v>
          </cell>
          <cell r="I112">
            <v>550</v>
          </cell>
          <cell r="J112">
            <v>26.92</v>
          </cell>
          <cell r="K112">
            <v>0.5</v>
          </cell>
          <cell r="L112">
            <v>3.0000000000000001E-3</v>
          </cell>
          <cell r="BO112">
            <v>0.23</v>
          </cell>
        </row>
        <row r="113">
          <cell r="A113">
            <v>108</v>
          </cell>
          <cell r="B113" t="str">
            <v>X©y t­êng cong nghiªn vÆn vá ®ç&lt;= 33 VTH c¸t ®en  50 &lt;=4m</v>
          </cell>
          <cell r="C113" t="str">
            <v>m3</v>
          </cell>
          <cell r="D113">
            <v>1</v>
          </cell>
          <cell r="E113">
            <v>65.260000000000005</v>
          </cell>
          <cell r="G113">
            <v>0.31900000000000001</v>
          </cell>
          <cell r="I113">
            <v>550</v>
          </cell>
          <cell r="J113">
            <v>19.52</v>
          </cell>
          <cell r="K113">
            <v>0.5</v>
          </cell>
          <cell r="L113">
            <v>3.0000000000000001E-3</v>
          </cell>
          <cell r="BO113">
            <v>0.23</v>
          </cell>
        </row>
        <row r="114">
          <cell r="A114">
            <v>109</v>
          </cell>
          <cell r="B114" t="str">
            <v>X©y t­êng cong nghiªn vÆn vá ®ç&lt;= 33 VTH c¸t ®en  75 &lt;=4m</v>
          </cell>
          <cell r="C114" t="str">
            <v>m3</v>
          </cell>
          <cell r="D114">
            <v>1</v>
          </cell>
          <cell r="E114">
            <v>92.58</v>
          </cell>
          <cell r="G114">
            <v>0.31</v>
          </cell>
          <cell r="I114">
            <v>550</v>
          </cell>
          <cell r="J114">
            <v>13.02</v>
          </cell>
          <cell r="K114">
            <v>0.5</v>
          </cell>
          <cell r="L114">
            <v>3.0000000000000001E-3</v>
          </cell>
          <cell r="BO114">
            <v>0.23</v>
          </cell>
        </row>
        <row r="115">
          <cell r="A115">
            <v>110</v>
          </cell>
          <cell r="B115" t="str">
            <v>X©y t­êng cong nghiªn vÆn vá ®ç&lt;= 33 XMC c¸t vµng  50 &lt;=4m</v>
          </cell>
          <cell r="C115" t="str">
            <v>m3</v>
          </cell>
          <cell r="D115">
            <v>1</v>
          </cell>
          <cell r="E115">
            <v>66.709999999999994</v>
          </cell>
          <cell r="F115">
            <v>0.32500000000000001</v>
          </cell>
          <cell r="I115">
            <v>550</v>
          </cell>
          <cell r="K115">
            <v>0.5</v>
          </cell>
          <cell r="L115">
            <v>3.0000000000000001E-3</v>
          </cell>
          <cell r="BO115">
            <v>0.23</v>
          </cell>
        </row>
        <row r="116">
          <cell r="A116">
            <v>111</v>
          </cell>
          <cell r="B116" t="str">
            <v>X©y t­êng cong nghiªn vÆn vá ®ç&lt;= 33 XMC c¸t vµng  75 &lt;=4m</v>
          </cell>
          <cell r="C116" t="str">
            <v>m3</v>
          </cell>
          <cell r="D116">
            <v>1</v>
          </cell>
          <cell r="E116">
            <v>92.81</v>
          </cell>
          <cell r="F116">
            <v>0.316</v>
          </cell>
          <cell r="I116">
            <v>550</v>
          </cell>
          <cell r="K116">
            <v>0.5</v>
          </cell>
          <cell r="L116">
            <v>3.0000000000000001E-3</v>
          </cell>
          <cell r="BO116">
            <v>0.23</v>
          </cell>
        </row>
        <row r="117">
          <cell r="A117">
            <v>112</v>
          </cell>
          <cell r="B117" t="str">
            <v>X©y t­êng cong nghiªn vÆn vá ®ç&lt;= 33VMC c¸t vµng100 &lt;=4m</v>
          </cell>
          <cell r="C117" t="str">
            <v>m3</v>
          </cell>
          <cell r="D117">
            <v>1</v>
          </cell>
          <cell r="E117">
            <v>118.91</v>
          </cell>
          <cell r="F117">
            <v>0.30499999999999999</v>
          </cell>
          <cell r="I117">
            <v>550</v>
          </cell>
          <cell r="K117">
            <v>0.5</v>
          </cell>
          <cell r="L117">
            <v>3.0000000000000001E-3</v>
          </cell>
          <cell r="BO117">
            <v>0.23</v>
          </cell>
        </row>
        <row r="118">
          <cell r="A118">
            <v>113</v>
          </cell>
          <cell r="B118" t="str">
            <v>X©y t­êng cong nghiªn vÆn vá ®ç&lt;= 33 VTH c¸t ®en  25 &gt;4m</v>
          </cell>
          <cell r="C118" t="str">
            <v>m3</v>
          </cell>
          <cell r="D118">
            <v>1</v>
          </cell>
          <cell r="E118">
            <v>35.090000000000003</v>
          </cell>
          <cell r="G118">
            <v>0.32800000000000001</v>
          </cell>
          <cell r="I118">
            <v>550</v>
          </cell>
          <cell r="J118">
            <v>26.92</v>
          </cell>
          <cell r="K118">
            <v>1.62</v>
          </cell>
          <cell r="L118">
            <v>0.01</v>
          </cell>
          <cell r="BO118">
            <v>0.46</v>
          </cell>
        </row>
        <row r="119">
          <cell r="A119">
            <v>114</v>
          </cell>
          <cell r="B119" t="str">
            <v>X©y t­êng cong nghiªn vÆn vá ®ç&lt;= 33 VTH c¸t ®en  50 &gt;4m</v>
          </cell>
          <cell r="C119" t="str">
            <v>m3</v>
          </cell>
          <cell r="D119">
            <v>1</v>
          </cell>
          <cell r="E119">
            <v>65.260000000000005</v>
          </cell>
          <cell r="G119">
            <v>0.31900000000000001</v>
          </cell>
          <cell r="I119">
            <v>550</v>
          </cell>
          <cell r="J119">
            <v>19.52</v>
          </cell>
          <cell r="K119">
            <v>1.62</v>
          </cell>
          <cell r="L119">
            <v>0.01</v>
          </cell>
          <cell r="BO119">
            <v>0.46</v>
          </cell>
        </row>
        <row r="120">
          <cell r="A120">
            <v>115</v>
          </cell>
          <cell r="B120" t="str">
            <v>X©y t­êng cong nghiªn vÆn vá ®ç&lt;= 33 VTH c¸t ®en  75 &gt;4m</v>
          </cell>
          <cell r="C120" t="str">
            <v>m3</v>
          </cell>
          <cell r="D120">
            <v>1</v>
          </cell>
          <cell r="E120">
            <v>92.58</v>
          </cell>
          <cell r="G120">
            <v>0.31</v>
          </cell>
          <cell r="I120">
            <v>550</v>
          </cell>
          <cell r="J120">
            <v>13.02</v>
          </cell>
          <cell r="K120">
            <v>1.62</v>
          </cell>
          <cell r="L120">
            <v>0.01</v>
          </cell>
          <cell r="BO120">
            <v>0.46</v>
          </cell>
        </row>
        <row r="121">
          <cell r="A121">
            <v>116</v>
          </cell>
          <cell r="B121" t="str">
            <v>X©y t­êng cong nghiªn vÆn vá ®ç&lt;= 33 XMC c¸t vµng  50 &gt;4m</v>
          </cell>
          <cell r="C121" t="str">
            <v>m3</v>
          </cell>
          <cell r="D121">
            <v>1</v>
          </cell>
          <cell r="E121">
            <v>66.709999999999994</v>
          </cell>
          <cell r="F121">
            <v>0.32500000000000001</v>
          </cell>
          <cell r="I121">
            <v>550</v>
          </cell>
          <cell r="K121">
            <v>1.62</v>
          </cell>
          <cell r="L121">
            <v>0.01</v>
          </cell>
          <cell r="BO121">
            <v>0.46</v>
          </cell>
        </row>
        <row r="122">
          <cell r="A122">
            <v>117</v>
          </cell>
          <cell r="B122" t="str">
            <v>X©y t­êng cong nghiªn vÆn vá ®ç&lt;= 33 XMC c¸t vµng  75 &gt;4m</v>
          </cell>
          <cell r="C122" t="str">
            <v>m3</v>
          </cell>
          <cell r="D122">
            <v>1</v>
          </cell>
          <cell r="E122">
            <v>92.81</v>
          </cell>
          <cell r="F122">
            <v>0.316</v>
          </cell>
          <cell r="I122">
            <v>550</v>
          </cell>
          <cell r="K122">
            <v>1.62</v>
          </cell>
          <cell r="L122">
            <v>0.01</v>
          </cell>
          <cell r="BO122">
            <v>0.46</v>
          </cell>
        </row>
        <row r="123">
          <cell r="A123">
            <v>118</v>
          </cell>
          <cell r="B123" t="str">
            <v>X©y t­êng cong nghiªn vÆn vá ®ç&lt;= 33VMC c¸t vµng100 &gt;4m</v>
          </cell>
          <cell r="C123" t="str">
            <v>m3</v>
          </cell>
          <cell r="D123">
            <v>1</v>
          </cell>
          <cell r="E123">
            <v>118.91</v>
          </cell>
          <cell r="F123">
            <v>0.30499999999999999</v>
          </cell>
          <cell r="I123">
            <v>550</v>
          </cell>
          <cell r="K123">
            <v>1.62</v>
          </cell>
          <cell r="L123">
            <v>0.01</v>
          </cell>
          <cell r="BO123">
            <v>0.46</v>
          </cell>
        </row>
        <row r="124">
          <cell r="A124">
            <v>119</v>
          </cell>
          <cell r="B124" t="str">
            <v>X©y t­êng cong nghiªn vÆn vá ®ç&gt; 33 VTH c¸t ®en  25 &lt;=4m</v>
          </cell>
          <cell r="C124" t="str">
            <v>m3</v>
          </cell>
          <cell r="D124">
            <v>1</v>
          </cell>
          <cell r="E124">
            <v>36.299999999999997</v>
          </cell>
          <cell r="G124">
            <v>0.33900000000000002</v>
          </cell>
          <cell r="I124">
            <v>539</v>
          </cell>
          <cell r="K124">
            <v>0.4</v>
          </cell>
          <cell r="L124">
            <v>2.3999999999999998E-3</v>
          </cell>
          <cell r="BO124">
            <v>0.2</v>
          </cell>
        </row>
        <row r="125">
          <cell r="A125">
            <v>120</v>
          </cell>
          <cell r="B125" t="str">
            <v>X©y t­êng cong nghiªn vÆn vá ®ç&gt; 33 VTH c¸t ®en  50 &lt;=4m</v>
          </cell>
          <cell r="C125" t="str">
            <v>m3</v>
          </cell>
          <cell r="D125">
            <v>1</v>
          </cell>
          <cell r="E125">
            <v>67.510000000000005</v>
          </cell>
          <cell r="G125">
            <v>0.33</v>
          </cell>
          <cell r="I125">
            <v>539</v>
          </cell>
          <cell r="K125">
            <v>0.4</v>
          </cell>
          <cell r="L125">
            <v>2.3999999999999998E-3</v>
          </cell>
          <cell r="BO125">
            <v>0.2</v>
          </cell>
        </row>
        <row r="126">
          <cell r="A126">
            <v>121</v>
          </cell>
          <cell r="B126" t="str">
            <v>X©y t­êng cong nghiªn vÆn vá ®ç&gt; 33 VTH c¸t ®en  75 &lt;=4m</v>
          </cell>
          <cell r="C126" t="str">
            <v>m3</v>
          </cell>
          <cell r="D126">
            <v>1</v>
          </cell>
          <cell r="E126">
            <v>95.78</v>
          </cell>
          <cell r="G126">
            <v>0.32100000000000001</v>
          </cell>
          <cell r="I126">
            <v>539</v>
          </cell>
          <cell r="K126">
            <v>0.4</v>
          </cell>
          <cell r="L126">
            <v>2.3999999999999998E-3</v>
          </cell>
          <cell r="BO126">
            <v>0.2</v>
          </cell>
        </row>
        <row r="127">
          <cell r="A127">
            <v>122</v>
          </cell>
          <cell r="B127" t="str">
            <v>X©y t­êng cong nghiªn vÆn vá ®ç&gt; 33 XMC c¸t vµng  50 &lt;=4m</v>
          </cell>
          <cell r="C127" t="str">
            <v>m3</v>
          </cell>
          <cell r="D127">
            <v>1</v>
          </cell>
          <cell r="F127">
            <v>69.010000000000005</v>
          </cell>
          <cell r="I127">
            <v>539</v>
          </cell>
          <cell r="K127">
            <v>0.4</v>
          </cell>
          <cell r="L127">
            <v>2.3999999999999998E-3</v>
          </cell>
          <cell r="BO127">
            <v>0.2</v>
          </cell>
        </row>
        <row r="128">
          <cell r="A128">
            <v>123</v>
          </cell>
          <cell r="B128" t="str">
            <v>X©y t­êng cong nghiªn vÆn vá ®ç&gt; 33 XMC c¸t vµng  75 &lt;=4m</v>
          </cell>
          <cell r="C128" t="str">
            <v>m3</v>
          </cell>
          <cell r="D128">
            <v>1</v>
          </cell>
          <cell r="F128">
            <v>96.01</v>
          </cell>
          <cell r="I128">
            <v>539</v>
          </cell>
          <cell r="K128">
            <v>0.4</v>
          </cell>
          <cell r="L128">
            <v>2.3999999999999998E-3</v>
          </cell>
          <cell r="BO128">
            <v>0.2</v>
          </cell>
        </row>
        <row r="129">
          <cell r="A129">
            <v>124</v>
          </cell>
          <cell r="B129" t="str">
            <v>X©y t­êng cong nghiªn vÆn vá ®ç&gt; 33VMC c¸t vµng100 &lt;=4m</v>
          </cell>
          <cell r="C129" t="str">
            <v>m3</v>
          </cell>
          <cell r="D129">
            <v>1</v>
          </cell>
          <cell r="F129">
            <v>123</v>
          </cell>
          <cell r="I129">
            <v>539</v>
          </cell>
          <cell r="K129">
            <v>0.4</v>
          </cell>
          <cell r="L129">
            <v>2.3999999999999998E-3</v>
          </cell>
          <cell r="BO129">
            <v>0.2</v>
          </cell>
        </row>
        <row r="130">
          <cell r="A130">
            <v>125</v>
          </cell>
          <cell r="B130" t="str">
            <v>X©y t­êng cong nghiªn vÆn vá ®ç&gt; 33 VTH c¸t ®en  25 &gt;4m</v>
          </cell>
          <cell r="C130" t="str">
            <v>m3</v>
          </cell>
          <cell r="D130">
            <v>1</v>
          </cell>
          <cell r="G130">
            <v>0.33900000000000002</v>
          </cell>
          <cell r="I130">
            <v>539</v>
          </cell>
          <cell r="K130">
            <v>1.1599999999999999</v>
          </cell>
          <cell r="L130">
            <v>8.0000000000000002E-3</v>
          </cell>
          <cell r="BO130">
            <v>0.35</v>
          </cell>
        </row>
        <row r="131">
          <cell r="A131">
            <v>126</v>
          </cell>
          <cell r="B131" t="str">
            <v>X©y t­êng cong nghiªn vÆn vá ®ç&gt; 33 VTH c¸t ®en  50 &gt;4m</v>
          </cell>
          <cell r="C131" t="str">
            <v>m3</v>
          </cell>
          <cell r="D131">
            <v>1</v>
          </cell>
          <cell r="G131">
            <v>0.33</v>
          </cell>
          <cell r="I131">
            <v>539</v>
          </cell>
          <cell r="K131">
            <v>1.1599999999999999</v>
          </cell>
          <cell r="L131">
            <v>8.0000000000000002E-3</v>
          </cell>
          <cell r="BO131">
            <v>0.35</v>
          </cell>
        </row>
        <row r="132">
          <cell r="A132">
            <v>127</v>
          </cell>
          <cell r="B132" t="str">
            <v>X©y t­êng cong nghiªn vÆn vá ®ç&gt; 33 VTH c¸t ®en  75 &gt;4m</v>
          </cell>
          <cell r="C132" t="str">
            <v>m3</v>
          </cell>
          <cell r="D132">
            <v>1</v>
          </cell>
          <cell r="G132">
            <v>0.32100000000000001</v>
          </cell>
          <cell r="I132">
            <v>539</v>
          </cell>
          <cell r="K132">
            <v>1.1599999999999999</v>
          </cell>
          <cell r="L132">
            <v>8.0000000000000002E-3</v>
          </cell>
          <cell r="BO132">
            <v>0.35</v>
          </cell>
        </row>
        <row r="133">
          <cell r="A133">
            <v>128</v>
          </cell>
          <cell r="B133" t="str">
            <v>X©y t­êng cong nghiªn vÆn vá ®ç&gt; 33 XMC c¸t vµng  50 &gt;4m</v>
          </cell>
          <cell r="C133" t="str">
            <v>m3</v>
          </cell>
          <cell r="D133">
            <v>1</v>
          </cell>
          <cell r="F133">
            <v>69.010000000000005</v>
          </cell>
          <cell r="I133">
            <v>539</v>
          </cell>
          <cell r="K133">
            <v>1.1599999999999999</v>
          </cell>
          <cell r="L133">
            <v>8.0000000000000002E-3</v>
          </cell>
          <cell r="BO133">
            <v>0.35</v>
          </cell>
        </row>
        <row r="134">
          <cell r="A134">
            <v>129</v>
          </cell>
          <cell r="B134" t="str">
            <v>X©y t­êng cong nghiªn vÆn vá ®ç&gt; 33 XMC c¸t vµng  75 &gt;4m</v>
          </cell>
          <cell r="C134" t="str">
            <v>m3</v>
          </cell>
          <cell r="D134">
            <v>1</v>
          </cell>
          <cell r="F134">
            <v>96.01</v>
          </cell>
          <cell r="I134">
            <v>539</v>
          </cell>
          <cell r="K134">
            <v>1.1599999999999999</v>
          </cell>
          <cell r="L134">
            <v>8.0000000000000002E-3</v>
          </cell>
          <cell r="BO134">
            <v>0.35</v>
          </cell>
        </row>
        <row r="135">
          <cell r="A135">
            <v>130</v>
          </cell>
          <cell r="B135" t="str">
            <v>X©y t­êng cong nghiªn vÆn vá ®ç&gt; 33VMC c¸t vµng100 &gt;4m</v>
          </cell>
          <cell r="C135" t="str">
            <v>m3</v>
          </cell>
          <cell r="D135">
            <v>1</v>
          </cell>
          <cell r="F135">
            <v>123</v>
          </cell>
          <cell r="I135">
            <v>539</v>
          </cell>
          <cell r="K135">
            <v>1.1599999999999999</v>
          </cell>
          <cell r="L135">
            <v>8.0000000000000002E-3</v>
          </cell>
          <cell r="BO135">
            <v>0.35</v>
          </cell>
        </row>
        <row r="136">
          <cell r="A136">
            <v>131</v>
          </cell>
          <cell r="B136" t="str">
            <v>X©y cèng cuèn cong VTH c¸t ®en 50</v>
          </cell>
          <cell r="C136" t="str">
            <v>m3</v>
          </cell>
          <cell r="D136">
            <v>1</v>
          </cell>
          <cell r="E136">
            <v>63.01</v>
          </cell>
          <cell r="G136">
            <v>0.308</v>
          </cell>
          <cell r="H136" t="str">
            <v/>
          </cell>
          <cell r="I136">
            <v>550</v>
          </cell>
          <cell r="J136">
            <v>18.850000000000001</v>
          </cell>
          <cell r="L136">
            <v>0.06</v>
          </cell>
          <cell r="M136">
            <v>0.55000000000000004</v>
          </cell>
          <cell r="Q136">
            <v>1.7</v>
          </cell>
        </row>
        <row r="137">
          <cell r="A137">
            <v>132</v>
          </cell>
          <cell r="B137" t="str">
            <v>X©y cèng cuèn cong VTH c¸t ®en 75</v>
          </cell>
          <cell r="C137" t="str">
            <v>m3</v>
          </cell>
          <cell r="D137">
            <v>1</v>
          </cell>
          <cell r="E137">
            <v>89.39</v>
          </cell>
          <cell r="G137">
            <v>0.3</v>
          </cell>
          <cell r="I137">
            <v>550</v>
          </cell>
          <cell r="J137">
            <v>12.567</v>
          </cell>
          <cell r="L137">
            <v>0.06</v>
          </cell>
          <cell r="M137">
            <v>0.55000000000000004</v>
          </cell>
          <cell r="Q137">
            <v>1.7</v>
          </cell>
        </row>
        <row r="138">
          <cell r="A138">
            <v>133</v>
          </cell>
          <cell r="B138" t="str">
            <v>X©y cèng cuèn cong XMC c¸t vµng 50</v>
          </cell>
          <cell r="C138" t="str">
            <v>m3</v>
          </cell>
          <cell r="D138">
            <v>1</v>
          </cell>
          <cell r="E138">
            <v>59.65</v>
          </cell>
          <cell r="F138">
            <v>0.32200000000000001</v>
          </cell>
          <cell r="I138">
            <v>550</v>
          </cell>
          <cell r="L138">
            <v>0.06</v>
          </cell>
          <cell r="M138">
            <v>0.55000000000000004</v>
          </cell>
          <cell r="Q138">
            <v>1.7</v>
          </cell>
        </row>
        <row r="139">
          <cell r="A139">
            <v>134</v>
          </cell>
          <cell r="B139" t="str">
            <v>X©y cèng cuèn cong XMC c¸t vµng 75</v>
          </cell>
          <cell r="C139" t="str">
            <v>m3</v>
          </cell>
          <cell r="D139">
            <v>1</v>
          </cell>
          <cell r="E139">
            <v>107.81</v>
          </cell>
          <cell r="F139">
            <v>0.314</v>
          </cell>
          <cell r="I139">
            <v>550</v>
          </cell>
          <cell r="L139">
            <v>0.06</v>
          </cell>
          <cell r="M139">
            <v>0.55000000000000004</v>
          </cell>
          <cell r="Q139">
            <v>1.7</v>
          </cell>
        </row>
        <row r="140">
          <cell r="A140">
            <v>135</v>
          </cell>
          <cell r="B140" t="str">
            <v>X©y cèng cuèn cong XMC c¸t vµng 100</v>
          </cell>
          <cell r="C140" t="str">
            <v>m3</v>
          </cell>
          <cell r="D140">
            <v>1</v>
          </cell>
          <cell r="E140">
            <v>129.37</v>
          </cell>
          <cell r="F140">
            <v>0.30499999999999999</v>
          </cell>
          <cell r="I140">
            <v>550</v>
          </cell>
          <cell r="L140">
            <v>0.06</v>
          </cell>
          <cell r="M140">
            <v>0.55000000000000004</v>
          </cell>
          <cell r="Q140">
            <v>1.7</v>
          </cell>
        </row>
        <row r="141">
          <cell r="A141">
            <v>136</v>
          </cell>
          <cell r="B141" t="str">
            <v>X©y cèng thµnh vßm cong VTH c¸t ®en 50</v>
          </cell>
          <cell r="C141" t="str">
            <v>m3</v>
          </cell>
          <cell r="D141">
            <v>1</v>
          </cell>
          <cell r="E141">
            <v>65.260000000000005</v>
          </cell>
          <cell r="G141">
            <v>65.260000000000005</v>
          </cell>
          <cell r="I141">
            <v>560</v>
          </cell>
          <cell r="J141">
            <v>19.52</v>
          </cell>
          <cell r="L141">
            <v>0.06</v>
          </cell>
          <cell r="M141">
            <v>0.55000000000000004</v>
          </cell>
          <cell r="Q141">
            <v>1.7</v>
          </cell>
        </row>
        <row r="142">
          <cell r="A142">
            <v>137</v>
          </cell>
          <cell r="B142" t="str">
            <v>X©y cèng thµnh vßm cong VTH c¸t ®en 75</v>
          </cell>
          <cell r="C142" t="str">
            <v>m3</v>
          </cell>
          <cell r="D142">
            <v>1</v>
          </cell>
          <cell r="E142">
            <v>92.58</v>
          </cell>
          <cell r="G142">
            <v>92.58</v>
          </cell>
          <cell r="I142">
            <v>560</v>
          </cell>
          <cell r="J142">
            <v>13.02</v>
          </cell>
          <cell r="L142">
            <v>0.06</v>
          </cell>
          <cell r="M142">
            <v>0.55000000000000004</v>
          </cell>
          <cell r="Q142">
            <v>1.7</v>
          </cell>
        </row>
        <row r="143">
          <cell r="A143">
            <v>138</v>
          </cell>
          <cell r="B143" t="str">
            <v>X©y cèng thµnh vßm cong XMC c¸t vµng 50</v>
          </cell>
          <cell r="C143" t="str">
            <v>m3</v>
          </cell>
          <cell r="D143">
            <v>1</v>
          </cell>
          <cell r="E143">
            <v>66.78</v>
          </cell>
          <cell r="F143">
            <v>0.32500000000000001</v>
          </cell>
          <cell r="I143">
            <v>560</v>
          </cell>
          <cell r="L143">
            <v>0.06</v>
          </cell>
          <cell r="M143">
            <v>0.55000000000000004</v>
          </cell>
          <cell r="Q143">
            <v>1.7</v>
          </cell>
        </row>
        <row r="144">
          <cell r="A144">
            <v>139</v>
          </cell>
          <cell r="B144" t="str">
            <v>X©y cèng thµnh vßm cong XMC c¸t vµng 75</v>
          </cell>
          <cell r="C144" t="str">
            <v>m3</v>
          </cell>
          <cell r="D144">
            <v>1</v>
          </cell>
          <cell r="E144">
            <v>92.81</v>
          </cell>
          <cell r="F144">
            <v>0.316</v>
          </cell>
          <cell r="I144">
            <v>560</v>
          </cell>
          <cell r="L144">
            <v>0.06</v>
          </cell>
          <cell r="M144">
            <v>0.55000000000000004</v>
          </cell>
          <cell r="Q144">
            <v>1.7</v>
          </cell>
        </row>
        <row r="145">
          <cell r="A145">
            <v>140</v>
          </cell>
          <cell r="B145" t="str">
            <v>X©y cèng thµnh vßm cong XMC c¸t vµng 100</v>
          </cell>
          <cell r="C145" t="str">
            <v>m3</v>
          </cell>
          <cell r="D145">
            <v>1</v>
          </cell>
          <cell r="E145">
            <v>118.91</v>
          </cell>
          <cell r="F145">
            <v>0.30499999999999999</v>
          </cell>
          <cell r="I145">
            <v>560</v>
          </cell>
          <cell r="L145">
            <v>0.06</v>
          </cell>
          <cell r="M145">
            <v>0.55000000000000004</v>
          </cell>
          <cell r="Q145">
            <v>1.7</v>
          </cell>
        </row>
        <row r="146">
          <cell r="A146">
            <v>141</v>
          </cell>
          <cell r="B146" t="str">
            <v>X©y kÕt cÊu phøc t¹p kh¸c VTH50 c¸t ®en &lt;=4 m</v>
          </cell>
          <cell r="C146" t="str">
            <v>m3</v>
          </cell>
          <cell r="D146">
            <v>1</v>
          </cell>
          <cell r="E146">
            <v>63.01</v>
          </cell>
          <cell r="G146">
            <v>0.308</v>
          </cell>
          <cell r="I146">
            <v>573</v>
          </cell>
          <cell r="J146">
            <v>18.850000000000001</v>
          </cell>
          <cell r="L146">
            <v>4.0000000000000001E-3</v>
          </cell>
          <cell r="M146">
            <v>0.05</v>
          </cell>
        </row>
        <row r="147">
          <cell r="A147">
            <v>142</v>
          </cell>
          <cell r="B147" t="str">
            <v>X©y kÕt cÊu phøc t¹p kh¸c VTH75 c¸t ®en &lt;=4 m</v>
          </cell>
          <cell r="C147" t="str">
            <v>m3</v>
          </cell>
          <cell r="D147">
            <v>1</v>
          </cell>
          <cell r="E147">
            <v>89.39</v>
          </cell>
          <cell r="G147">
            <v>0.3</v>
          </cell>
          <cell r="I147">
            <v>573</v>
          </cell>
          <cell r="J147">
            <v>12.567</v>
          </cell>
          <cell r="L147">
            <v>4.0000000000000001E-3</v>
          </cell>
          <cell r="M147">
            <v>0.05</v>
          </cell>
        </row>
        <row r="148">
          <cell r="A148">
            <v>143</v>
          </cell>
          <cell r="B148" t="str">
            <v>X©y kÕt cÊu phøc t¹p kh¸c XM50 c¸t vµng &lt;=4 m</v>
          </cell>
          <cell r="C148" t="str">
            <v>m3</v>
          </cell>
          <cell r="D148">
            <v>1</v>
          </cell>
          <cell r="E148">
            <v>59.65</v>
          </cell>
          <cell r="F148">
            <v>0.32200000000000001</v>
          </cell>
          <cell r="I148">
            <v>573</v>
          </cell>
          <cell r="L148">
            <v>4.0000000000000001E-3</v>
          </cell>
          <cell r="M148">
            <v>0.05</v>
          </cell>
        </row>
        <row r="149">
          <cell r="A149">
            <v>144</v>
          </cell>
          <cell r="B149" t="str">
            <v>X©y kÕt cÊu phøc t¹p kh¸c XM75 c¸t vµng &lt;=4 m</v>
          </cell>
          <cell r="C149" t="str">
            <v>m3</v>
          </cell>
          <cell r="D149">
            <v>1</v>
          </cell>
          <cell r="E149">
            <v>107.81</v>
          </cell>
          <cell r="F149">
            <v>0.314</v>
          </cell>
          <cell r="I149">
            <v>573</v>
          </cell>
          <cell r="L149">
            <v>4.0000000000000001E-3</v>
          </cell>
          <cell r="M149">
            <v>0.05</v>
          </cell>
        </row>
        <row r="150">
          <cell r="A150">
            <v>145</v>
          </cell>
          <cell r="B150" t="str">
            <v>X©y kÕt cÊu phøc t¹p kh¸c XM100 c¸t vµng &lt;=4 m</v>
          </cell>
          <cell r="C150" t="str">
            <v>m3</v>
          </cell>
          <cell r="D150">
            <v>1</v>
          </cell>
          <cell r="E150">
            <v>129.37</v>
          </cell>
          <cell r="F150">
            <v>0.30499999999999999</v>
          </cell>
          <cell r="I150">
            <v>573</v>
          </cell>
          <cell r="L150">
            <v>4.0000000000000001E-3</v>
          </cell>
          <cell r="M150">
            <v>0.05</v>
          </cell>
        </row>
        <row r="151">
          <cell r="A151">
            <v>146</v>
          </cell>
          <cell r="B151" t="str">
            <v>X©y kÕt cÊu phøc t¹p kh¸c VTH50 c¸t ®en &gt;4 m</v>
          </cell>
          <cell r="C151" t="str">
            <v>m3</v>
          </cell>
          <cell r="D151">
            <v>1</v>
          </cell>
          <cell r="E151">
            <v>63.01</v>
          </cell>
          <cell r="G151">
            <v>0.308</v>
          </cell>
          <cell r="I151">
            <v>573</v>
          </cell>
          <cell r="J151">
            <v>18.850000000000001</v>
          </cell>
          <cell r="L151">
            <v>1.4999999999999999E-2</v>
          </cell>
          <cell r="M151">
            <v>0.1</v>
          </cell>
        </row>
        <row r="152">
          <cell r="A152">
            <v>147</v>
          </cell>
          <cell r="B152" t="str">
            <v>X©y kÕt cÊu phøc t¹p kh¸c VTH75 c¸t ®en &gt;4 m</v>
          </cell>
          <cell r="C152" t="str">
            <v>m3</v>
          </cell>
          <cell r="D152">
            <v>1</v>
          </cell>
          <cell r="E152">
            <v>89.39</v>
          </cell>
          <cell r="G152">
            <v>0.3</v>
          </cell>
          <cell r="I152">
            <v>573</v>
          </cell>
          <cell r="J152">
            <v>12.567</v>
          </cell>
          <cell r="L152">
            <v>1.4999999999999999E-2</v>
          </cell>
          <cell r="M152">
            <v>0.1</v>
          </cell>
        </row>
        <row r="153">
          <cell r="A153">
            <v>148</v>
          </cell>
          <cell r="B153" t="str">
            <v>X©y kÕt cÊu phøc t¹p kh¸c XM50 c¸t vµng &gt;4 m</v>
          </cell>
          <cell r="C153" t="str">
            <v>m3</v>
          </cell>
          <cell r="D153">
            <v>1</v>
          </cell>
          <cell r="E153">
            <v>59.65</v>
          </cell>
          <cell r="F153">
            <v>0.32200000000000001</v>
          </cell>
          <cell r="I153">
            <v>573</v>
          </cell>
          <cell r="L153">
            <v>1.4999999999999999E-2</v>
          </cell>
          <cell r="M153">
            <v>0.1</v>
          </cell>
        </row>
        <row r="154">
          <cell r="A154">
            <v>149</v>
          </cell>
          <cell r="B154" t="str">
            <v>X©y kÕt cÊu phøc t¹p kh¸c XM75 c¸t vµng &gt;4 m</v>
          </cell>
          <cell r="C154" t="str">
            <v>m3</v>
          </cell>
          <cell r="D154">
            <v>1</v>
          </cell>
          <cell r="E154">
            <v>107.81</v>
          </cell>
          <cell r="F154">
            <v>0.314</v>
          </cell>
          <cell r="I154">
            <v>573</v>
          </cell>
          <cell r="L154">
            <v>1.4999999999999999E-2</v>
          </cell>
          <cell r="M154">
            <v>0.1</v>
          </cell>
        </row>
        <row r="155">
          <cell r="A155">
            <v>150</v>
          </cell>
          <cell r="B155" t="str">
            <v>X©y kÕt cÊu phøc t¹p kh¸c XM100 c¸t vµng &gt;4 m</v>
          </cell>
          <cell r="C155" t="str">
            <v>m3</v>
          </cell>
          <cell r="D155">
            <v>1</v>
          </cell>
          <cell r="E155">
            <v>129.37</v>
          </cell>
          <cell r="F155">
            <v>0.30499999999999999</v>
          </cell>
          <cell r="I155">
            <v>573</v>
          </cell>
          <cell r="L155">
            <v>1.4999999999999999E-2</v>
          </cell>
          <cell r="M155">
            <v>0.1</v>
          </cell>
        </row>
        <row r="156">
          <cell r="A156">
            <v>151</v>
          </cell>
          <cell r="B156" t="str">
            <v>Bª t«ng lãt mãng R&lt;=2,5m ®¸ 2x 4M100</v>
          </cell>
          <cell r="C156" t="str">
            <v>m3</v>
          </cell>
          <cell r="D156">
            <v>1</v>
          </cell>
          <cell r="E156">
            <v>212.18</v>
          </cell>
          <cell r="F156">
            <v>0.51500000000000001</v>
          </cell>
          <cell r="O156">
            <v>0.92</v>
          </cell>
        </row>
        <row r="157">
          <cell r="A157">
            <v>152</v>
          </cell>
          <cell r="B157" t="str">
            <v>Bª t«ng lãt mãng R&lt;=2,5m ®¸ 2x 4M150</v>
          </cell>
          <cell r="C157" t="str">
            <v>m3</v>
          </cell>
          <cell r="D157">
            <v>1</v>
          </cell>
          <cell r="E157">
            <v>272.64999999999998</v>
          </cell>
          <cell r="F157">
            <v>0.49399999999999999</v>
          </cell>
          <cell r="O157">
            <v>0.90600000000000003</v>
          </cell>
        </row>
        <row r="158">
          <cell r="A158">
            <v>153</v>
          </cell>
          <cell r="B158" t="str">
            <v>Bª t«ng lãt mãng R&gt;2,5m ®¸ 2x 4M100</v>
          </cell>
          <cell r="C158" t="str">
            <v>m3</v>
          </cell>
          <cell r="D158">
            <v>1</v>
          </cell>
          <cell r="E158">
            <v>212.18</v>
          </cell>
          <cell r="F158">
            <v>0.51500000000000001</v>
          </cell>
          <cell r="O158">
            <v>0.92</v>
          </cell>
        </row>
        <row r="159">
          <cell r="A159">
            <v>154</v>
          </cell>
          <cell r="B159" t="str">
            <v>Bª t«ng lãt mãng R&gt;2,5m ®¸ 2x 4M150</v>
          </cell>
          <cell r="C159" t="str">
            <v>m3</v>
          </cell>
          <cell r="D159">
            <v>1</v>
          </cell>
          <cell r="E159">
            <v>272.64999999999998</v>
          </cell>
          <cell r="F159">
            <v>0.49399999999999999</v>
          </cell>
          <cell r="O159">
            <v>0.90600000000000003</v>
          </cell>
        </row>
        <row r="160">
          <cell r="A160">
            <v>155</v>
          </cell>
          <cell r="B160" t="str">
            <v>Bª t«ng mãng  R&lt;=2,5m ®¸ 2x4 M150</v>
          </cell>
          <cell r="C160" t="str">
            <v>m3</v>
          </cell>
          <cell r="D160">
            <v>1</v>
          </cell>
          <cell r="E160">
            <v>272.64999999999998</v>
          </cell>
          <cell r="F160">
            <v>0.49399999999999999</v>
          </cell>
          <cell r="O160">
            <v>0.90600000000000003</v>
          </cell>
          <cell r="BQ160">
            <v>1</v>
          </cell>
        </row>
        <row r="161">
          <cell r="A161">
            <v>156</v>
          </cell>
          <cell r="B161" t="str">
            <v>Bª t«ng mãng  R&lt;=2,5m ®¸ 2x4 M200</v>
          </cell>
          <cell r="C161" t="str">
            <v>m3</v>
          </cell>
          <cell r="D161">
            <v>1</v>
          </cell>
          <cell r="E161">
            <v>331.08</v>
          </cell>
          <cell r="F161">
            <v>0.46899999999999997</v>
          </cell>
          <cell r="O161">
            <v>0.89600000000000002</v>
          </cell>
          <cell r="BQ161">
            <v>1</v>
          </cell>
        </row>
        <row r="162">
          <cell r="A162">
            <v>157</v>
          </cell>
          <cell r="B162" t="str">
            <v>Bª t«ng mãng  R&lt;=2,5m ®¸ 2x4 M250</v>
          </cell>
          <cell r="C162" t="str">
            <v>m3</v>
          </cell>
          <cell r="D162">
            <v>1</v>
          </cell>
          <cell r="E162">
            <v>384</v>
          </cell>
          <cell r="F162">
            <v>0.45100000000000001</v>
          </cell>
          <cell r="O162">
            <v>0.879</v>
          </cell>
          <cell r="BQ162">
            <v>1</v>
          </cell>
        </row>
        <row r="163">
          <cell r="A163">
            <v>158</v>
          </cell>
          <cell r="B163" t="str">
            <v>Bª t«ng mãng  R&lt;=2,5m ®¸ 1x2 M150</v>
          </cell>
          <cell r="C163" t="str">
            <v>m3</v>
          </cell>
          <cell r="D163">
            <v>1</v>
          </cell>
          <cell r="E163">
            <v>288.02999999999997</v>
          </cell>
          <cell r="F163">
            <v>0.49</v>
          </cell>
          <cell r="P163">
            <v>0.90400000000000003</v>
          </cell>
          <cell r="BQ163">
            <v>1</v>
          </cell>
        </row>
        <row r="164">
          <cell r="A164">
            <v>159</v>
          </cell>
          <cell r="B164" t="str">
            <v>Bª t«ng mãng  R&lt;=2,5m ®¸ 1x2 M200</v>
          </cell>
          <cell r="C164" t="str">
            <v>m3</v>
          </cell>
          <cell r="D164">
            <v>1</v>
          </cell>
          <cell r="E164">
            <v>350.55</v>
          </cell>
          <cell r="F164">
            <v>0.46600000000000003</v>
          </cell>
          <cell r="P164">
            <v>0.88900000000000001</v>
          </cell>
          <cell r="BQ164">
            <v>1</v>
          </cell>
        </row>
        <row r="165">
          <cell r="A165">
            <v>160</v>
          </cell>
          <cell r="B165" t="str">
            <v>Bª t«ng mãng  R&lt;=2,5m ®¸ 1x2 M250</v>
          </cell>
          <cell r="C165" t="str">
            <v>m3</v>
          </cell>
          <cell r="D165">
            <v>1</v>
          </cell>
          <cell r="E165">
            <v>415.13</v>
          </cell>
          <cell r="F165">
            <v>0.438</v>
          </cell>
          <cell r="P165">
            <v>0.879</v>
          </cell>
          <cell r="BQ165">
            <v>1</v>
          </cell>
        </row>
        <row r="166">
          <cell r="A166">
            <v>161</v>
          </cell>
          <cell r="B166" t="str">
            <v>Bª t«ng mãng R&gt;2,5m ®¸ 2x4 M150</v>
          </cell>
          <cell r="C166" t="str">
            <v>m3</v>
          </cell>
          <cell r="D166">
            <v>1</v>
          </cell>
          <cell r="E166">
            <v>272.64999999999998</v>
          </cell>
          <cell r="F166">
            <v>0.49399999999999999</v>
          </cell>
          <cell r="L166">
            <v>1.4999999999999999E-2</v>
          </cell>
          <cell r="M166">
            <v>0.122</v>
          </cell>
          <cell r="O166">
            <v>0.90600000000000003</v>
          </cell>
          <cell r="Q166">
            <v>0.60299999999999998</v>
          </cell>
          <cell r="BQ166">
            <v>1</v>
          </cell>
        </row>
        <row r="167">
          <cell r="A167">
            <v>162</v>
          </cell>
          <cell r="B167" t="str">
            <v>Bª t«ng mãng R&gt;2,5m ®¸ 2x4 M200</v>
          </cell>
          <cell r="C167" t="str">
            <v>m3</v>
          </cell>
          <cell r="D167">
            <v>1</v>
          </cell>
          <cell r="E167">
            <v>331.08</v>
          </cell>
          <cell r="F167">
            <v>0.46899999999999997</v>
          </cell>
          <cell r="L167">
            <v>1.4999999999999999E-2</v>
          </cell>
          <cell r="M167">
            <v>0.122</v>
          </cell>
          <cell r="O167">
            <v>0.89600000000000002</v>
          </cell>
          <cell r="Q167">
            <v>0.60299999999999998</v>
          </cell>
          <cell r="BQ167">
            <v>1</v>
          </cell>
        </row>
        <row r="168">
          <cell r="A168">
            <v>163</v>
          </cell>
          <cell r="B168" t="str">
            <v>Bª t«ng mãng R&gt;2,5m ®¸ 2x4 M250</v>
          </cell>
          <cell r="C168" t="str">
            <v>m3</v>
          </cell>
          <cell r="D168">
            <v>1</v>
          </cell>
          <cell r="E168">
            <v>384</v>
          </cell>
          <cell r="F168">
            <v>0.45100000000000001</v>
          </cell>
          <cell r="L168">
            <v>1.4999999999999999E-2</v>
          </cell>
          <cell r="M168">
            <v>0.122</v>
          </cell>
          <cell r="O168">
            <v>0.879</v>
          </cell>
          <cell r="Q168">
            <v>0.60299999999999998</v>
          </cell>
          <cell r="BQ168">
            <v>1</v>
          </cell>
        </row>
        <row r="169">
          <cell r="A169">
            <v>164</v>
          </cell>
          <cell r="B169" t="str">
            <v>Bª t«ng mãng R&gt;2,5m ®¸ 1x2 M150</v>
          </cell>
          <cell r="C169" t="str">
            <v>m3</v>
          </cell>
          <cell r="D169">
            <v>1</v>
          </cell>
          <cell r="E169">
            <v>288.02999999999997</v>
          </cell>
          <cell r="F169">
            <v>0.49</v>
          </cell>
          <cell r="L169">
            <v>1.4999999999999999E-2</v>
          </cell>
          <cell r="M169">
            <v>0.122</v>
          </cell>
          <cell r="P169">
            <v>0.90400000000000003</v>
          </cell>
          <cell r="Q169">
            <v>0.60299999999999998</v>
          </cell>
          <cell r="BQ169">
            <v>1</v>
          </cell>
        </row>
        <row r="170">
          <cell r="A170">
            <v>165</v>
          </cell>
          <cell r="B170" t="str">
            <v>Bª t«ng mãng R&gt;2,5m ®¸ 1x2 M200</v>
          </cell>
          <cell r="C170" t="str">
            <v>m3</v>
          </cell>
          <cell r="D170">
            <v>1</v>
          </cell>
          <cell r="E170">
            <v>350.55</v>
          </cell>
          <cell r="F170">
            <v>0.46600000000000003</v>
          </cell>
          <cell r="L170">
            <v>1.4999999999999999E-2</v>
          </cell>
          <cell r="M170">
            <v>0.122</v>
          </cell>
          <cell r="P170">
            <v>0.88900000000000001</v>
          </cell>
          <cell r="Q170">
            <v>0.60299999999999998</v>
          </cell>
          <cell r="BQ170">
            <v>1</v>
          </cell>
        </row>
        <row r="171">
          <cell r="A171">
            <v>166</v>
          </cell>
          <cell r="B171" t="str">
            <v>Bª t«ng mãng R&gt;2,5m ®¸ 1x2 M250</v>
          </cell>
          <cell r="C171" t="str">
            <v>m3</v>
          </cell>
          <cell r="D171">
            <v>1</v>
          </cell>
          <cell r="E171">
            <v>415.13</v>
          </cell>
          <cell r="F171">
            <v>0.438</v>
          </cell>
          <cell r="L171">
            <v>1.4999999999999999E-2</v>
          </cell>
          <cell r="M171">
            <v>0.122</v>
          </cell>
          <cell r="P171">
            <v>0.879</v>
          </cell>
          <cell r="Q171">
            <v>0.60299999999999998</v>
          </cell>
          <cell r="BQ171">
            <v>1</v>
          </cell>
        </row>
        <row r="172">
          <cell r="A172">
            <v>167</v>
          </cell>
          <cell r="B172" t="str">
            <v>Bª t«ng nÒn ®¸ 1x2 M150</v>
          </cell>
          <cell r="C172" t="str">
            <v>m3</v>
          </cell>
          <cell r="D172">
            <v>1</v>
          </cell>
          <cell r="E172">
            <v>288.02999999999997</v>
          </cell>
          <cell r="F172">
            <v>0.49</v>
          </cell>
          <cell r="P172">
            <v>0.90400000000000003</v>
          </cell>
          <cell r="BQ172">
            <v>1</v>
          </cell>
        </row>
        <row r="173">
          <cell r="A173">
            <v>168</v>
          </cell>
          <cell r="B173" t="str">
            <v>Bª t«ng nÒn ®¸ 1x2 M200</v>
          </cell>
          <cell r="C173" t="str">
            <v>m3</v>
          </cell>
          <cell r="D173">
            <v>1</v>
          </cell>
          <cell r="E173">
            <v>350.55</v>
          </cell>
          <cell r="F173">
            <v>0.46600000000000003</v>
          </cell>
          <cell r="P173">
            <v>0.88900000000000001</v>
          </cell>
          <cell r="BQ173">
            <v>1</v>
          </cell>
        </row>
        <row r="174">
          <cell r="A174">
            <v>169</v>
          </cell>
          <cell r="B174" t="str">
            <v>Bª t«ng nÒn ®¸ 1x2 M250</v>
          </cell>
          <cell r="C174" t="str">
            <v>m3</v>
          </cell>
          <cell r="D174">
            <v>1</v>
          </cell>
          <cell r="E174">
            <v>415.13</v>
          </cell>
          <cell r="F174">
            <v>0.438</v>
          </cell>
          <cell r="P174">
            <v>0.879</v>
          </cell>
          <cell r="BQ174">
            <v>1</v>
          </cell>
        </row>
        <row r="175">
          <cell r="A175">
            <v>170</v>
          </cell>
          <cell r="B175" t="str">
            <v>Bª t«ng nÒn ®¸ 1x2 M300</v>
          </cell>
          <cell r="C175" t="str">
            <v>m3</v>
          </cell>
          <cell r="D175">
            <v>1</v>
          </cell>
          <cell r="E175">
            <v>437.68</v>
          </cell>
          <cell r="F175">
            <v>0.45200000000000001</v>
          </cell>
          <cell r="P175">
            <v>0.88300000000000001</v>
          </cell>
          <cell r="BQ175">
            <v>1</v>
          </cell>
        </row>
        <row r="176">
          <cell r="A176">
            <v>171</v>
          </cell>
          <cell r="B176" t="str">
            <v>Bª t«ng nÒn ®¸ 2x4 M150</v>
          </cell>
          <cell r="C176" t="str">
            <v>m3</v>
          </cell>
          <cell r="D176">
            <v>1</v>
          </cell>
          <cell r="E176">
            <v>272.64999999999998</v>
          </cell>
          <cell r="F176">
            <v>0.49399999999999999</v>
          </cell>
          <cell r="O176">
            <v>0.90600000000000003</v>
          </cell>
          <cell r="BQ176">
            <v>1</v>
          </cell>
        </row>
        <row r="177">
          <cell r="A177">
            <v>172</v>
          </cell>
          <cell r="B177" t="str">
            <v>Bª t«ng nÒn ®¸ 2x4 M200</v>
          </cell>
          <cell r="C177" t="str">
            <v>m3</v>
          </cell>
          <cell r="D177">
            <v>1</v>
          </cell>
          <cell r="E177">
            <v>331.08</v>
          </cell>
          <cell r="F177">
            <v>0.46899999999999997</v>
          </cell>
          <cell r="O177">
            <v>0.89600000000000002</v>
          </cell>
          <cell r="BQ177">
            <v>1</v>
          </cell>
        </row>
        <row r="178">
          <cell r="A178">
            <v>173</v>
          </cell>
          <cell r="B178" t="str">
            <v>Bª t«ng nÒn ®¸ 2x4 M250</v>
          </cell>
          <cell r="C178" t="str">
            <v>m3</v>
          </cell>
          <cell r="D178">
            <v>1</v>
          </cell>
          <cell r="E178">
            <v>384</v>
          </cell>
          <cell r="F178">
            <v>0.45100000000000001</v>
          </cell>
          <cell r="O178">
            <v>0.879</v>
          </cell>
          <cell r="BQ178">
            <v>1</v>
          </cell>
        </row>
        <row r="179">
          <cell r="A179">
            <v>174</v>
          </cell>
          <cell r="B179" t="str">
            <v>Bª t«ng nÒn ®¸ 2x4 M300</v>
          </cell>
          <cell r="C179" t="str">
            <v>m3</v>
          </cell>
          <cell r="D179">
            <v>1</v>
          </cell>
          <cell r="E179">
            <v>466.38</v>
          </cell>
          <cell r="F179">
            <v>0.41099999999999998</v>
          </cell>
          <cell r="O179">
            <v>0.879</v>
          </cell>
          <cell r="BQ179">
            <v>1</v>
          </cell>
        </row>
        <row r="180">
          <cell r="A180">
            <v>175</v>
          </cell>
          <cell r="B180" t="str">
            <v>Bª t«ng bÖ m¸y ®¸ 1x2 M150</v>
          </cell>
          <cell r="C180" t="str">
            <v>m3</v>
          </cell>
          <cell r="D180">
            <v>1</v>
          </cell>
          <cell r="E180">
            <v>288.02999999999997</v>
          </cell>
          <cell r="F180">
            <v>0.49</v>
          </cell>
          <cell r="P180">
            <v>0.90400000000000003</v>
          </cell>
          <cell r="BQ180">
            <v>1</v>
          </cell>
        </row>
        <row r="181">
          <cell r="A181">
            <v>176</v>
          </cell>
          <cell r="B181" t="str">
            <v>Bª t«ng bÖ m¸y ®¸ 1x2 M200</v>
          </cell>
          <cell r="C181" t="str">
            <v>m3</v>
          </cell>
          <cell r="D181">
            <v>1</v>
          </cell>
          <cell r="E181">
            <v>350.55</v>
          </cell>
          <cell r="F181">
            <v>0.46600000000000003</v>
          </cell>
          <cell r="P181">
            <v>0.88900000000000001</v>
          </cell>
          <cell r="BQ181">
            <v>1</v>
          </cell>
        </row>
        <row r="182">
          <cell r="A182">
            <v>177</v>
          </cell>
          <cell r="B182" t="str">
            <v>Bª t«ng bÖ m¸y ®¸ 1x2 M250</v>
          </cell>
          <cell r="C182" t="str">
            <v>m3</v>
          </cell>
          <cell r="D182">
            <v>1</v>
          </cell>
          <cell r="E182">
            <v>415.13</v>
          </cell>
          <cell r="F182">
            <v>0.438</v>
          </cell>
          <cell r="P182">
            <v>0.879</v>
          </cell>
          <cell r="BQ182">
            <v>1</v>
          </cell>
        </row>
        <row r="183">
          <cell r="A183">
            <v>178</v>
          </cell>
          <cell r="B183" t="str">
            <v>Bª t«ng bÖ m¸y ®¸ 1x2 M300</v>
          </cell>
          <cell r="C183" t="str">
            <v>m3</v>
          </cell>
          <cell r="D183">
            <v>1</v>
          </cell>
          <cell r="E183">
            <v>437.68</v>
          </cell>
          <cell r="F183">
            <v>0.45200000000000001</v>
          </cell>
          <cell r="P183">
            <v>0.88300000000000001</v>
          </cell>
          <cell r="BQ183">
            <v>1</v>
          </cell>
        </row>
        <row r="184">
          <cell r="A184">
            <v>179</v>
          </cell>
          <cell r="B184" t="str">
            <v>Bª t«ng bÖ m¸y ®¸ 2x4 M150</v>
          </cell>
          <cell r="C184" t="str">
            <v>m3</v>
          </cell>
          <cell r="D184">
            <v>1</v>
          </cell>
          <cell r="E184">
            <v>272.64999999999998</v>
          </cell>
          <cell r="F184">
            <v>0.49399999999999999</v>
          </cell>
          <cell r="O184">
            <v>0.90600000000000003</v>
          </cell>
          <cell r="BQ184">
            <v>1</v>
          </cell>
        </row>
        <row r="185">
          <cell r="A185">
            <v>180</v>
          </cell>
          <cell r="B185" t="str">
            <v>Bª t«ng bÖ m¸y ®¸ 2x4 M200</v>
          </cell>
          <cell r="C185" t="str">
            <v>m3</v>
          </cell>
          <cell r="D185">
            <v>1</v>
          </cell>
          <cell r="E185">
            <v>331.08</v>
          </cell>
          <cell r="F185">
            <v>0.46899999999999997</v>
          </cell>
          <cell r="O185">
            <v>0.89600000000000002</v>
          </cell>
          <cell r="BQ185">
            <v>1</v>
          </cell>
        </row>
        <row r="186">
          <cell r="A186">
            <v>181</v>
          </cell>
          <cell r="B186" t="str">
            <v>Bª t«ng bÖ m¸y ®¸ 2x4 M250</v>
          </cell>
          <cell r="C186" t="str">
            <v>m3</v>
          </cell>
          <cell r="D186">
            <v>1</v>
          </cell>
          <cell r="E186">
            <v>384</v>
          </cell>
          <cell r="F186">
            <v>0.45100000000000001</v>
          </cell>
          <cell r="O186">
            <v>0.879</v>
          </cell>
          <cell r="BQ186">
            <v>1</v>
          </cell>
        </row>
        <row r="187">
          <cell r="A187">
            <v>182</v>
          </cell>
          <cell r="B187" t="str">
            <v>Bª t«ng bÖ m¸y ®¸ 2x4 M300</v>
          </cell>
          <cell r="C187" t="str">
            <v>m3</v>
          </cell>
          <cell r="D187">
            <v>1</v>
          </cell>
          <cell r="E187">
            <v>466.38</v>
          </cell>
          <cell r="F187">
            <v>0.41099999999999998</v>
          </cell>
          <cell r="O187">
            <v>0.879</v>
          </cell>
          <cell r="BQ187">
            <v>1</v>
          </cell>
        </row>
        <row r="188">
          <cell r="A188">
            <v>183</v>
          </cell>
          <cell r="B188" t="str">
            <v>Bª t«ng t­êng &lt;=45cm cao&lt;=4m hoÆc &gt;4m ®¸ 1x2 M150</v>
          </cell>
          <cell r="C188" t="str">
            <v>m3</v>
          </cell>
          <cell r="D188">
            <v>1</v>
          </cell>
          <cell r="E188">
            <v>288.02999999999997</v>
          </cell>
          <cell r="F188">
            <v>0.49</v>
          </cell>
          <cell r="L188">
            <v>4.9000000000000002E-2</v>
          </cell>
          <cell r="M188">
            <v>0.19900000000000001</v>
          </cell>
          <cell r="P188">
            <v>0.90400000000000003</v>
          </cell>
          <cell r="Q188">
            <v>0.871</v>
          </cell>
          <cell r="BQ188">
            <v>2</v>
          </cell>
        </row>
        <row r="189">
          <cell r="A189">
            <v>184</v>
          </cell>
          <cell r="B189" t="str">
            <v>Bª t«ng t­êng &lt;=45cm cao&lt;=4m hoÆc &gt;4m ®¸ 1x2 M200</v>
          </cell>
          <cell r="C189" t="str">
            <v>m3</v>
          </cell>
          <cell r="D189">
            <v>1</v>
          </cell>
          <cell r="E189">
            <v>350.55</v>
          </cell>
          <cell r="F189">
            <v>0.46600000000000003</v>
          </cell>
          <cell r="L189">
            <v>4.9000000000000002E-2</v>
          </cell>
          <cell r="M189">
            <v>0.19900000000000001</v>
          </cell>
          <cell r="P189">
            <v>0.88900000000000001</v>
          </cell>
          <cell r="Q189">
            <v>0.871</v>
          </cell>
          <cell r="BQ189">
            <v>2</v>
          </cell>
        </row>
        <row r="190">
          <cell r="A190">
            <v>185</v>
          </cell>
          <cell r="B190" t="str">
            <v>Bª t«ng t­êng &lt;=45cm cao&lt;=4m hoÆc &gt;4m ®¸ 1x2 M250</v>
          </cell>
          <cell r="C190" t="str">
            <v>m3</v>
          </cell>
          <cell r="D190">
            <v>1</v>
          </cell>
          <cell r="E190">
            <v>415.13</v>
          </cell>
          <cell r="F190">
            <v>0.438</v>
          </cell>
          <cell r="L190">
            <v>4.9000000000000002E-2</v>
          </cell>
          <cell r="M190">
            <v>0.19900000000000001</v>
          </cell>
          <cell r="P190">
            <v>0.879</v>
          </cell>
          <cell r="Q190">
            <v>0.871</v>
          </cell>
          <cell r="BQ190">
            <v>2</v>
          </cell>
        </row>
        <row r="191">
          <cell r="A191">
            <v>186</v>
          </cell>
          <cell r="B191" t="str">
            <v>Bª t«ng t­êng &lt;=45cm cao&lt;=4m hoÆc &gt;4m ®¸ 1x2 M300</v>
          </cell>
          <cell r="C191" t="str">
            <v>m3</v>
          </cell>
          <cell r="D191">
            <v>1</v>
          </cell>
          <cell r="E191">
            <v>437.68</v>
          </cell>
          <cell r="F191">
            <v>0.45200000000000001</v>
          </cell>
          <cell r="L191">
            <v>4.9000000000000002E-2</v>
          </cell>
          <cell r="M191">
            <v>0.19900000000000001</v>
          </cell>
          <cell r="P191">
            <v>0.88300000000000001</v>
          </cell>
          <cell r="Q191">
            <v>0.871</v>
          </cell>
          <cell r="BQ191">
            <v>2</v>
          </cell>
        </row>
        <row r="192">
          <cell r="A192">
            <v>187</v>
          </cell>
          <cell r="B192" t="str">
            <v>Bª t«ng t­êng &lt;=45cm cao&lt;=4m hoÆc &gt;4m ®¸ 2x4 M150</v>
          </cell>
          <cell r="C192" t="str">
            <v>m3</v>
          </cell>
          <cell r="D192">
            <v>1</v>
          </cell>
          <cell r="E192">
            <v>272.64999999999998</v>
          </cell>
          <cell r="F192">
            <v>0.49399999999999999</v>
          </cell>
          <cell r="L192">
            <v>4.9000000000000002E-2</v>
          </cell>
          <cell r="M192">
            <v>0.19900000000000001</v>
          </cell>
          <cell r="O192">
            <v>0.90600000000000003</v>
          </cell>
          <cell r="Q192">
            <v>0.871</v>
          </cell>
          <cell r="BQ192">
            <v>2</v>
          </cell>
        </row>
        <row r="193">
          <cell r="A193">
            <v>188</v>
          </cell>
          <cell r="B193" t="str">
            <v>Bª t«ng t­êng &lt;=45cm cao&lt;=4m hoÆc &gt;4m ®¸ 2x4 M200</v>
          </cell>
          <cell r="C193" t="str">
            <v>m3</v>
          </cell>
          <cell r="D193">
            <v>1</v>
          </cell>
          <cell r="E193">
            <v>331.08</v>
          </cell>
          <cell r="F193">
            <v>0.46899999999999997</v>
          </cell>
          <cell r="L193">
            <v>4.9000000000000002E-2</v>
          </cell>
          <cell r="M193">
            <v>0.19900000000000001</v>
          </cell>
          <cell r="O193">
            <v>0.89600000000000002</v>
          </cell>
          <cell r="Q193">
            <v>0.871</v>
          </cell>
          <cell r="BQ193">
            <v>2</v>
          </cell>
        </row>
        <row r="194">
          <cell r="A194">
            <v>189</v>
          </cell>
          <cell r="B194" t="str">
            <v>Bª t«ng t­êng &lt;=45cm cao&lt;=4m hoÆc &gt;4m ®¸ 2x4 M250</v>
          </cell>
          <cell r="C194" t="str">
            <v>m3</v>
          </cell>
          <cell r="D194">
            <v>1</v>
          </cell>
          <cell r="E194">
            <v>384</v>
          </cell>
          <cell r="F194">
            <v>0.45100000000000001</v>
          </cell>
          <cell r="L194">
            <v>4.9000000000000002E-2</v>
          </cell>
          <cell r="M194">
            <v>0.19900000000000001</v>
          </cell>
          <cell r="O194">
            <v>0.879</v>
          </cell>
          <cell r="Q194">
            <v>0.871</v>
          </cell>
          <cell r="BQ194">
            <v>2</v>
          </cell>
        </row>
        <row r="195">
          <cell r="A195">
            <v>190</v>
          </cell>
          <cell r="B195" t="str">
            <v>Bª t«ng t­êng &lt;=45cm cao&lt;=4m hoÆc &gt;4m ®¸ 2x4 M300</v>
          </cell>
          <cell r="C195" t="str">
            <v>m3</v>
          </cell>
          <cell r="D195">
            <v>1</v>
          </cell>
          <cell r="E195">
            <v>466.38</v>
          </cell>
          <cell r="F195">
            <v>0.41099999999999998</v>
          </cell>
          <cell r="L195">
            <v>4.9000000000000002E-2</v>
          </cell>
          <cell r="M195">
            <v>0.19900000000000001</v>
          </cell>
          <cell r="O195">
            <v>0.879</v>
          </cell>
          <cell r="Q195">
            <v>0.871</v>
          </cell>
          <cell r="BQ195">
            <v>2</v>
          </cell>
        </row>
        <row r="196">
          <cell r="A196">
            <v>191</v>
          </cell>
          <cell r="B196" t="str">
            <v>Bª t«ng t­êng &gt;45cm cao&lt;=4m hoÆc &gt;4m ®¸ 1x2 M150</v>
          </cell>
          <cell r="C196" t="str">
            <v>m3</v>
          </cell>
          <cell r="D196">
            <v>1</v>
          </cell>
          <cell r="E196">
            <v>288.02999999999997</v>
          </cell>
          <cell r="F196">
            <v>0.49</v>
          </cell>
          <cell r="L196">
            <v>0.02</v>
          </cell>
          <cell r="M196">
            <v>4.8000000000000001E-2</v>
          </cell>
          <cell r="P196">
            <v>0.90400000000000003</v>
          </cell>
          <cell r="Q196">
            <v>0.35199999999999998</v>
          </cell>
          <cell r="BQ196">
            <v>2</v>
          </cell>
        </row>
        <row r="197">
          <cell r="A197">
            <v>192</v>
          </cell>
          <cell r="B197" t="str">
            <v>Bª t«ng t­êng &gt;45cm cao&lt;=4m hoÆc &gt;4m ®¸ 1x2 M200</v>
          </cell>
          <cell r="C197" t="str">
            <v>m3</v>
          </cell>
          <cell r="D197">
            <v>1</v>
          </cell>
          <cell r="E197">
            <v>350.55</v>
          </cell>
          <cell r="F197">
            <v>0.46600000000000003</v>
          </cell>
          <cell r="L197">
            <v>0.02</v>
          </cell>
          <cell r="M197">
            <v>4.8000000000000001E-2</v>
          </cell>
          <cell r="P197">
            <v>0.88900000000000001</v>
          </cell>
          <cell r="Q197">
            <v>0.35199999999999998</v>
          </cell>
          <cell r="BQ197">
            <v>2</v>
          </cell>
        </row>
        <row r="198">
          <cell r="A198">
            <v>193</v>
          </cell>
          <cell r="B198" t="str">
            <v>Bª t«ng t­êng &gt;45cm cao&lt;=4m hoÆc &gt;4m ®¸ 1x2 M250</v>
          </cell>
          <cell r="C198" t="str">
            <v>m3</v>
          </cell>
          <cell r="D198">
            <v>1</v>
          </cell>
          <cell r="E198">
            <v>415.13</v>
          </cell>
          <cell r="F198">
            <v>0.438</v>
          </cell>
          <cell r="L198">
            <v>0.02</v>
          </cell>
          <cell r="M198">
            <v>4.8000000000000001E-2</v>
          </cell>
          <cell r="P198">
            <v>0.879</v>
          </cell>
          <cell r="Q198">
            <v>0.35199999999999998</v>
          </cell>
          <cell r="BQ198">
            <v>2</v>
          </cell>
        </row>
        <row r="199">
          <cell r="A199">
            <v>194</v>
          </cell>
          <cell r="B199" t="str">
            <v>Bª t«ng t­êng &gt;45cm cao&lt;=4m hoÆc &gt;4m ®¸ 1x2 M300</v>
          </cell>
          <cell r="C199" t="str">
            <v>m3</v>
          </cell>
          <cell r="D199">
            <v>1</v>
          </cell>
          <cell r="E199">
            <v>437.68</v>
          </cell>
          <cell r="F199">
            <v>0.45200000000000001</v>
          </cell>
          <cell r="L199">
            <v>0.02</v>
          </cell>
          <cell r="M199">
            <v>4.8000000000000001E-2</v>
          </cell>
          <cell r="P199">
            <v>0.88300000000000001</v>
          </cell>
          <cell r="Q199">
            <v>0.35199999999999998</v>
          </cell>
          <cell r="BQ199">
            <v>2</v>
          </cell>
        </row>
        <row r="200">
          <cell r="A200">
            <v>195</v>
          </cell>
          <cell r="B200" t="str">
            <v>Bª t«ng t­êng &gt;45cm cao&lt;=4m hoÆc &gt;4m ®¸ 2x4 M150</v>
          </cell>
          <cell r="C200" t="str">
            <v>m3</v>
          </cell>
          <cell r="D200">
            <v>1</v>
          </cell>
          <cell r="E200">
            <v>272.64999999999998</v>
          </cell>
          <cell r="F200">
            <v>0.49399999999999999</v>
          </cell>
          <cell r="L200">
            <v>0.02</v>
          </cell>
          <cell r="M200">
            <v>4.8000000000000001E-2</v>
          </cell>
          <cell r="O200">
            <v>0.90600000000000003</v>
          </cell>
          <cell r="Q200">
            <v>0.35199999999999998</v>
          </cell>
          <cell r="BQ200">
            <v>2</v>
          </cell>
        </row>
        <row r="201">
          <cell r="A201">
            <v>196</v>
          </cell>
          <cell r="B201" t="str">
            <v>Bª t«ng t­êng &gt;45cm cao&lt;=4m hoÆc &gt;4m ®¸ 2x4 M200</v>
          </cell>
          <cell r="C201" t="str">
            <v>m3</v>
          </cell>
          <cell r="D201">
            <v>1</v>
          </cell>
          <cell r="E201">
            <v>331.08</v>
          </cell>
          <cell r="F201">
            <v>0.46899999999999997</v>
          </cell>
          <cell r="L201">
            <v>0.02</v>
          </cell>
          <cell r="M201">
            <v>4.8000000000000001E-2</v>
          </cell>
          <cell r="O201">
            <v>0.89600000000000002</v>
          </cell>
          <cell r="Q201">
            <v>0.35199999999999998</v>
          </cell>
          <cell r="BQ201">
            <v>2</v>
          </cell>
        </row>
        <row r="202">
          <cell r="A202">
            <v>197</v>
          </cell>
          <cell r="B202" t="str">
            <v>Bª t«ng t­êng &gt;45cm cao&lt;=4m hoÆc &gt;4m ®¸ 2x4 M250</v>
          </cell>
          <cell r="C202" t="str">
            <v>m3</v>
          </cell>
          <cell r="D202">
            <v>1</v>
          </cell>
          <cell r="E202">
            <v>384</v>
          </cell>
          <cell r="F202">
            <v>0.45100000000000001</v>
          </cell>
          <cell r="L202">
            <v>0.02</v>
          </cell>
          <cell r="M202">
            <v>4.8000000000000001E-2</v>
          </cell>
          <cell r="O202">
            <v>0.879</v>
          </cell>
          <cell r="Q202">
            <v>0.35199999999999998</v>
          </cell>
          <cell r="BQ202">
            <v>2</v>
          </cell>
        </row>
        <row r="203">
          <cell r="A203">
            <v>198</v>
          </cell>
          <cell r="B203" t="str">
            <v>Bª t«ng t­êng &gt;45cm cao&lt;=4m hoÆc &gt;4m ®¸ 2x4 M300</v>
          </cell>
          <cell r="C203" t="str">
            <v>m3</v>
          </cell>
          <cell r="D203">
            <v>1</v>
          </cell>
          <cell r="E203">
            <v>466.38</v>
          </cell>
          <cell r="F203">
            <v>0.41099999999999998</v>
          </cell>
          <cell r="L203">
            <v>0.02</v>
          </cell>
          <cell r="M203">
            <v>4.8000000000000001E-2</v>
          </cell>
          <cell r="O203">
            <v>0.879</v>
          </cell>
          <cell r="Q203">
            <v>0.35199999999999998</v>
          </cell>
          <cell r="BQ203">
            <v>2</v>
          </cell>
        </row>
        <row r="204">
          <cell r="A204">
            <v>199</v>
          </cell>
          <cell r="B204" t="str">
            <v>Bª t«ng t­êng trô pin &lt;=45cm cao&lt;=4m hoÆc &gt;4m ®¸ 1x2 M150</v>
          </cell>
          <cell r="C204" t="str">
            <v>m3</v>
          </cell>
          <cell r="D204">
            <v>1</v>
          </cell>
          <cell r="E204">
            <v>288.02999999999997</v>
          </cell>
          <cell r="F204">
            <v>0.49</v>
          </cell>
          <cell r="L204">
            <v>4.9000000000000002E-2</v>
          </cell>
          <cell r="M204">
            <v>0.19900000000000001</v>
          </cell>
          <cell r="P204">
            <v>0.90400000000000003</v>
          </cell>
          <cell r="Q204">
            <v>0.871</v>
          </cell>
        </row>
        <row r="205">
          <cell r="A205">
            <v>200</v>
          </cell>
          <cell r="B205" t="str">
            <v>Bª t«ng t­êng trô pin &lt;=45cm cao&lt;=4m hoÆc &gt;4m ®¸ 1x2 M200</v>
          </cell>
          <cell r="C205" t="str">
            <v>m3</v>
          </cell>
          <cell r="D205">
            <v>1</v>
          </cell>
          <cell r="E205">
            <v>350.55</v>
          </cell>
          <cell r="F205">
            <v>0.46600000000000003</v>
          </cell>
          <cell r="L205">
            <v>4.9000000000000002E-2</v>
          </cell>
          <cell r="M205">
            <v>0.19900000000000001</v>
          </cell>
          <cell r="P205">
            <v>0.88900000000000001</v>
          </cell>
          <cell r="Q205">
            <v>0.871</v>
          </cell>
        </row>
        <row r="206">
          <cell r="A206">
            <v>201</v>
          </cell>
          <cell r="B206" t="str">
            <v>Bª t«ng t­êng trô pin &lt;=45cm cao&lt;=4m hoÆc &gt;4m ®¸ 1x2 M250</v>
          </cell>
          <cell r="C206" t="str">
            <v>m3</v>
          </cell>
          <cell r="D206">
            <v>1</v>
          </cell>
          <cell r="E206">
            <v>415.13</v>
          </cell>
          <cell r="F206">
            <v>0.438</v>
          </cell>
          <cell r="L206">
            <v>4.9000000000000002E-2</v>
          </cell>
          <cell r="M206">
            <v>0.19900000000000001</v>
          </cell>
          <cell r="P206">
            <v>0.879</v>
          </cell>
          <cell r="Q206">
            <v>0.871</v>
          </cell>
        </row>
        <row r="207">
          <cell r="A207">
            <v>202</v>
          </cell>
          <cell r="B207" t="str">
            <v>Bª t«ng t­êng trô pin &lt;=45cm cao&lt;=4m hoÆc &gt;4m ®¸ 1x2 M300</v>
          </cell>
          <cell r="C207" t="str">
            <v>m3</v>
          </cell>
          <cell r="D207">
            <v>1</v>
          </cell>
          <cell r="E207">
            <v>437.68</v>
          </cell>
          <cell r="F207">
            <v>0.45200000000000001</v>
          </cell>
          <cell r="L207">
            <v>4.9000000000000002E-2</v>
          </cell>
          <cell r="M207">
            <v>0.19900000000000001</v>
          </cell>
          <cell r="P207">
            <v>0.88300000000000001</v>
          </cell>
          <cell r="Q207">
            <v>0.871</v>
          </cell>
        </row>
        <row r="208">
          <cell r="A208">
            <v>203</v>
          </cell>
          <cell r="B208" t="str">
            <v>Bª t«ng t­êng trô pin &lt;=45cm cao&lt;=4m hoÆc &gt;4m ®¸ 2x4 M150</v>
          </cell>
          <cell r="C208" t="str">
            <v>m3</v>
          </cell>
          <cell r="D208">
            <v>1</v>
          </cell>
          <cell r="E208">
            <v>272.64999999999998</v>
          </cell>
          <cell r="F208">
            <v>0.49399999999999999</v>
          </cell>
          <cell r="L208">
            <v>4.9000000000000002E-2</v>
          </cell>
          <cell r="M208">
            <v>0.19900000000000001</v>
          </cell>
          <cell r="O208">
            <v>0.90600000000000003</v>
          </cell>
          <cell r="Q208">
            <v>0.871</v>
          </cell>
        </row>
        <row r="209">
          <cell r="A209">
            <v>204</v>
          </cell>
          <cell r="B209" t="str">
            <v>Bª t«ng t­êng trô pin &lt;=45cm cao&lt;=4m hoÆc &gt;4m ®¸ 2x4 M200</v>
          </cell>
          <cell r="C209" t="str">
            <v>m3</v>
          </cell>
          <cell r="D209">
            <v>1</v>
          </cell>
          <cell r="E209">
            <v>331.08</v>
          </cell>
          <cell r="F209">
            <v>0.46899999999999997</v>
          </cell>
          <cell r="L209">
            <v>4.9000000000000002E-2</v>
          </cell>
          <cell r="M209">
            <v>0.19900000000000001</v>
          </cell>
          <cell r="O209">
            <v>0.89600000000000002</v>
          </cell>
          <cell r="Q209">
            <v>0.871</v>
          </cell>
        </row>
        <row r="210">
          <cell r="A210">
            <v>205</v>
          </cell>
          <cell r="B210" t="str">
            <v>Bª t«ng t­êng trô pin &lt;=45cm cao&lt;=4m hoÆc &gt;4m ®¸ 2x4 M250</v>
          </cell>
          <cell r="C210" t="str">
            <v>m3</v>
          </cell>
          <cell r="D210">
            <v>1</v>
          </cell>
          <cell r="E210">
            <v>384</v>
          </cell>
          <cell r="F210">
            <v>0.45100000000000001</v>
          </cell>
          <cell r="L210">
            <v>4.9000000000000002E-2</v>
          </cell>
          <cell r="M210">
            <v>0.19900000000000001</v>
          </cell>
          <cell r="O210">
            <v>0.879</v>
          </cell>
          <cell r="Q210">
            <v>0.871</v>
          </cell>
        </row>
        <row r="211">
          <cell r="A211">
            <v>206</v>
          </cell>
          <cell r="B211" t="str">
            <v>Bª t«ng t­êng trô pin &lt;=45cm cao&lt;=4m hoÆc &gt;4m ®¸ 2x4 M300</v>
          </cell>
          <cell r="C211" t="str">
            <v>m3</v>
          </cell>
          <cell r="D211">
            <v>1</v>
          </cell>
          <cell r="E211">
            <v>466.38</v>
          </cell>
          <cell r="F211">
            <v>0.41099999999999998</v>
          </cell>
          <cell r="L211">
            <v>4.9000000000000002E-2</v>
          </cell>
          <cell r="M211">
            <v>0.19900000000000001</v>
          </cell>
          <cell r="O211">
            <v>0.879</v>
          </cell>
          <cell r="Q211">
            <v>0.871</v>
          </cell>
        </row>
        <row r="212">
          <cell r="A212">
            <v>207</v>
          </cell>
          <cell r="B212" t="str">
            <v>Bª t«ng t­êng trô pin &gt;45cm cao&lt;=4m hoÆc &gt;4m ®¸ 1x2 M150</v>
          </cell>
          <cell r="C212" t="str">
            <v>m3</v>
          </cell>
          <cell r="D212">
            <v>1</v>
          </cell>
          <cell r="E212">
            <v>288.02999999999997</v>
          </cell>
          <cell r="F212">
            <v>0.49</v>
          </cell>
          <cell r="L212">
            <v>4.9000000000000002E-2</v>
          </cell>
          <cell r="M212">
            <v>0.19900000000000001</v>
          </cell>
          <cell r="P212">
            <v>0.90400000000000003</v>
          </cell>
          <cell r="Q212">
            <v>0.35199999999999998</v>
          </cell>
        </row>
        <row r="213">
          <cell r="A213">
            <v>208</v>
          </cell>
          <cell r="B213" t="str">
            <v>Bª t«ng t­êng trô pin &gt;45cm cao&lt;=4m hoÆc &gt;4m ®¸ 1x2 M200</v>
          </cell>
          <cell r="C213" t="str">
            <v>m3</v>
          </cell>
          <cell r="D213">
            <v>1</v>
          </cell>
          <cell r="E213">
            <v>350.55</v>
          </cell>
          <cell r="F213">
            <v>0.46600000000000003</v>
          </cell>
          <cell r="L213">
            <v>4.9000000000000002E-2</v>
          </cell>
          <cell r="M213">
            <v>0.19900000000000001</v>
          </cell>
          <cell r="P213">
            <v>0.88900000000000001</v>
          </cell>
          <cell r="Q213">
            <v>0.35199999999999998</v>
          </cell>
        </row>
        <row r="214">
          <cell r="A214">
            <v>209</v>
          </cell>
          <cell r="B214" t="str">
            <v>Bª t«ng t­êng trô pin &gt;45cm cao&lt;=4m hoÆc &gt;4m ®¸ 1x2 M250</v>
          </cell>
          <cell r="C214" t="str">
            <v>m3</v>
          </cell>
          <cell r="D214">
            <v>1</v>
          </cell>
          <cell r="E214">
            <v>415.13</v>
          </cell>
          <cell r="F214">
            <v>0.438</v>
          </cell>
          <cell r="L214">
            <v>4.9000000000000002E-2</v>
          </cell>
          <cell r="M214">
            <v>0.19900000000000001</v>
          </cell>
          <cell r="P214">
            <v>0.879</v>
          </cell>
          <cell r="Q214">
            <v>0.35199999999999998</v>
          </cell>
        </row>
        <row r="215">
          <cell r="A215">
            <v>210</v>
          </cell>
          <cell r="B215" t="str">
            <v>Bª t«ng t­êng trô pin &gt;45cm cao&lt;=4m hoÆc &gt;4m ®¸ 1x2 M300</v>
          </cell>
          <cell r="C215" t="str">
            <v>m3</v>
          </cell>
          <cell r="D215">
            <v>1</v>
          </cell>
          <cell r="E215">
            <v>437.68</v>
          </cell>
          <cell r="F215">
            <v>0.45200000000000001</v>
          </cell>
          <cell r="L215">
            <v>4.9000000000000002E-2</v>
          </cell>
          <cell r="M215">
            <v>0.19900000000000001</v>
          </cell>
          <cell r="P215">
            <v>0.88300000000000001</v>
          </cell>
          <cell r="Q215">
            <v>0.35199999999999998</v>
          </cell>
        </row>
        <row r="216">
          <cell r="A216">
            <v>211</v>
          </cell>
          <cell r="B216" t="str">
            <v>Bª t«ng t­êng trô pin &gt;45cm cao&lt;=4m hoÆc &gt;4m ®¸ 2x4 M150</v>
          </cell>
          <cell r="C216" t="str">
            <v>m3</v>
          </cell>
          <cell r="D216">
            <v>1</v>
          </cell>
          <cell r="E216">
            <v>272.64999999999998</v>
          </cell>
          <cell r="F216">
            <v>0.49399999999999999</v>
          </cell>
          <cell r="L216">
            <v>4.9000000000000002E-2</v>
          </cell>
          <cell r="M216">
            <v>0.19900000000000001</v>
          </cell>
          <cell r="O216">
            <v>0.90600000000000003</v>
          </cell>
          <cell r="Q216">
            <v>0.35199999999999998</v>
          </cell>
          <cell r="BQ216">
            <v>2</v>
          </cell>
        </row>
        <row r="217">
          <cell r="A217">
            <v>212</v>
          </cell>
          <cell r="B217" t="str">
            <v>Bª t«ng t­êng trô pin &gt;45cm cao&lt;=4m hoÆc &gt;4m ®¸ 2x4 M200</v>
          </cell>
          <cell r="C217" t="str">
            <v>m3</v>
          </cell>
          <cell r="D217">
            <v>1</v>
          </cell>
          <cell r="E217">
            <v>331.08</v>
          </cell>
          <cell r="F217">
            <v>0.46899999999999997</v>
          </cell>
          <cell r="L217">
            <v>4.9000000000000002E-2</v>
          </cell>
          <cell r="M217">
            <v>0.19900000000000001</v>
          </cell>
          <cell r="O217">
            <v>0.89600000000000002</v>
          </cell>
          <cell r="Q217">
            <v>0.35199999999999998</v>
          </cell>
          <cell r="BQ217">
            <v>2</v>
          </cell>
        </row>
        <row r="218">
          <cell r="A218">
            <v>213</v>
          </cell>
          <cell r="B218" t="str">
            <v>Bª t«ng t­êng trô pin &gt;45cm cao&lt;=4m hoÆc &gt;4m ®¸ 2x4 M250</v>
          </cell>
          <cell r="C218" t="str">
            <v>m3</v>
          </cell>
          <cell r="D218">
            <v>1</v>
          </cell>
          <cell r="E218">
            <v>384</v>
          </cell>
          <cell r="F218">
            <v>0.45100000000000001</v>
          </cell>
          <cell r="L218">
            <v>4.9000000000000002E-2</v>
          </cell>
          <cell r="M218">
            <v>0.19900000000000001</v>
          </cell>
          <cell r="O218">
            <v>0.879</v>
          </cell>
          <cell r="Q218">
            <v>0.35199999999999998</v>
          </cell>
          <cell r="BQ218">
            <v>2</v>
          </cell>
        </row>
        <row r="219">
          <cell r="A219">
            <v>214</v>
          </cell>
          <cell r="B219" t="str">
            <v>Bª t«ng t­êng trô pin &gt;45cm cao&lt;=4m hoÆc &gt;4m ®¸ 2x4 M300</v>
          </cell>
          <cell r="C219" t="str">
            <v>m3</v>
          </cell>
          <cell r="D219">
            <v>1</v>
          </cell>
          <cell r="E219">
            <v>466.38</v>
          </cell>
          <cell r="F219">
            <v>0.41099999999999998</v>
          </cell>
          <cell r="L219">
            <v>4.9000000000000002E-2</v>
          </cell>
          <cell r="M219">
            <v>0.19900000000000001</v>
          </cell>
          <cell r="O219">
            <v>0.879</v>
          </cell>
          <cell r="Q219">
            <v>0.35199999999999998</v>
          </cell>
          <cell r="BQ219">
            <v>2</v>
          </cell>
        </row>
        <row r="220">
          <cell r="A220">
            <v>215</v>
          </cell>
          <cell r="B220" t="str">
            <v>Bª t«ng cét tiÕt diÖn , chiÒu cao tuú ý ®¸ 1x2 M150</v>
          </cell>
          <cell r="C220" t="str">
            <v>m3</v>
          </cell>
          <cell r="D220">
            <v>1</v>
          </cell>
          <cell r="E220">
            <v>288.02999999999997</v>
          </cell>
          <cell r="F220">
            <v>0.49</v>
          </cell>
          <cell r="L220">
            <v>0.02</v>
          </cell>
          <cell r="M220">
            <v>4.8000000000000001E-2</v>
          </cell>
          <cell r="P220">
            <v>0.90400000000000003</v>
          </cell>
          <cell r="Q220">
            <v>0.35199999999999998</v>
          </cell>
          <cell r="BQ220">
            <v>1</v>
          </cell>
        </row>
        <row r="221">
          <cell r="A221">
            <v>216</v>
          </cell>
          <cell r="B221" t="str">
            <v>Bª t«ng cét tiÕt diÖn , chiÒu cao tuú ý ®¸ 1x2 M200</v>
          </cell>
          <cell r="C221" t="str">
            <v>m3</v>
          </cell>
          <cell r="D221">
            <v>1</v>
          </cell>
          <cell r="E221">
            <v>350.55</v>
          </cell>
          <cell r="F221">
            <v>0.46600000000000003</v>
          </cell>
          <cell r="L221">
            <v>0.02</v>
          </cell>
          <cell r="M221">
            <v>4.8000000000000001E-2</v>
          </cell>
          <cell r="P221">
            <v>0.88900000000000001</v>
          </cell>
          <cell r="Q221">
            <v>0.35199999999999998</v>
          </cell>
          <cell r="BQ221">
            <v>1</v>
          </cell>
        </row>
        <row r="222">
          <cell r="A222">
            <v>217</v>
          </cell>
          <cell r="B222" t="str">
            <v>Bª t«ng cét tiÕt diÖn , chiÒu cao tuú ý ®¸ 1x2 M250</v>
          </cell>
          <cell r="C222" t="str">
            <v>m3</v>
          </cell>
          <cell r="D222">
            <v>1</v>
          </cell>
          <cell r="E222">
            <v>415.13</v>
          </cell>
          <cell r="F222">
            <v>0.438</v>
          </cell>
          <cell r="L222">
            <v>0.02</v>
          </cell>
          <cell r="M222">
            <v>4.8000000000000001E-2</v>
          </cell>
          <cell r="P222">
            <v>0.879</v>
          </cell>
          <cell r="Q222">
            <v>0.35199999999999998</v>
          </cell>
          <cell r="BQ222">
            <v>1</v>
          </cell>
        </row>
        <row r="223">
          <cell r="A223">
            <v>218</v>
          </cell>
          <cell r="B223" t="str">
            <v>Bª t«ng cét tiÕt diÖn , chiÒu cao tuú ý ®¸ 1x2 M300</v>
          </cell>
          <cell r="C223" t="str">
            <v>m3</v>
          </cell>
          <cell r="D223">
            <v>1</v>
          </cell>
          <cell r="E223">
            <v>437.68</v>
          </cell>
          <cell r="F223">
            <v>0.45200000000000001</v>
          </cell>
          <cell r="L223">
            <v>0.02</v>
          </cell>
          <cell r="M223">
            <v>4.8000000000000001E-2</v>
          </cell>
          <cell r="P223">
            <v>0.88300000000000001</v>
          </cell>
          <cell r="Q223">
            <v>0.35199999999999998</v>
          </cell>
          <cell r="BQ223">
            <v>1</v>
          </cell>
        </row>
        <row r="224">
          <cell r="A224">
            <v>219</v>
          </cell>
          <cell r="B224" t="str">
            <v>Bª t«ng cét tiÕt diÖn , chiÒu cao tuú ý ®¸ 2x4 M150</v>
          </cell>
          <cell r="C224" t="str">
            <v>m3</v>
          </cell>
          <cell r="D224">
            <v>1</v>
          </cell>
          <cell r="E224">
            <v>272.64999999999998</v>
          </cell>
          <cell r="F224">
            <v>0.49399999999999999</v>
          </cell>
          <cell r="L224">
            <v>0.02</v>
          </cell>
          <cell r="M224">
            <v>4.8000000000000001E-2</v>
          </cell>
          <cell r="O224">
            <v>0.90600000000000003</v>
          </cell>
          <cell r="Q224">
            <v>0.35199999999999998</v>
          </cell>
          <cell r="BQ224">
            <v>1</v>
          </cell>
        </row>
        <row r="225">
          <cell r="A225">
            <v>220</v>
          </cell>
          <cell r="B225" t="str">
            <v>Bª t«ng cét tiÕt diÖn , chiÒu cao tuú ý ®¸ 2x4 M200</v>
          </cell>
          <cell r="C225" t="str">
            <v>m3</v>
          </cell>
          <cell r="D225">
            <v>1</v>
          </cell>
          <cell r="E225">
            <v>331.08</v>
          </cell>
          <cell r="F225">
            <v>0.46899999999999997</v>
          </cell>
          <cell r="L225">
            <v>0.02</v>
          </cell>
          <cell r="M225">
            <v>4.8000000000000001E-2</v>
          </cell>
          <cell r="O225">
            <v>0.89600000000000002</v>
          </cell>
          <cell r="Q225">
            <v>0.35199999999999998</v>
          </cell>
          <cell r="BQ225">
            <v>1</v>
          </cell>
        </row>
        <row r="226">
          <cell r="A226">
            <v>221</v>
          </cell>
          <cell r="B226" t="str">
            <v>Bª t«ng cét tiÕt diÖn , chiÒu cao tuú ý ®¸ 2x4 M250</v>
          </cell>
          <cell r="C226" t="str">
            <v>m3</v>
          </cell>
          <cell r="D226">
            <v>1</v>
          </cell>
          <cell r="E226">
            <v>384</v>
          </cell>
          <cell r="F226">
            <v>0.45100000000000001</v>
          </cell>
          <cell r="L226">
            <v>0.02</v>
          </cell>
          <cell r="M226">
            <v>4.8000000000000001E-2</v>
          </cell>
          <cell r="O226">
            <v>0.879</v>
          </cell>
          <cell r="Q226">
            <v>0.35199999999999998</v>
          </cell>
          <cell r="BQ226">
            <v>1</v>
          </cell>
        </row>
        <row r="227">
          <cell r="A227">
            <v>222</v>
          </cell>
          <cell r="B227" t="str">
            <v>Bª t«ng cét tiÕt diÖn , chiÒu cao tuú ý ®¸ 2x4 M300</v>
          </cell>
          <cell r="C227" t="str">
            <v>m3</v>
          </cell>
          <cell r="D227">
            <v>1</v>
          </cell>
          <cell r="E227">
            <v>466.38</v>
          </cell>
          <cell r="F227">
            <v>0.41099999999999998</v>
          </cell>
          <cell r="L227">
            <v>0.02</v>
          </cell>
          <cell r="M227">
            <v>4.8000000000000001E-2</v>
          </cell>
          <cell r="O227">
            <v>0.879</v>
          </cell>
          <cell r="Q227">
            <v>0.35199999999999998</v>
          </cell>
          <cell r="BQ227">
            <v>1</v>
          </cell>
        </row>
        <row r="228">
          <cell r="A228">
            <v>223</v>
          </cell>
          <cell r="B228" t="str">
            <v>Bª t«ng xµ dÇm ,gi»ng,sµn m¸i ®¸ 1x2 M150</v>
          </cell>
          <cell r="C228" t="str">
            <v>m3</v>
          </cell>
          <cell r="D228">
            <v>1</v>
          </cell>
          <cell r="E228">
            <v>288.02999999999997</v>
          </cell>
          <cell r="F228">
            <v>0.49</v>
          </cell>
          <cell r="P228">
            <v>0.90400000000000003</v>
          </cell>
          <cell r="BQ228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  <sheetName val="ma-pt"/>
      <sheetName val="DI-ESTI"/>
      <sheetName val="NS"/>
      <sheetName val="1_HAGIANG"/>
      <sheetName val="2_TUYEN_QUANG"/>
      <sheetName val="3_CAOBANG"/>
      <sheetName val="4_LANGSON"/>
      <sheetName val="5_LAOCAI"/>
      <sheetName val="6_YENBAI"/>
      <sheetName val="7_THAI_NGUYEN"/>
      <sheetName val="8_BAC_CAN"/>
      <sheetName val="9_PHU_THO"/>
      <sheetName val="10_VINH_PHUC"/>
      <sheetName val="11_BAC_GIANG"/>
      <sheetName val="12_BAC_NINH"/>
      <sheetName val="13_QUANG_NINH"/>
      <sheetName val="14_HOA_BINH"/>
      <sheetName val="15_SON_LA"/>
      <sheetName val="16_LAI_CHAU"/>
      <sheetName val="17_HA_NOI"/>
      <sheetName val="18_HAI_PHONG"/>
      <sheetName val="19_HAI_DUONG"/>
      <sheetName val="20_HUNG_YEN"/>
      <sheetName val="21_HA_TAY"/>
      <sheetName val="22_THAI_BINH"/>
      <sheetName val="23_NAM_DINH"/>
      <sheetName val="24_HA_NAM"/>
      <sheetName val="25_NINH_BINH"/>
      <sheetName val="26_THANH_HOA"/>
      <sheetName val="27_NGHE_AN"/>
      <sheetName val="28_HA_TINH"/>
      <sheetName val="29_QUANG_BINH"/>
      <sheetName val="30_QUANG_TRI"/>
      <sheetName val="31_THUA_THIEN_HUE"/>
      <sheetName val="32_TP_DA_NANG"/>
      <sheetName val="33_QUANG_NAM"/>
      <sheetName val="34_QUANG_NGAI_"/>
      <sheetName val="35_BINH_DINH"/>
      <sheetName val="36_PHU_YEN"/>
      <sheetName val="37_KHANH_HOA"/>
      <sheetName val="38_DAC_LAC_"/>
      <sheetName val="39_GIA_LAI"/>
      <sheetName val="40_KON_TUM_"/>
      <sheetName val="41_LAM_DONG"/>
      <sheetName val="42_TP_HO_CHI_MINH"/>
      <sheetName val="43_DONG_NAI"/>
      <sheetName val="44_BINH_DUONG"/>
      <sheetName val="45_BINH_PHUOC"/>
      <sheetName val="46_TAY_NINH"/>
      <sheetName val="47_BA_RIA_VT"/>
      <sheetName val="48_NINH_THUAN"/>
      <sheetName val="49_BINH_THUAN_"/>
      <sheetName val="50_LONG_AN"/>
      <sheetName val="51_TIEN_GIANG"/>
      <sheetName val="52_BEN_TRE"/>
      <sheetName val="53_TRA_VINH"/>
      <sheetName val="54_VINH_LONG"/>
      <sheetName val="55_CAN_THO"/>
      <sheetName val="56_SOC_TRANG"/>
      <sheetName val="57_AN_GIANG"/>
      <sheetName val="58_DONG_THAP"/>
      <sheetName val="59_KIEN_GIANG"/>
      <sheetName val="60_BAC_LIEU"/>
      <sheetName val="61_CA_MA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>
        <row r="11">
          <cell r="A11">
            <v>2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3"/>
  <sheetViews>
    <sheetView tabSelected="1" workbookViewId="0">
      <selection activeCell="D28" sqref="D28"/>
    </sheetView>
  </sheetViews>
  <sheetFormatPr defaultColWidth="9.140625" defaultRowHeight="21" customHeight="1"/>
  <cols>
    <col min="1" max="1" width="3" style="4" customWidth="1"/>
    <col min="2" max="2" width="39" style="4" customWidth="1"/>
    <col min="3" max="3" width="15" style="4" customWidth="1"/>
    <col min="4" max="4" width="14.42578125" style="4" customWidth="1"/>
    <col min="5" max="5" width="16.5703125" style="4" customWidth="1"/>
    <col min="6" max="16384" width="9.140625" style="4"/>
  </cols>
  <sheetData>
    <row r="1" spans="1:8" ht="21" customHeight="1">
      <c r="A1" s="1" t="s">
        <v>19</v>
      </c>
      <c r="B1" s="1"/>
      <c r="C1" s="1"/>
      <c r="D1" s="1"/>
      <c r="E1" s="1"/>
      <c r="F1" s="2"/>
      <c r="G1" s="3"/>
      <c r="H1" s="3"/>
    </row>
    <row r="2" spans="1:8" ht="21" customHeight="1">
      <c r="A2" s="5"/>
      <c r="B2" s="5"/>
      <c r="C2" s="5"/>
      <c r="D2" s="5"/>
      <c r="E2" s="5"/>
      <c r="F2" s="6"/>
      <c r="G2" s="3"/>
      <c r="H2" s="3"/>
    </row>
    <row r="3" spans="1:8" ht="20.100000000000001" customHeight="1">
      <c r="A3" s="7"/>
      <c r="B3" s="7"/>
      <c r="C3" s="8"/>
      <c r="D3" s="8"/>
      <c r="E3" s="9" t="s">
        <v>0</v>
      </c>
      <c r="F3" s="10"/>
    </row>
    <row r="4" spans="1:8" ht="20.100000000000001" customHeight="1">
      <c r="A4" s="11"/>
      <c r="B4" s="11"/>
      <c r="C4" s="11" t="s">
        <v>1</v>
      </c>
      <c r="D4" s="11" t="s">
        <v>2</v>
      </c>
      <c r="E4" s="11" t="s">
        <v>3</v>
      </c>
      <c r="F4" s="6"/>
    </row>
    <row r="5" spans="1:8" ht="20.100000000000001" customHeight="1">
      <c r="A5" s="12"/>
      <c r="B5" s="12"/>
      <c r="C5" s="12" t="s">
        <v>4</v>
      </c>
      <c r="D5" s="12" t="s">
        <v>5</v>
      </c>
      <c r="E5" s="12" t="s">
        <v>6</v>
      </c>
      <c r="F5" s="6"/>
    </row>
    <row r="6" spans="1:8" ht="20.100000000000001" customHeight="1">
      <c r="A6" s="12"/>
      <c r="B6" s="12"/>
      <c r="C6" s="13"/>
      <c r="D6" s="13"/>
      <c r="E6" s="13" t="s">
        <v>7</v>
      </c>
      <c r="F6" s="6"/>
    </row>
    <row r="7" spans="1:8" ht="20.100000000000001" customHeight="1">
      <c r="A7" s="12"/>
      <c r="B7" s="12"/>
      <c r="C7" s="12"/>
      <c r="D7" s="12"/>
      <c r="E7" s="12"/>
      <c r="F7" s="6"/>
    </row>
    <row r="8" spans="1:8" ht="20.100000000000001" customHeight="1">
      <c r="A8" s="14" t="s">
        <v>8</v>
      </c>
      <c r="B8" s="15"/>
      <c r="C8" s="16">
        <v>2952.3293134059704</v>
      </c>
      <c r="D8" s="16">
        <v>2967.9942552679995</v>
      </c>
      <c r="E8" s="17">
        <v>100.53059602094177</v>
      </c>
      <c r="F8" s="18"/>
    </row>
    <row r="9" spans="1:8" ht="20.100000000000001" customHeight="1">
      <c r="A9" s="19"/>
      <c r="B9" s="20" t="s">
        <v>9</v>
      </c>
      <c r="C9" s="21">
        <v>1059.1040046000001</v>
      </c>
      <c r="D9" s="21">
        <v>1051.2189499999999</v>
      </c>
      <c r="E9" s="22">
        <v>99.255497612533517</v>
      </c>
      <c r="F9" s="18"/>
    </row>
    <row r="10" spans="1:8" ht="20.100000000000001" customHeight="1">
      <c r="A10" s="23"/>
      <c r="B10" s="20" t="s">
        <v>10</v>
      </c>
      <c r="C10" s="21">
        <v>1893.2253088059701</v>
      </c>
      <c r="D10" s="21">
        <v>1916.7753052679998</v>
      </c>
      <c r="E10" s="22">
        <v>101.24390881278057</v>
      </c>
      <c r="F10" s="18"/>
    </row>
    <row r="11" spans="1:8" ht="20.100000000000001" customHeight="1">
      <c r="A11" s="24" t="s">
        <v>11</v>
      </c>
      <c r="B11" s="25"/>
      <c r="C11" s="16">
        <v>1648.3946356376603</v>
      </c>
      <c r="D11" s="16">
        <v>1644.0247545049622</v>
      </c>
      <c r="E11" s="17">
        <v>99.734900791459594</v>
      </c>
      <c r="F11" s="18"/>
    </row>
    <row r="12" spans="1:8" ht="20.100000000000001" customHeight="1">
      <c r="A12" s="26"/>
      <c r="B12" s="24" t="s">
        <v>12</v>
      </c>
      <c r="C12" s="21">
        <v>1454.9543299999998</v>
      </c>
      <c r="D12" s="21">
        <v>1471.3459499999999</v>
      </c>
      <c r="E12" s="22">
        <v>101.12660718360831</v>
      </c>
      <c r="F12" s="18"/>
    </row>
    <row r="13" spans="1:8" ht="20.100000000000001" customHeight="1">
      <c r="A13" s="24" t="s">
        <v>13</v>
      </c>
      <c r="B13" s="24"/>
      <c r="C13" s="16">
        <v>684.822</v>
      </c>
      <c r="D13" s="16">
        <v>719.86377000000005</v>
      </c>
      <c r="E13" s="17">
        <v>105.11691651261204</v>
      </c>
      <c r="F13" s="18"/>
    </row>
    <row r="14" spans="1:8" ht="20.100000000000001" customHeight="1">
      <c r="A14" s="24"/>
      <c r="B14" s="24" t="s">
        <v>12</v>
      </c>
      <c r="C14" s="21">
        <v>680.97221999999999</v>
      </c>
      <c r="D14" s="21">
        <v>715.92115000000001</v>
      </c>
      <c r="E14" s="22">
        <v>105.13221082645634</v>
      </c>
      <c r="F14" s="18"/>
    </row>
    <row r="15" spans="1:8" ht="20.100000000000001" customHeight="1">
      <c r="A15" s="14" t="s">
        <v>14</v>
      </c>
      <c r="B15" s="27"/>
      <c r="C15" s="28"/>
      <c r="D15" s="28"/>
      <c r="E15" s="17"/>
      <c r="F15" s="18"/>
    </row>
    <row r="16" spans="1:8" ht="20.100000000000001" customHeight="1">
      <c r="A16" s="14"/>
      <c r="B16" s="29" t="s">
        <v>15</v>
      </c>
      <c r="C16" s="22">
        <v>393.08714923496615</v>
      </c>
      <c r="D16" s="22">
        <v>391.31578515333337</v>
      </c>
      <c r="E16" s="22">
        <v>99.549371154696814</v>
      </c>
      <c r="F16" s="30"/>
    </row>
    <row r="17" spans="1:6" ht="20.100000000000001" customHeight="1">
      <c r="A17" s="19"/>
      <c r="B17" s="29" t="s">
        <v>16</v>
      </c>
      <c r="C17" s="22">
        <v>48.81681949848965</v>
      </c>
      <c r="D17" s="22">
        <v>45.810114163999998</v>
      </c>
      <c r="E17" s="22">
        <v>93.840841403888106</v>
      </c>
      <c r="F17" s="30"/>
    </row>
    <row r="18" spans="1:6" ht="20.100000000000001" customHeight="1">
      <c r="A18" s="14"/>
      <c r="B18" s="29" t="s">
        <v>17</v>
      </c>
      <c r="C18" s="22">
        <v>11.256377004725415</v>
      </c>
      <c r="D18" s="22">
        <v>10.374407390000002</v>
      </c>
      <c r="E18" s="22">
        <v>92.164711484386459</v>
      </c>
      <c r="F18" s="30"/>
    </row>
    <row r="19" spans="1:6" ht="20.100000000000001" customHeight="1">
      <c r="A19" s="31"/>
      <c r="B19" s="29" t="s">
        <v>18</v>
      </c>
      <c r="C19" s="22">
        <v>100.87272200000001</v>
      </c>
      <c r="D19" s="22">
        <v>97.260996480000003</v>
      </c>
      <c r="E19" s="22">
        <v>96.4195220983528</v>
      </c>
      <c r="F19" s="30"/>
    </row>
    <row r="20" spans="1:6" ht="20.100000000000001" customHeight="1">
      <c r="A20" s="14"/>
      <c r="B20" s="29" t="s">
        <v>20</v>
      </c>
      <c r="C20" s="22">
        <v>576.53367209053295</v>
      </c>
      <c r="D20" s="22">
        <v>585.75110282130265</v>
      </c>
      <c r="E20" s="22">
        <v>101.5987671105743</v>
      </c>
      <c r="F20" s="18"/>
    </row>
    <row r="21" spans="1:6" ht="20.100000000000001" customHeight="1">
      <c r="A21" s="32"/>
      <c r="B21" s="29" t="s">
        <v>21</v>
      </c>
      <c r="C21" s="22">
        <v>31.426624543228407</v>
      </c>
      <c r="D21" s="22">
        <v>30.023010341333336</v>
      </c>
      <c r="E21" s="22">
        <v>95.533678139806739</v>
      </c>
      <c r="F21" s="6"/>
    </row>
    <row r="22" spans="1:6" ht="20.100000000000001" customHeight="1">
      <c r="A22" s="32"/>
      <c r="B22" s="32"/>
      <c r="F22" s="6"/>
    </row>
    <row r="23" spans="1:6" ht="20.100000000000001" customHeight="1">
      <c r="A23" s="32"/>
      <c r="B23" s="32"/>
      <c r="C23" s="33"/>
      <c r="D23" s="33"/>
      <c r="E23" s="32"/>
      <c r="F23" s="6"/>
    </row>
    <row r="24" spans="1:6" ht="21" customHeight="1">
      <c r="A24" s="32"/>
      <c r="B24" s="32"/>
      <c r="C24" s="33"/>
      <c r="D24" s="33"/>
      <c r="E24" s="32"/>
      <c r="F24" s="6"/>
    </row>
    <row r="25" spans="1:6" ht="21" customHeight="1">
      <c r="A25" s="32"/>
      <c r="B25" s="32"/>
      <c r="C25" s="33"/>
      <c r="D25" s="33"/>
      <c r="E25" s="32"/>
      <c r="F25" s="6"/>
    </row>
    <row r="26" spans="1:6" ht="21" customHeight="1">
      <c r="A26" s="32"/>
      <c r="B26" s="32"/>
      <c r="C26" s="32"/>
      <c r="D26" s="32"/>
      <c r="E26" s="32"/>
      <c r="F26" s="6"/>
    </row>
    <row r="27" spans="1:6" ht="21" customHeight="1">
      <c r="A27" s="32"/>
      <c r="B27" s="32"/>
      <c r="C27" s="32"/>
      <c r="D27" s="32"/>
      <c r="E27" s="32"/>
      <c r="F27" s="6"/>
    </row>
    <row r="28" spans="1:6" ht="21" customHeight="1">
      <c r="A28" s="6"/>
      <c r="B28" s="6"/>
      <c r="C28" s="6"/>
      <c r="D28" s="6"/>
      <c r="E28" s="6"/>
      <c r="F28" s="6"/>
    </row>
    <row r="29" spans="1:6" ht="21" customHeight="1">
      <c r="A29" s="6"/>
      <c r="B29" s="6"/>
      <c r="C29" s="6"/>
      <c r="D29" s="6"/>
      <c r="E29" s="6"/>
      <c r="F29" s="6"/>
    </row>
    <row r="30" spans="1:6" ht="21" customHeight="1">
      <c r="A30" s="6"/>
      <c r="B30" s="6"/>
      <c r="C30" s="6"/>
      <c r="D30" s="6"/>
      <c r="E30" s="6"/>
      <c r="F30" s="6"/>
    </row>
    <row r="31" spans="1:6" ht="21" customHeight="1">
      <c r="A31" s="6"/>
      <c r="B31" s="6"/>
      <c r="C31" s="6"/>
      <c r="D31" s="6"/>
      <c r="E31" s="6"/>
      <c r="F31" s="6"/>
    </row>
    <row r="32" spans="1:6" ht="21" customHeight="1">
      <c r="A32" s="6"/>
      <c r="B32" s="6"/>
      <c r="C32" s="6"/>
      <c r="D32" s="6"/>
      <c r="E32" s="6"/>
      <c r="F32" s="6"/>
    </row>
    <row r="33" spans="1:6" ht="21" customHeight="1">
      <c r="A33" s="6"/>
      <c r="B33" s="6"/>
      <c r="C33" s="6"/>
      <c r="D33" s="6"/>
      <c r="E33" s="6"/>
      <c r="F33" s="6"/>
    </row>
    <row r="34" spans="1:6" ht="21" customHeight="1">
      <c r="A34" s="6"/>
      <c r="B34" s="6"/>
      <c r="C34" s="6"/>
      <c r="D34" s="6"/>
      <c r="E34" s="6"/>
      <c r="F34" s="6"/>
    </row>
    <row r="35" spans="1:6" ht="21" customHeight="1">
      <c r="A35" s="6"/>
      <c r="B35" s="6"/>
      <c r="C35" s="6"/>
      <c r="D35" s="6"/>
      <c r="E35" s="6"/>
      <c r="F35" s="6"/>
    </row>
    <row r="36" spans="1:6" ht="21" customHeight="1">
      <c r="A36" s="6"/>
      <c r="B36" s="6"/>
      <c r="C36" s="6"/>
      <c r="D36" s="6"/>
      <c r="E36" s="6"/>
      <c r="F36" s="6"/>
    </row>
    <row r="37" spans="1:6" ht="21" customHeight="1">
      <c r="A37" s="6"/>
      <c r="B37" s="6"/>
      <c r="C37" s="6"/>
      <c r="D37" s="6"/>
      <c r="E37" s="6"/>
      <c r="F37" s="6"/>
    </row>
    <row r="38" spans="1:6" ht="21" customHeight="1">
      <c r="A38" s="6"/>
      <c r="B38" s="6"/>
      <c r="C38" s="6"/>
      <c r="D38" s="6"/>
      <c r="E38" s="6"/>
      <c r="F38" s="6"/>
    </row>
    <row r="39" spans="1:6" ht="21" customHeight="1">
      <c r="A39" s="6"/>
      <c r="B39" s="6"/>
      <c r="C39" s="6"/>
      <c r="D39" s="6"/>
      <c r="E39" s="6"/>
      <c r="F39" s="6"/>
    </row>
    <row r="40" spans="1:6" ht="21" customHeight="1">
      <c r="A40" s="6"/>
      <c r="B40" s="6"/>
      <c r="C40" s="6"/>
      <c r="D40" s="6"/>
      <c r="E40" s="6"/>
      <c r="F40" s="6"/>
    </row>
    <row r="41" spans="1:6" ht="21" customHeight="1">
      <c r="A41" s="6"/>
      <c r="B41" s="6"/>
      <c r="C41" s="6"/>
      <c r="D41" s="6"/>
      <c r="E41" s="6"/>
      <c r="F41" s="6"/>
    </row>
    <row r="42" spans="1:6" ht="21" customHeight="1">
      <c r="A42" s="6"/>
      <c r="B42" s="6"/>
      <c r="C42" s="6"/>
      <c r="D42" s="6"/>
      <c r="E42" s="6"/>
      <c r="F42" s="6"/>
    </row>
    <row r="43" spans="1:6" ht="21" customHeight="1">
      <c r="A43" s="6"/>
      <c r="B43" s="6"/>
      <c r="C43" s="6"/>
      <c r="D43" s="6"/>
      <c r="E43" s="6"/>
      <c r="F43" s="6"/>
    </row>
  </sheetData>
  <pageMargins left="0.78740157480314998" right="0.47244094488188998" top="0.74803149606299202" bottom="0.47244094488188998" header="0.43307086614173201" footer="0.31496062992126"/>
  <pageSetup paperSize="9" firstPageNumber="29" fitToHeight="0" orientation="portrait" useFirstPageNumber="1" r:id="rId1"/>
  <headerFooter alignWithMargins="0">
    <oddHeader>&amp;C&amp;"Times New Roman,Regular"&amp;13&amp;P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3D37F-179B-4C9F-8B88-5DD99BDB2CE3}">
  <sheetPr>
    <pageSetUpPr fitToPage="1"/>
  </sheetPr>
  <dimension ref="A1:DO45"/>
  <sheetViews>
    <sheetView topLeftCell="A34" workbookViewId="0">
      <selection activeCell="D28" sqref="D28"/>
    </sheetView>
  </sheetViews>
  <sheetFormatPr defaultColWidth="14.7109375" defaultRowHeight="16.5" customHeight="1"/>
  <cols>
    <col min="1" max="1" width="47.85546875" style="158" customWidth="1"/>
    <col min="2" max="2" width="9.7109375" style="158" customWidth="1"/>
    <col min="3" max="5" width="10.140625" style="158" customWidth="1"/>
    <col min="6" max="16384" width="14.7109375" style="158"/>
  </cols>
  <sheetData>
    <row r="1" spans="1:119" ht="19.5" customHeight="1">
      <c r="A1" s="474" t="s">
        <v>185</v>
      </c>
      <c r="B1" s="474"/>
      <c r="C1" s="474"/>
      <c r="D1" s="474"/>
      <c r="E1" s="474"/>
    </row>
    <row r="2" spans="1:119" ht="8.4499999999999993" customHeight="1">
      <c r="A2" s="157"/>
      <c r="B2" s="157"/>
      <c r="C2" s="157"/>
      <c r="D2" s="157"/>
      <c r="E2" s="157"/>
    </row>
    <row r="3" spans="1:119" ht="15" customHeight="1">
      <c r="A3" s="159"/>
      <c r="C3" s="160"/>
      <c r="D3" s="161"/>
      <c r="E3" s="162" t="s">
        <v>155</v>
      </c>
    </row>
    <row r="4" spans="1:119" ht="15" customHeight="1">
      <c r="A4" s="163"/>
      <c r="B4" s="164" t="s">
        <v>161</v>
      </c>
      <c r="C4" s="164" t="s">
        <v>159</v>
      </c>
      <c r="D4" s="164" t="s">
        <v>159</v>
      </c>
      <c r="E4" s="164" t="s">
        <v>71</v>
      </c>
    </row>
    <row r="5" spans="1:119" ht="15" customHeight="1">
      <c r="A5" s="165"/>
      <c r="B5" s="166" t="s">
        <v>73</v>
      </c>
      <c r="C5" s="166" t="s">
        <v>73</v>
      </c>
      <c r="D5" s="166" t="s">
        <v>73</v>
      </c>
      <c r="E5" s="166" t="s">
        <v>73</v>
      </c>
    </row>
    <row r="6" spans="1:119" ht="15" customHeight="1">
      <c r="A6" s="165"/>
      <c r="B6" s="166" t="s">
        <v>186</v>
      </c>
      <c r="C6" s="166" t="s">
        <v>186</v>
      </c>
      <c r="D6" s="166" t="s">
        <v>186</v>
      </c>
      <c r="E6" s="166" t="s">
        <v>186</v>
      </c>
    </row>
    <row r="7" spans="1:119" ht="15" customHeight="1">
      <c r="A7" s="165"/>
      <c r="B7" s="166" t="s">
        <v>30</v>
      </c>
      <c r="C7" s="166" t="s">
        <v>187</v>
      </c>
      <c r="D7" s="166" t="s">
        <v>30</v>
      </c>
      <c r="E7" s="166" t="s">
        <v>188</v>
      </c>
    </row>
    <row r="8" spans="1:119" ht="15" customHeight="1">
      <c r="A8" s="165"/>
      <c r="B8" s="167" t="s">
        <v>163</v>
      </c>
      <c r="C8" s="167" t="s">
        <v>189</v>
      </c>
      <c r="D8" s="167" t="s">
        <v>163</v>
      </c>
      <c r="E8" s="167" t="s">
        <v>163</v>
      </c>
    </row>
    <row r="9" spans="1:119" s="166" customFormat="1" ht="18" customHeight="1">
      <c r="A9" s="168" t="s">
        <v>190</v>
      </c>
      <c r="B9" s="169">
        <v>109.92</v>
      </c>
      <c r="C9" s="170">
        <v>101.42</v>
      </c>
      <c r="D9" s="170">
        <v>108.85</v>
      </c>
      <c r="E9" s="170">
        <v>108.42</v>
      </c>
    </row>
    <row r="10" spans="1:119" s="175" customFormat="1" ht="15" customHeight="1">
      <c r="A10" s="171" t="s">
        <v>191</v>
      </c>
      <c r="B10" s="172">
        <v>96.35</v>
      </c>
      <c r="C10" s="173">
        <v>96.94</v>
      </c>
      <c r="D10" s="173">
        <v>95.83</v>
      </c>
      <c r="E10" s="173">
        <v>95.49</v>
      </c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  <c r="BI10" s="174"/>
      <c r="BJ10" s="174"/>
      <c r="BK10" s="174"/>
      <c r="BL10" s="174"/>
      <c r="BM10" s="174"/>
      <c r="BN10" s="174"/>
      <c r="BO10" s="174"/>
      <c r="BP10" s="174"/>
      <c r="BQ10" s="174"/>
      <c r="BR10" s="174"/>
      <c r="BS10" s="174"/>
      <c r="BT10" s="174"/>
      <c r="BU10" s="174"/>
      <c r="BV10" s="174"/>
      <c r="BW10" s="174"/>
      <c r="BX10" s="174"/>
      <c r="BY10" s="174"/>
      <c r="BZ10" s="174"/>
      <c r="CA10" s="174"/>
      <c r="CB10" s="174"/>
      <c r="CC10" s="174"/>
      <c r="CD10" s="174"/>
      <c r="CE10" s="174"/>
      <c r="CF10" s="174"/>
      <c r="CG10" s="174"/>
      <c r="CH10" s="174"/>
      <c r="CI10" s="174"/>
      <c r="CJ10" s="174"/>
      <c r="CK10" s="174"/>
      <c r="CL10" s="174"/>
      <c r="CM10" s="174"/>
      <c r="CN10" s="174"/>
      <c r="CO10" s="174"/>
      <c r="CP10" s="174"/>
      <c r="CQ10" s="174"/>
      <c r="CR10" s="174"/>
      <c r="CS10" s="174"/>
      <c r="CT10" s="174"/>
      <c r="CU10" s="174"/>
      <c r="CV10" s="174"/>
      <c r="CW10" s="174"/>
      <c r="CX10" s="174"/>
      <c r="CY10" s="174"/>
      <c r="CZ10" s="174"/>
      <c r="DA10" s="174"/>
      <c r="DB10" s="174"/>
      <c r="DC10" s="174"/>
      <c r="DD10" s="174"/>
      <c r="DE10" s="174"/>
      <c r="DF10" s="174"/>
      <c r="DG10" s="174"/>
      <c r="DH10" s="174"/>
      <c r="DI10" s="174"/>
      <c r="DJ10" s="174"/>
      <c r="DK10" s="174"/>
      <c r="DL10" s="174"/>
      <c r="DM10" s="174"/>
      <c r="DN10" s="174"/>
      <c r="DO10" s="174"/>
    </row>
    <row r="11" spans="1:119" ht="15" customHeight="1">
      <c r="A11" s="176" t="s">
        <v>192</v>
      </c>
      <c r="B11" s="177">
        <v>104.62</v>
      </c>
      <c r="C11" s="178">
        <v>96.52</v>
      </c>
      <c r="D11" s="178">
        <v>108.36</v>
      </c>
      <c r="E11" s="178">
        <v>106.38</v>
      </c>
    </row>
    <row r="12" spans="1:119" ht="15" customHeight="1">
      <c r="A12" s="176" t="s">
        <v>193</v>
      </c>
      <c r="B12" s="177">
        <v>91.39</v>
      </c>
      <c r="C12" s="178">
        <v>95.11</v>
      </c>
      <c r="D12" s="178">
        <v>88.89</v>
      </c>
      <c r="E12" s="178">
        <v>89.11</v>
      </c>
    </row>
    <row r="13" spans="1:119" ht="15" customHeight="1">
      <c r="A13" s="176" t="s">
        <v>194</v>
      </c>
      <c r="B13" s="177">
        <v>101.4</v>
      </c>
      <c r="C13" s="178">
        <v>97.96</v>
      </c>
      <c r="D13" s="178">
        <v>96.74</v>
      </c>
      <c r="E13" s="178">
        <v>103.64</v>
      </c>
    </row>
    <row r="14" spans="1:119" s="179" customFormat="1" ht="15" customHeight="1">
      <c r="A14" s="176" t="s">
        <v>195</v>
      </c>
      <c r="B14" s="177">
        <v>109.12</v>
      </c>
      <c r="C14" s="178">
        <v>104.85</v>
      </c>
      <c r="D14" s="178">
        <v>104.47</v>
      </c>
      <c r="E14" s="178">
        <v>104.93</v>
      </c>
    </row>
    <row r="15" spans="1:119" s="179" customFormat="1" ht="15" customHeight="1">
      <c r="A15" s="176" t="s">
        <v>196</v>
      </c>
      <c r="B15" s="177">
        <v>83.01</v>
      </c>
      <c r="C15" s="178">
        <v>99.4</v>
      </c>
      <c r="D15" s="178">
        <v>90.17</v>
      </c>
      <c r="E15" s="178">
        <v>89.41</v>
      </c>
    </row>
    <row r="16" spans="1:119" ht="15" customHeight="1">
      <c r="A16" s="180" t="s">
        <v>197</v>
      </c>
      <c r="B16" s="181">
        <v>111.68</v>
      </c>
      <c r="C16" s="173">
        <v>101.67</v>
      </c>
      <c r="D16" s="173">
        <v>110.78</v>
      </c>
      <c r="E16" s="173">
        <v>110.11</v>
      </c>
    </row>
    <row r="17" spans="1:119" ht="15" customHeight="1">
      <c r="A17" s="176" t="s">
        <v>198</v>
      </c>
      <c r="B17" s="178">
        <v>110.84</v>
      </c>
      <c r="C17" s="178">
        <v>103.25</v>
      </c>
      <c r="D17" s="178">
        <v>110.44</v>
      </c>
      <c r="E17" s="178">
        <v>109.11</v>
      </c>
    </row>
    <row r="18" spans="1:119" ht="15" customHeight="1">
      <c r="A18" s="176" t="s">
        <v>199</v>
      </c>
      <c r="B18" s="178">
        <v>95.81</v>
      </c>
      <c r="C18" s="178">
        <v>103.31</v>
      </c>
      <c r="D18" s="178">
        <v>106.32</v>
      </c>
      <c r="E18" s="178">
        <v>99.91</v>
      </c>
    </row>
    <row r="19" spans="1:119" ht="15" customHeight="1">
      <c r="A19" s="176" t="s">
        <v>200</v>
      </c>
      <c r="B19" s="178">
        <v>105.21</v>
      </c>
      <c r="C19" s="178">
        <v>101.17</v>
      </c>
      <c r="D19" s="178">
        <v>107.23</v>
      </c>
      <c r="E19" s="178">
        <v>103.13</v>
      </c>
    </row>
    <row r="20" spans="1:119" ht="15" customHeight="1">
      <c r="A20" s="176" t="s">
        <v>201</v>
      </c>
      <c r="B20" s="178">
        <v>109.86</v>
      </c>
      <c r="C20" s="178">
        <v>101.81</v>
      </c>
      <c r="D20" s="178">
        <v>111.7</v>
      </c>
      <c r="E20" s="178">
        <v>110.52</v>
      </c>
    </row>
    <row r="21" spans="1:119" ht="15" customHeight="1">
      <c r="A21" s="176" t="s">
        <v>202</v>
      </c>
      <c r="B21" s="178">
        <v>117.58</v>
      </c>
      <c r="C21" s="178">
        <v>101.27</v>
      </c>
      <c r="D21" s="178">
        <v>118.27</v>
      </c>
      <c r="E21" s="178">
        <v>115.73</v>
      </c>
    </row>
    <row r="22" spans="1:119" ht="15" customHeight="1">
      <c r="A22" s="176" t="s">
        <v>203</v>
      </c>
      <c r="B22" s="178">
        <v>114.71</v>
      </c>
      <c r="C22" s="178">
        <v>103.45</v>
      </c>
      <c r="D22" s="178">
        <v>113.41</v>
      </c>
      <c r="E22" s="178">
        <v>116.74</v>
      </c>
    </row>
    <row r="23" spans="1:119" ht="37.15" customHeight="1">
      <c r="A23" s="176" t="s">
        <v>204</v>
      </c>
      <c r="B23" s="178">
        <v>118.73</v>
      </c>
      <c r="C23" s="178">
        <v>99.05</v>
      </c>
      <c r="D23" s="178">
        <v>112.75</v>
      </c>
      <c r="E23" s="178">
        <v>115.19</v>
      </c>
    </row>
    <row r="24" spans="1:119" ht="15" customHeight="1">
      <c r="A24" s="176" t="s">
        <v>205</v>
      </c>
      <c r="B24" s="178">
        <v>112.44</v>
      </c>
      <c r="C24" s="178">
        <v>105.43</v>
      </c>
      <c r="D24" s="178">
        <v>108.5</v>
      </c>
      <c r="E24" s="178">
        <v>108.44</v>
      </c>
    </row>
    <row r="25" spans="1:119" ht="15" customHeight="1">
      <c r="A25" s="176" t="s">
        <v>206</v>
      </c>
      <c r="B25" s="178">
        <v>104.34</v>
      </c>
      <c r="C25" s="178">
        <v>102.5</v>
      </c>
      <c r="D25" s="178">
        <v>108.25</v>
      </c>
      <c r="E25" s="178">
        <v>105.45</v>
      </c>
    </row>
    <row r="26" spans="1:119" ht="15" customHeight="1">
      <c r="A26" s="176" t="s">
        <v>207</v>
      </c>
      <c r="B26" s="178">
        <v>130.61000000000001</v>
      </c>
      <c r="C26" s="178">
        <v>98.18</v>
      </c>
      <c r="D26" s="178">
        <v>147.21</v>
      </c>
      <c r="E26" s="178">
        <v>114.12</v>
      </c>
    </row>
    <row r="27" spans="1:119" ht="15" customHeight="1">
      <c r="A27" s="176" t="s">
        <v>208</v>
      </c>
      <c r="B27" s="178">
        <v>108.23</v>
      </c>
      <c r="C27" s="178">
        <v>101.99</v>
      </c>
      <c r="D27" s="178">
        <v>111.05</v>
      </c>
      <c r="E27" s="178">
        <v>106.01</v>
      </c>
    </row>
    <row r="28" spans="1:119" ht="15" customHeight="1">
      <c r="A28" s="176" t="s">
        <v>209</v>
      </c>
      <c r="B28" s="178">
        <v>105.96</v>
      </c>
      <c r="C28" s="178">
        <v>101.41</v>
      </c>
      <c r="D28" s="178">
        <v>97.61</v>
      </c>
      <c r="E28" s="178">
        <v>96.34</v>
      </c>
    </row>
    <row r="29" spans="1:119" s="182" customFormat="1" ht="15" customHeight="1">
      <c r="A29" s="176" t="s">
        <v>210</v>
      </c>
      <c r="B29" s="178">
        <v>120.48</v>
      </c>
      <c r="C29" s="178">
        <v>101.2</v>
      </c>
      <c r="D29" s="178">
        <v>118.62</v>
      </c>
      <c r="E29" s="178">
        <v>116.4</v>
      </c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58"/>
      <c r="AM29" s="158"/>
      <c r="AN29" s="158"/>
      <c r="AO29" s="158"/>
      <c r="AP29" s="158"/>
      <c r="AQ29" s="158"/>
      <c r="AR29" s="158"/>
      <c r="AS29" s="158"/>
      <c r="AT29" s="158"/>
      <c r="AU29" s="158"/>
      <c r="AV29" s="158"/>
      <c r="AW29" s="158"/>
      <c r="AX29" s="158"/>
      <c r="AY29" s="158"/>
      <c r="AZ29" s="158"/>
      <c r="BA29" s="158"/>
      <c r="BB29" s="158"/>
      <c r="BC29" s="158"/>
      <c r="BD29" s="158"/>
      <c r="BE29" s="158"/>
      <c r="BF29" s="158"/>
      <c r="BG29" s="158"/>
      <c r="BH29" s="158"/>
      <c r="BI29" s="158"/>
      <c r="BJ29" s="158"/>
      <c r="BK29" s="158"/>
      <c r="BL29" s="158"/>
      <c r="BM29" s="158"/>
      <c r="BN29" s="158"/>
      <c r="BO29" s="158"/>
      <c r="BP29" s="158"/>
      <c r="BQ29" s="158"/>
      <c r="BR29" s="158"/>
      <c r="BS29" s="158"/>
      <c r="BT29" s="158"/>
      <c r="BU29" s="158"/>
      <c r="BV29" s="158"/>
      <c r="BW29" s="158"/>
      <c r="BX29" s="158"/>
      <c r="BY29" s="158"/>
      <c r="BZ29" s="158"/>
      <c r="CA29" s="158"/>
      <c r="CB29" s="158"/>
      <c r="CC29" s="158"/>
      <c r="CD29" s="158"/>
      <c r="CE29" s="158"/>
      <c r="CF29" s="158"/>
      <c r="CG29" s="158"/>
      <c r="CH29" s="158"/>
      <c r="CI29" s="158"/>
      <c r="CJ29" s="158"/>
      <c r="CK29" s="158"/>
      <c r="CL29" s="158"/>
      <c r="CM29" s="158"/>
      <c r="CN29" s="158"/>
      <c r="CO29" s="158"/>
      <c r="CP29" s="158"/>
      <c r="CQ29" s="158"/>
      <c r="CR29" s="158"/>
      <c r="CS29" s="158"/>
      <c r="CT29" s="158"/>
      <c r="CU29" s="158"/>
      <c r="CV29" s="158"/>
      <c r="CW29" s="158"/>
      <c r="CX29" s="158"/>
      <c r="CY29" s="158"/>
      <c r="CZ29" s="158"/>
      <c r="DA29" s="158"/>
      <c r="DB29" s="158"/>
      <c r="DC29" s="158"/>
      <c r="DD29" s="158"/>
      <c r="DE29" s="158"/>
      <c r="DF29" s="158"/>
      <c r="DG29" s="158"/>
      <c r="DH29" s="158"/>
      <c r="DI29" s="158"/>
      <c r="DJ29" s="158"/>
      <c r="DK29" s="158"/>
      <c r="DL29" s="158"/>
      <c r="DM29" s="158"/>
      <c r="DN29" s="158"/>
      <c r="DO29" s="158"/>
    </row>
    <row r="30" spans="1:119" ht="15" customHeight="1">
      <c r="A30" s="176" t="s">
        <v>211</v>
      </c>
      <c r="B30" s="178">
        <v>108.89</v>
      </c>
      <c r="C30" s="178">
        <v>105.12</v>
      </c>
      <c r="D30" s="178">
        <v>108.94</v>
      </c>
      <c r="E30" s="178">
        <v>108.05</v>
      </c>
    </row>
    <row r="31" spans="1:119" ht="15" customHeight="1">
      <c r="A31" s="176" t="s">
        <v>212</v>
      </c>
      <c r="B31" s="178">
        <v>110.14</v>
      </c>
      <c r="C31" s="178">
        <v>106.75</v>
      </c>
      <c r="D31" s="178">
        <v>115.25</v>
      </c>
      <c r="E31" s="178">
        <v>106.26</v>
      </c>
    </row>
    <row r="32" spans="1:119" ht="27" customHeight="1">
      <c r="A32" s="176" t="s">
        <v>213</v>
      </c>
      <c r="B32" s="178">
        <v>109.84</v>
      </c>
      <c r="C32" s="178">
        <v>101.25</v>
      </c>
      <c r="D32" s="178">
        <v>113.14</v>
      </c>
      <c r="E32" s="178">
        <v>110.04</v>
      </c>
    </row>
    <row r="33" spans="1:5" ht="27" customHeight="1">
      <c r="A33" s="176" t="s">
        <v>214</v>
      </c>
      <c r="B33" s="178">
        <v>111.49</v>
      </c>
      <c r="C33" s="178">
        <v>98.53</v>
      </c>
      <c r="D33" s="178">
        <v>108.3</v>
      </c>
      <c r="E33" s="178">
        <v>109.78</v>
      </c>
    </row>
    <row r="34" spans="1:5" ht="15" customHeight="1">
      <c r="A34" s="176" t="s">
        <v>215</v>
      </c>
      <c r="B34" s="178">
        <v>96.84</v>
      </c>
      <c r="C34" s="178">
        <v>100.77</v>
      </c>
      <c r="D34" s="178">
        <v>81.44</v>
      </c>
      <c r="E34" s="178">
        <v>93.84</v>
      </c>
    </row>
    <row r="35" spans="1:5" ht="15" customHeight="1">
      <c r="A35" s="176" t="s">
        <v>216</v>
      </c>
      <c r="B35" s="178">
        <v>106.9</v>
      </c>
      <c r="C35" s="178">
        <v>96.89</v>
      </c>
      <c r="D35" s="178">
        <v>98.79</v>
      </c>
      <c r="E35" s="178">
        <v>104.81</v>
      </c>
    </row>
    <row r="36" spans="1:5" ht="15" customHeight="1">
      <c r="A36" s="176" t="s">
        <v>217</v>
      </c>
      <c r="B36" s="178">
        <v>119.91</v>
      </c>
      <c r="C36" s="178">
        <v>109.25</v>
      </c>
      <c r="D36" s="178">
        <v>127.61</v>
      </c>
      <c r="E36" s="178">
        <v>135.06</v>
      </c>
    </row>
    <row r="37" spans="1:5" ht="15" customHeight="1">
      <c r="A37" s="176" t="s">
        <v>218</v>
      </c>
      <c r="B37" s="178">
        <v>102.58</v>
      </c>
      <c r="C37" s="178">
        <v>108.97</v>
      </c>
      <c r="D37" s="178">
        <v>107.48</v>
      </c>
      <c r="E37" s="178">
        <v>108.83</v>
      </c>
    </row>
    <row r="38" spans="1:5" ht="15" customHeight="1">
      <c r="A38" s="176" t="s">
        <v>219</v>
      </c>
      <c r="B38" s="178">
        <v>108.58</v>
      </c>
      <c r="C38" s="178">
        <v>100.52</v>
      </c>
      <c r="D38" s="178">
        <v>96.43</v>
      </c>
      <c r="E38" s="178">
        <v>108.05</v>
      </c>
    </row>
    <row r="39" spans="1:5" ht="15" customHeight="1">
      <c r="A39" s="176" t="s">
        <v>220</v>
      </c>
      <c r="B39" s="178">
        <v>110.99</v>
      </c>
      <c r="C39" s="178">
        <v>101.56</v>
      </c>
      <c r="D39" s="178">
        <v>107.85</v>
      </c>
      <c r="E39" s="178">
        <v>108.25</v>
      </c>
    </row>
    <row r="40" spans="1:5" ht="15" customHeight="1">
      <c r="A40" s="176" t="s">
        <v>221</v>
      </c>
      <c r="B40" s="178">
        <v>112.26</v>
      </c>
      <c r="C40" s="178">
        <v>103.63</v>
      </c>
      <c r="D40" s="178">
        <v>103.09</v>
      </c>
      <c r="E40" s="178">
        <v>110.49</v>
      </c>
    </row>
    <row r="41" spans="1:5" s="179" customFormat="1" ht="15" customHeight="1">
      <c r="A41" s="183" t="s">
        <v>222</v>
      </c>
      <c r="B41" s="173">
        <v>107.03</v>
      </c>
      <c r="C41" s="173">
        <v>102.34</v>
      </c>
      <c r="D41" s="173">
        <v>104.61</v>
      </c>
      <c r="E41" s="173">
        <v>105.13</v>
      </c>
    </row>
    <row r="42" spans="1:5" s="179" customFormat="1" ht="27" customHeight="1">
      <c r="A42" s="183" t="s">
        <v>223</v>
      </c>
      <c r="B42" s="173">
        <v>108.6</v>
      </c>
      <c r="C42" s="173">
        <v>104.94</v>
      </c>
      <c r="D42" s="173">
        <v>107.58</v>
      </c>
      <c r="E42" s="173">
        <v>110.16</v>
      </c>
    </row>
    <row r="43" spans="1:5" s="179" customFormat="1" ht="15" customHeight="1">
      <c r="A43" s="176" t="s">
        <v>224</v>
      </c>
      <c r="B43" s="178">
        <v>100.13</v>
      </c>
      <c r="C43" s="178">
        <v>107</v>
      </c>
      <c r="D43" s="178">
        <v>100.49</v>
      </c>
      <c r="E43" s="178">
        <v>101.92</v>
      </c>
    </row>
    <row r="44" spans="1:5" s="179" customFormat="1" ht="15" customHeight="1">
      <c r="A44" s="176" t="s">
        <v>225</v>
      </c>
      <c r="B44" s="178">
        <v>114.04</v>
      </c>
      <c r="C44" s="178">
        <v>101.48</v>
      </c>
      <c r="D44" s="178">
        <v>106.3</v>
      </c>
      <c r="E44" s="178">
        <v>106.69</v>
      </c>
    </row>
    <row r="45" spans="1:5" ht="25.9" customHeight="1">
      <c r="A45" s="176" t="s">
        <v>226</v>
      </c>
      <c r="B45" s="472">
        <v>117.1</v>
      </c>
      <c r="C45" s="473">
        <v>104.07</v>
      </c>
      <c r="D45" s="473">
        <v>116.31</v>
      </c>
      <c r="E45" s="473">
        <v>121.16</v>
      </c>
    </row>
  </sheetData>
  <mergeCells count="1">
    <mergeCell ref="A1:E1"/>
  </mergeCells>
  <pageMargins left="0.78740157480314998" right="0.47244094488188998" top="0.74803149606299202" bottom="0.47244094488188998" header="0.43307086614173201" footer="0.31496062992126"/>
  <pageSetup paperSize="9" firstPageNumber="27" fitToHeight="0" orientation="portrait" r:id="rId1"/>
  <headerFooter alignWithMargins="0">
    <oddHeader>&amp;C&amp;"Times New Roman,Regular"&amp;13&amp;P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62B2A-FDEA-44CA-B684-519EAA424418}">
  <sheetPr>
    <pageSetUpPr fitToPage="1"/>
  </sheetPr>
  <dimension ref="A1:G72"/>
  <sheetViews>
    <sheetView topLeftCell="A30" workbookViewId="0">
      <selection activeCell="D28" sqref="D28"/>
    </sheetView>
  </sheetViews>
  <sheetFormatPr defaultRowHeight="18" customHeight="1"/>
  <cols>
    <col min="1" max="1" width="25" style="187" customWidth="1"/>
    <col min="2" max="2" width="11.5703125" style="187" customWidth="1"/>
    <col min="3" max="3" width="9.140625" style="187" customWidth="1"/>
    <col min="4" max="4" width="8.42578125" style="187" customWidth="1"/>
    <col min="5" max="5" width="8.85546875" style="187" customWidth="1"/>
    <col min="6" max="6" width="12.28515625" style="187" customWidth="1"/>
    <col min="7" max="7" width="13.28515625" style="187" customWidth="1"/>
    <col min="8" max="239" width="9.140625" style="187"/>
    <col min="240" max="240" width="33.85546875" style="187" customWidth="1"/>
    <col min="241" max="241" width="10.28515625" style="187" bestFit="1" customWidth="1"/>
    <col min="242" max="242" width="7.85546875" style="187" bestFit="1" customWidth="1"/>
    <col min="243" max="243" width="7" style="187" bestFit="1" customWidth="1"/>
    <col min="244" max="244" width="7.5703125" style="187" bestFit="1" customWidth="1"/>
    <col min="245" max="246" width="10.7109375" style="187" customWidth="1"/>
    <col min="247" max="495" width="9.140625" style="187"/>
    <col min="496" max="496" width="33.85546875" style="187" customWidth="1"/>
    <col min="497" max="497" width="10.28515625" style="187" bestFit="1" customWidth="1"/>
    <col min="498" max="498" width="7.85546875" style="187" bestFit="1" customWidth="1"/>
    <col min="499" max="499" width="7" style="187" bestFit="1" customWidth="1"/>
    <col min="500" max="500" width="7.5703125" style="187" bestFit="1" customWidth="1"/>
    <col min="501" max="502" width="10.7109375" style="187" customWidth="1"/>
    <col min="503" max="751" width="9.140625" style="187"/>
    <col min="752" max="752" width="33.85546875" style="187" customWidth="1"/>
    <col min="753" max="753" width="10.28515625" style="187" bestFit="1" customWidth="1"/>
    <col min="754" max="754" width="7.85546875" style="187" bestFit="1" customWidth="1"/>
    <col min="755" max="755" width="7" style="187" bestFit="1" customWidth="1"/>
    <col min="756" max="756" width="7.5703125" style="187" bestFit="1" customWidth="1"/>
    <col min="757" max="758" width="10.7109375" style="187" customWidth="1"/>
    <col min="759" max="1007" width="9.140625" style="187"/>
    <col min="1008" max="1008" width="33.85546875" style="187" customWidth="1"/>
    <col min="1009" max="1009" width="10.28515625" style="187" bestFit="1" customWidth="1"/>
    <col min="1010" max="1010" width="7.85546875" style="187" bestFit="1" customWidth="1"/>
    <col min="1011" max="1011" width="7" style="187" bestFit="1" customWidth="1"/>
    <col min="1012" max="1012" width="7.5703125" style="187" bestFit="1" customWidth="1"/>
    <col min="1013" max="1014" width="10.7109375" style="187" customWidth="1"/>
    <col min="1015" max="1263" width="9.140625" style="187"/>
    <col min="1264" max="1264" width="33.85546875" style="187" customWidth="1"/>
    <col min="1265" max="1265" width="10.28515625" style="187" bestFit="1" customWidth="1"/>
    <col min="1266" max="1266" width="7.85546875" style="187" bestFit="1" customWidth="1"/>
    <col min="1267" max="1267" width="7" style="187" bestFit="1" customWidth="1"/>
    <col min="1268" max="1268" width="7.5703125" style="187" bestFit="1" customWidth="1"/>
    <col min="1269" max="1270" width="10.7109375" style="187" customWidth="1"/>
    <col min="1271" max="1519" width="9.140625" style="187"/>
    <col min="1520" max="1520" width="33.85546875" style="187" customWidth="1"/>
    <col min="1521" max="1521" width="10.28515625" style="187" bestFit="1" customWidth="1"/>
    <col min="1522" max="1522" width="7.85546875" style="187" bestFit="1" customWidth="1"/>
    <col min="1523" max="1523" width="7" style="187" bestFit="1" customWidth="1"/>
    <col min="1524" max="1524" width="7.5703125" style="187" bestFit="1" customWidth="1"/>
    <col min="1525" max="1526" width="10.7109375" style="187" customWidth="1"/>
    <col min="1527" max="1775" width="9.140625" style="187"/>
    <col min="1776" max="1776" width="33.85546875" style="187" customWidth="1"/>
    <col min="1777" max="1777" width="10.28515625" style="187" bestFit="1" customWidth="1"/>
    <col min="1778" max="1778" width="7.85546875" style="187" bestFit="1" customWidth="1"/>
    <col min="1779" max="1779" width="7" style="187" bestFit="1" customWidth="1"/>
    <col min="1780" max="1780" width="7.5703125" style="187" bestFit="1" customWidth="1"/>
    <col min="1781" max="1782" width="10.7109375" style="187" customWidth="1"/>
    <col min="1783" max="2031" width="9.140625" style="187"/>
    <col min="2032" max="2032" width="33.85546875" style="187" customWidth="1"/>
    <col min="2033" max="2033" width="10.28515625" style="187" bestFit="1" customWidth="1"/>
    <col min="2034" max="2034" width="7.85546875" style="187" bestFit="1" customWidth="1"/>
    <col min="2035" max="2035" width="7" style="187" bestFit="1" customWidth="1"/>
    <col min="2036" max="2036" width="7.5703125" style="187" bestFit="1" customWidth="1"/>
    <col min="2037" max="2038" width="10.7109375" style="187" customWidth="1"/>
    <col min="2039" max="2287" width="9.140625" style="187"/>
    <col min="2288" max="2288" width="33.85546875" style="187" customWidth="1"/>
    <col min="2289" max="2289" width="10.28515625" style="187" bestFit="1" customWidth="1"/>
    <col min="2290" max="2290" width="7.85546875" style="187" bestFit="1" customWidth="1"/>
    <col min="2291" max="2291" width="7" style="187" bestFit="1" customWidth="1"/>
    <col min="2292" max="2292" width="7.5703125" style="187" bestFit="1" customWidth="1"/>
    <col min="2293" max="2294" width="10.7109375" style="187" customWidth="1"/>
    <col min="2295" max="2543" width="9.140625" style="187"/>
    <col min="2544" max="2544" width="33.85546875" style="187" customWidth="1"/>
    <col min="2545" max="2545" width="10.28515625" style="187" bestFit="1" customWidth="1"/>
    <col min="2546" max="2546" width="7.85546875" style="187" bestFit="1" customWidth="1"/>
    <col min="2547" max="2547" width="7" style="187" bestFit="1" customWidth="1"/>
    <col min="2548" max="2548" width="7.5703125" style="187" bestFit="1" customWidth="1"/>
    <col min="2549" max="2550" width="10.7109375" style="187" customWidth="1"/>
    <col min="2551" max="2799" width="9.140625" style="187"/>
    <col min="2800" max="2800" width="33.85546875" style="187" customWidth="1"/>
    <col min="2801" max="2801" width="10.28515625" style="187" bestFit="1" customWidth="1"/>
    <col min="2802" max="2802" width="7.85546875" style="187" bestFit="1" customWidth="1"/>
    <col min="2803" max="2803" width="7" style="187" bestFit="1" customWidth="1"/>
    <col min="2804" max="2804" width="7.5703125" style="187" bestFit="1" customWidth="1"/>
    <col min="2805" max="2806" width="10.7109375" style="187" customWidth="1"/>
    <col min="2807" max="3055" width="9.140625" style="187"/>
    <col min="3056" max="3056" width="33.85546875" style="187" customWidth="1"/>
    <col min="3057" max="3057" width="10.28515625" style="187" bestFit="1" customWidth="1"/>
    <col min="3058" max="3058" width="7.85546875" style="187" bestFit="1" customWidth="1"/>
    <col min="3059" max="3059" width="7" style="187" bestFit="1" customWidth="1"/>
    <col min="3060" max="3060" width="7.5703125" style="187" bestFit="1" customWidth="1"/>
    <col min="3061" max="3062" width="10.7109375" style="187" customWidth="1"/>
    <col min="3063" max="3311" width="9.140625" style="187"/>
    <col min="3312" max="3312" width="33.85546875" style="187" customWidth="1"/>
    <col min="3313" max="3313" width="10.28515625" style="187" bestFit="1" customWidth="1"/>
    <col min="3314" max="3314" width="7.85546875" style="187" bestFit="1" customWidth="1"/>
    <col min="3315" max="3315" width="7" style="187" bestFit="1" customWidth="1"/>
    <col min="3316" max="3316" width="7.5703125" style="187" bestFit="1" customWidth="1"/>
    <col min="3317" max="3318" width="10.7109375" style="187" customWidth="1"/>
    <col min="3319" max="3567" width="9.140625" style="187"/>
    <col min="3568" max="3568" width="33.85546875" style="187" customWidth="1"/>
    <col min="3569" max="3569" width="10.28515625" style="187" bestFit="1" customWidth="1"/>
    <col min="3570" max="3570" width="7.85546875" style="187" bestFit="1" customWidth="1"/>
    <col min="3571" max="3571" width="7" style="187" bestFit="1" customWidth="1"/>
    <col min="3572" max="3572" width="7.5703125" style="187" bestFit="1" customWidth="1"/>
    <col min="3573" max="3574" width="10.7109375" style="187" customWidth="1"/>
    <col min="3575" max="3823" width="9.140625" style="187"/>
    <col min="3824" max="3824" width="33.85546875" style="187" customWidth="1"/>
    <col min="3825" max="3825" width="10.28515625" style="187" bestFit="1" customWidth="1"/>
    <col min="3826" max="3826" width="7.85546875" style="187" bestFit="1" customWidth="1"/>
    <col min="3827" max="3827" width="7" style="187" bestFit="1" customWidth="1"/>
    <col min="3828" max="3828" width="7.5703125" style="187" bestFit="1" customWidth="1"/>
    <col min="3829" max="3830" width="10.7109375" style="187" customWidth="1"/>
    <col min="3831" max="4079" width="9.140625" style="187"/>
    <col min="4080" max="4080" width="33.85546875" style="187" customWidth="1"/>
    <col min="4081" max="4081" width="10.28515625" style="187" bestFit="1" customWidth="1"/>
    <col min="4082" max="4082" width="7.85546875" style="187" bestFit="1" customWidth="1"/>
    <col min="4083" max="4083" width="7" style="187" bestFit="1" customWidth="1"/>
    <col min="4084" max="4084" width="7.5703125" style="187" bestFit="1" customWidth="1"/>
    <col min="4085" max="4086" width="10.7109375" style="187" customWidth="1"/>
    <col min="4087" max="4335" width="9.140625" style="187"/>
    <col min="4336" max="4336" width="33.85546875" style="187" customWidth="1"/>
    <col min="4337" max="4337" width="10.28515625" style="187" bestFit="1" customWidth="1"/>
    <col min="4338" max="4338" width="7.85546875" style="187" bestFit="1" customWidth="1"/>
    <col min="4339" max="4339" width="7" style="187" bestFit="1" customWidth="1"/>
    <col min="4340" max="4340" width="7.5703125" style="187" bestFit="1" customWidth="1"/>
    <col min="4341" max="4342" width="10.7109375" style="187" customWidth="1"/>
    <col min="4343" max="4591" width="9.140625" style="187"/>
    <col min="4592" max="4592" width="33.85546875" style="187" customWidth="1"/>
    <col min="4593" max="4593" width="10.28515625" style="187" bestFit="1" customWidth="1"/>
    <col min="4594" max="4594" width="7.85546875" style="187" bestFit="1" customWidth="1"/>
    <col min="4595" max="4595" width="7" style="187" bestFit="1" customWidth="1"/>
    <col min="4596" max="4596" width="7.5703125" style="187" bestFit="1" customWidth="1"/>
    <col min="4597" max="4598" width="10.7109375" style="187" customWidth="1"/>
    <col min="4599" max="4847" width="9.140625" style="187"/>
    <col min="4848" max="4848" width="33.85546875" style="187" customWidth="1"/>
    <col min="4849" max="4849" width="10.28515625" style="187" bestFit="1" customWidth="1"/>
    <col min="4850" max="4850" width="7.85546875" style="187" bestFit="1" customWidth="1"/>
    <col min="4851" max="4851" width="7" style="187" bestFit="1" customWidth="1"/>
    <col min="4852" max="4852" width="7.5703125" style="187" bestFit="1" customWidth="1"/>
    <col min="4853" max="4854" width="10.7109375" style="187" customWidth="1"/>
    <col min="4855" max="5103" width="9.140625" style="187"/>
    <col min="5104" max="5104" width="33.85546875" style="187" customWidth="1"/>
    <col min="5105" max="5105" width="10.28515625" style="187" bestFit="1" customWidth="1"/>
    <col min="5106" max="5106" width="7.85546875" style="187" bestFit="1" customWidth="1"/>
    <col min="5107" max="5107" width="7" style="187" bestFit="1" customWidth="1"/>
    <col min="5108" max="5108" width="7.5703125" style="187" bestFit="1" customWidth="1"/>
    <col min="5109" max="5110" width="10.7109375" style="187" customWidth="1"/>
    <col min="5111" max="5359" width="9.140625" style="187"/>
    <col min="5360" max="5360" width="33.85546875" style="187" customWidth="1"/>
    <col min="5361" max="5361" width="10.28515625" style="187" bestFit="1" customWidth="1"/>
    <col min="5362" max="5362" width="7.85546875" style="187" bestFit="1" customWidth="1"/>
    <col min="5363" max="5363" width="7" style="187" bestFit="1" customWidth="1"/>
    <col min="5364" max="5364" width="7.5703125" style="187" bestFit="1" customWidth="1"/>
    <col min="5365" max="5366" width="10.7109375" style="187" customWidth="1"/>
    <col min="5367" max="5615" width="9.140625" style="187"/>
    <col min="5616" max="5616" width="33.85546875" style="187" customWidth="1"/>
    <col min="5617" max="5617" width="10.28515625" style="187" bestFit="1" customWidth="1"/>
    <col min="5618" max="5618" width="7.85546875" style="187" bestFit="1" customWidth="1"/>
    <col min="5619" max="5619" width="7" style="187" bestFit="1" customWidth="1"/>
    <col min="5620" max="5620" width="7.5703125" style="187" bestFit="1" customWidth="1"/>
    <col min="5621" max="5622" width="10.7109375" style="187" customWidth="1"/>
    <col min="5623" max="5871" width="9.140625" style="187"/>
    <col min="5872" max="5872" width="33.85546875" style="187" customWidth="1"/>
    <col min="5873" max="5873" width="10.28515625" style="187" bestFit="1" customWidth="1"/>
    <col min="5874" max="5874" width="7.85546875" style="187" bestFit="1" customWidth="1"/>
    <col min="5875" max="5875" width="7" style="187" bestFit="1" customWidth="1"/>
    <col min="5876" max="5876" width="7.5703125" style="187" bestFit="1" customWidth="1"/>
    <col min="5877" max="5878" width="10.7109375" style="187" customWidth="1"/>
    <col min="5879" max="6127" width="9.140625" style="187"/>
    <col min="6128" max="6128" width="33.85546875" style="187" customWidth="1"/>
    <col min="6129" max="6129" width="10.28515625" style="187" bestFit="1" customWidth="1"/>
    <col min="6130" max="6130" width="7.85546875" style="187" bestFit="1" customWidth="1"/>
    <col min="6131" max="6131" width="7" style="187" bestFit="1" customWidth="1"/>
    <col min="6132" max="6132" width="7.5703125" style="187" bestFit="1" customWidth="1"/>
    <col min="6133" max="6134" width="10.7109375" style="187" customWidth="1"/>
    <col min="6135" max="6383" width="9.140625" style="187"/>
    <col min="6384" max="6384" width="33.85546875" style="187" customWidth="1"/>
    <col min="6385" max="6385" width="10.28515625" style="187" bestFit="1" customWidth="1"/>
    <col min="6386" max="6386" width="7.85546875" style="187" bestFit="1" customWidth="1"/>
    <col min="6387" max="6387" width="7" style="187" bestFit="1" customWidth="1"/>
    <col min="6388" max="6388" width="7.5703125" style="187" bestFit="1" customWidth="1"/>
    <col min="6389" max="6390" width="10.7109375" style="187" customWidth="1"/>
    <col min="6391" max="6639" width="9.140625" style="187"/>
    <col min="6640" max="6640" width="33.85546875" style="187" customWidth="1"/>
    <col min="6641" max="6641" width="10.28515625" style="187" bestFit="1" customWidth="1"/>
    <col min="6642" max="6642" width="7.85546875" style="187" bestFit="1" customWidth="1"/>
    <col min="6643" max="6643" width="7" style="187" bestFit="1" customWidth="1"/>
    <col min="6644" max="6644" width="7.5703125" style="187" bestFit="1" customWidth="1"/>
    <col min="6645" max="6646" width="10.7109375" style="187" customWidth="1"/>
    <col min="6647" max="6895" width="9.140625" style="187"/>
    <col min="6896" max="6896" width="33.85546875" style="187" customWidth="1"/>
    <col min="6897" max="6897" width="10.28515625" style="187" bestFit="1" customWidth="1"/>
    <col min="6898" max="6898" width="7.85546875" style="187" bestFit="1" customWidth="1"/>
    <col min="6899" max="6899" width="7" style="187" bestFit="1" customWidth="1"/>
    <col min="6900" max="6900" width="7.5703125" style="187" bestFit="1" customWidth="1"/>
    <col min="6901" max="6902" width="10.7109375" style="187" customWidth="1"/>
    <col min="6903" max="7151" width="9.140625" style="187"/>
    <col min="7152" max="7152" width="33.85546875" style="187" customWidth="1"/>
    <col min="7153" max="7153" width="10.28515625" style="187" bestFit="1" customWidth="1"/>
    <col min="7154" max="7154" width="7.85546875" style="187" bestFit="1" customWidth="1"/>
    <col min="7155" max="7155" width="7" style="187" bestFit="1" customWidth="1"/>
    <col min="7156" max="7156" width="7.5703125" style="187" bestFit="1" customWidth="1"/>
    <col min="7157" max="7158" width="10.7109375" style="187" customWidth="1"/>
    <col min="7159" max="7407" width="9.140625" style="187"/>
    <col min="7408" max="7408" width="33.85546875" style="187" customWidth="1"/>
    <col min="7409" max="7409" width="10.28515625" style="187" bestFit="1" customWidth="1"/>
    <col min="7410" max="7410" width="7.85546875" style="187" bestFit="1" customWidth="1"/>
    <col min="7411" max="7411" width="7" style="187" bestFit="1" customWidth="1"/>
    <col min="7412" max="7412" width="7.5703125" style="187" bestFit="1" customWidth="1"/>
    <col min="7413" max="7414" width="10.7109375" style="187" customWidth="1"/>
    <col min="7415" max="7663" width="9.140625" style="187"/>
    <col min="7664" max="7664" width="33.85546875" style="187" customWidth="1"/>
    <col min="7665" max="7665" width="10.28515625" style="187" bestFit="1" customWidth="1"/>
    <col min="7666" max="7666" width="7.85546875" style="187" bestFit="1" customWidth="1"/>
    <col min="7667" max="7667" width="7" style="187" bestFit="1" customWidth="1"/>
    <col min="7668" max="7668" width="7.5703125" style="187" bestFit="1" customWidth="1"/>
    <col min="7669" max="7670" width="10.7109375" style="187" customWidth="1"/>
    <col min="7671" max="7919" width="9.140625" style="187"/>
    <col min="7920" max="7920" width="33.85546875" style="187" customWidth="1"/>
    <col min="7921" max="7921" width="10.28515625" style="187" bestFit="1" customWidth="1"/>
    <col min="7922" max="7922" width="7.85546875" style="187" bestFit="1" customWidth="1"/>
    <col min="7923" max="7923" width="7" style="187" bestFit="1" customWidth="1"/>
    <col min="7924" max="7924" width="7.5703125" style="187" bestFit="1" customWidth="1"/>
    <col min="7925" max="7926" width="10.7109375" style="187" customWidth="1"/>
    <col min="7927" max="8175" width="9.140625" style="187"/>
    <col min="8176" max="8176" width="33.85546875" style="187" customWidth="1"/>
    <col min="8177" max="8177" width="10.28515625" style="187" bestFit="1" customWidth="1"/>
    <col min="8178" max="8178" width="7.85546875" style="187" bestFit="1" customWidth="1"/>
    <col min="8179" max="8179" width="7" style="187" bestFit="1" customWidth="1"/>
    <col min="8180" max="8180" width="7.5703125" style="187" bestFit="1" customWidth="1"/>
    <col min="8181" max="8182" width="10.7109375" style="187" customWidth="1"/>
    <col min="8183" max="8431" width="9.140625" style="187"/>
    <col min="8432" max="8432" width="33.85546875" style="187" customWidth="1"/>
    <col min="8433" max="8433" width="10.28515625" style="187" bestFit="1" customWidth="1"/>
    <col min="8434" max="8434" width="7.85546875" style="187" bestFit="1" customWidth="1"/>
    <col min="8435" max="8435" width="7" style="187" bestFit="1" customWidth="1"/>
    <col min="8436" max="8436" width="7.5703125" style="187" bestFit="1" customWidth="1"/>
    <col min="8437" max="8438" width="10.7109375" style="187" customWidth="1"/>
    <col min="8439" max="8687" width="9.140625" style="187"/>
    <col min="8688" max="8688" width="33.85546875" style="187" customWidth="1"/>
    <col min="8689" max="8689" width="10.28515625" style="187" bestFit="1" customWidth="1"/>
    <col min="8690" max="8690" width="7.85546875" style="187" bestFit="1" customWidth="1"/>
    <col min="8691" max="8691" width="7" style="187" bestFit="1" customWidth="1"/>
    <col min="8692" max="8692" width="7.5703125" style="187" bestFit="1" customWidth="1"/>
    <col min="8693" max="8694" width="10.7109375" style="187" customWidth="1"/>
    <col min="8695" max="8943" width="9.140625" style="187"/>
    <col min="8944" max="8944" width="33.85546875" style="187" customWidth="1"/>
    <col min="8945" max="8945" width="10.28515625" style="187" bestFit="1" customWidth="1"/>
    <col min="8946" max="8946" width="7.85546875" style="187" bestFit="1" customWidth="1"/>
    <col min="8947" max="8947" width="7" style="187" bestFit="1" customWidth="1"/>
    <col min="8948" max="8948" width="7.5703125" style="187" bestFit="1" customWidth="1"/>
    <col min="8949" max="8950" width="10.7109375" style="187" customWidth="1"/>
    <col min="8951" max="9199" width="9.140625" style="187"/>
    <col min="9200" max="9200" width="33.85546875" style="187" customWidth="1"/>
    <col min="9201" max="9201" width="10.28515625" style="187" bestFit="1" customWidth="1"/>
    <col min="9202" max="9202" width="7.85546875" style="187" bestFit="1" customWidth="1"/>
    <col min="9203" max="9203" width="7" style="187" bestFit="1" customWidth="1"/>
    <col min="9204" max="9204" width="7.5703125" style="187" bestFit="1" customWidth="1"/>
    <col min="9205" max="9206" width="10.7109375" style="187" customWidth="1"/>
    <col min="9207" max="9455" width="9.140625" style="187"/>
    <col min="9456" max="9456" width="33.85546875" style="187" customWidth="1"/>
    <col min="9457" max="9457" width="10.28515625" style="187" bestFit="1" customWidth="1"/>
    <col min="9458" max="9458" width="7.85546875" style="187" bestFit="1" customWidth="1"/>
    <col min="9459" max="9459" width="7" style="187" bestFit="1" customWidth="1"/>
    <col min="9460" max="9460" width="7.5703125" style="187" bestFit="1" customWidth="1"/>
    <col min="9461" max="9462" width="10.7109375" style="187" customWidth="1"/>
    <col min="9463" max="9711" width="9.140625" style="187"/>
    <col min="9712" max="9712" width="33.85546875" style="187" customWidth="1"/>
    <col min="9713" max="9713" width="10.28515625" style="187" bestFit="1" customWidth="1"/>
    <col min="9714" max="9714" width="7.85546875" style="187" bestFit="1" customWidth="1"/>
    <col min="9715" max="9715" width="7" style="187" bestFit="1" customWidth="1"/>
    <col min="9716" max="9716" width="7.5703125" style="187" bestFit="1" customWidth="1"/>
    <col min="9717" max="9718" width="10.7109375" style="187" customWidth="1"/>
    <col min="9719" max="9967" width="9.140625" style="187"/>
    <col min="9968" max="9968" width="33.85546875" style="187" customWidth="1"/>
    <col min="9969" max="9969" width="10.28515625" style="187" bestFit="1" customWidth="1"/>
    <col min="9970" max="9970" width="7.85546875" style="187" bestFit="1" customWidth="1"/>
    <col min="9971" max="9971" width="7" style="187" bestFit="1" customWidth="1"/>
    <col min="9972" max="9972" width="7.5703125" style="187" bestFit="1" customWidth="1"/>
    <col min="9973" max="9974" width="10.7109375" style="187" customWidth="1"/>
    <col min="9975" max="10223" width="9.140625" style="187"/>
    <col min="10224" max="10224" width="33.85546875" style="187" customWidth="1"/>
    <col min="10225" max="10225" width="10.28515625" style="187" bestFit="1" customWidth="1"/>
    <col min="10226" max="10226" width="7.85546875" style="187" bestFit="1" customWidth="1"/>
    <col min="10227" max="10227" width="7" style="187" bestFit="1" customWidth="1"/>
    <col min="10228" max="10228" width="7.5703125" style="187" bestFit="1" customWidth="1"/>
    <col min="10229" max="10230" width="10.7109375" style="187" customWidth="1"/>
    <col min="10231" max="10479" width="9.140625" style="187"/>
    <col min="10480" max="10480" width="33.85546875" style="187" customWidth="1"/>
    <col min="10481" max="10481" width="10.28515625" style="187" bestFit="1" customWidth="1"/>
    <col min="10482" max="10482" width="7.85546875" style="187" bestFit="1" customWidth="1"/>
    <col min="10483" max="10483" width="7" style="187" bestFit="1" customWidth="1"/>
    <col min="10484" max="10484" width="7.5703125" style="187" bestFit="1" customWidth="1"/>
    <col min="10485" max="10486" width="10.7109375" style="187" customWidth="1"/>
    <col min="10487" max="10735" width="9.140625" style="187"/>
    <col min="10736" max="10736" width="33.85546875" style="187" customWidth="1"/>
    <col min="10737" max="10737" width="10.28515625" style="187" bestFit="1" customWidth="1"/>
    <col min="10738" max="10738" width="7.85546875" style="187" bestFit="1" customWidth="1"/>
    <col min="10739" max="10739" width="7" style="187" bestFit="1" customWidth="1"/>
    <col min="10740" max="10740" width="7.5703125" style="187" bestFit="1" customWidth="1"/>
    <col min="10741" max="10742" width="10.7109375" style="187" customWidth="1"/>
    <col min="10743" max="10991" width="9.140625" style="187"/>
    <col min="10992" max="10992" width="33.85546875" style="187" customWidth="1"/>
    <col min="10993" max="10993" width="10.28515625" style="187" bestFit="1" customWidth="1"/>
    <col min="10994" max="10994" width="7.85546875" style="187" bestFit="1" customWidth="1"/>
    <col min="10995" max="10995" width="7" style="187" bestFit="1" customWidth="1"/>
    <col min="10996" max="10996" width="7.5703125" style="187" bestFit="1" customWidth="1"/>
    <col min="10997" max="10998" width="10.7109375" style="187" customWidth="1"/>
    <col min="10999" max="11247" width="9.140625" style="187"/>
    <col min="11248" max="11248" width="33.85546875" style="187" customWidth="1"/>
    <col min="11249" max="11249" width="10.28515625" style="187" bestFit="1" customWidth="1"/>
    <col min="11250" max="11250" width="7.85546875" style="187" bestFit="1" customWidth="1"/>
    <col min="11251" max="11251" width="7" style="187" bestFit="1" customWidth="1"/>
    <col min="11252" max="11252" width="7.5703125" style="187" bestFit="1" customWidth="1"/>
    <col min="11253" max="11254" width="10.7109375" style="187" customWidth="1"/>
    <col min="11255" max="11503" width="9.140625" style="187"/>
    <col min="11504" max="11504" width="33.85546875" style="187" customWidth="1"/>
    <col min="11505" max="11505" width="10.28515625" style="187" bestFit="1" customWidth="1"/>
    <col min="11506" max="11506" width="7.85546875" style="187" bestFit="1" customWidth="1"/>
    <col min="11507" max="11507" width="7" style="187" bestFit="1" customWidth="1"/>
    <col min="11508" max="11508" width="7.5703125" style="187" bestFit="1" customWidth="1"/>
    <col min="11509" max="11510" width="10.7109375" style="187" customWidth="1"/>
    <col min="11511" max="11759" width="9.140625" style="187"/>
    <col min="11760" max="11760" width="33.85546875" style="187" customWidth="1"/>
    <col min="11761" max="11761" width="10.28515625" style="187" bestFit="1" customWidth="1"/>
    <col min="11762" max="11762" width="7.85546875" style="187" bestFit="1" customWidth="1"/>
    <col min="11763" max="11763" width="7" style="187" bestFit="1" customWidth="1"/>
    <col min="11764" max="11764" width="7.5703125" style="187" bestFit="1" customWidth="1"/>
    <col min="11765" max="11766" width="10.7109375" style="187" customWidth="1"/>
    <col min="11767" max="12015" width="9.140625" style="187"/>
    <col min="12016" max="12016" width="33.85546875" style="187" customWidth="1"/>
    <col min="12017" max="12017" width="10.28515625" style="187" bestFit="1" customWidth="1"/>
    <col min="12018" max="12018" width="7.85546875" style="187" bestFit="1" customWidth="1"/>
    <col min="12019" max="12019" width="7" style="187" bestFit="1" customWidth="1"/>
    <col min="12020" max="12020" width="7.5703125" style="187" bestFit="1" customWidth="1"/>
    <col min="12021" max="12022" width="10.7109375" style="187" customWidth="1"/>
    <col min="12023" max="12271" width="9.140625" style="187"/>
    <col min="12272" max="12272" width="33.85546875" style="187" customWidth="1"/>
    <col min="12273" max="12273" width="10.28515625" style="187" bestFit="1" customWidth="1"/>
    <col min="12274" max="12274" width="7.85546875" style="187" bestFit="1" customWidth="1"/>
    <col min="12275" max="12275" width="7" style="187" bestFit="1" customWidth="1"/>
    <col min="12276" max="12276" width="7.5703125" style="187" bestFit="1" customWidth="1"/>
    <col min="12277" max="12278" width="10.7109375" style="187" customWidth="1"/>
    <col min="12279" max="12527" width="9.140625" style="187"/>
    <col min="12528" max="12528" width="33.85546875" style="187" customWidth="1"/>
    <col min="12529" max="12529" width="10.28515625" style="187" bestFit="1" customWidth="1"/>
    <col min="12530" max="12530" width="7.85546875" style="187" bestFit="1" customWidth="1"/>
    <col min="12531" max="12531" width="7" style="187" bestFit="1" customWidth="1"/>
    <col min="12532" max="12532" width="7.5703125" style="187" bestFit="1" customWidth="1"/>
    <col min="12533" max="12534" width="10.7109375" style="187" customWidth="1"/>
    <col min="12535" max="12783" width="9.140625" style="187"/>
    <col min="12784" max="12784" width="33.85546875" style="187" customWidth="1"/>
    <col min="12785" max="12785" width="10.28515625" style="187" bestFit="1" customWidth="1"/>
    <col min="12786" max="12786" width="7.85546875" style="187" bestFit="1" customWidth="1"/>
    <col min="12787" max="12787" width="7" style="187" bestFit="1" customWidth="1"/>
    <col min="12788" max="12788" width="7.5703125" style="187" bestFit="1" customWidth="1"/>
    <col min="12789" max="12790" width="10.7109375" style="187" customWidth="1"/>
    <col min="12791" max="13039" width="9.140625" style="187"/>
    <col min="13040" max="13040" width="33.85546875" style="187" customWidth="1"/>
    <col min="13041" max="13041" width="10.28515625" style="187" bestFit="1" customWidth="1"/>
    <col min="13042" max="13042" width="7.85546875" style="187" bestFit="1" customWidth="1"/>
    <col min="13043" max="13043" width="7" style="187" bestFit="1" customWidth="1"/>
    <col min="13044" max="13044" width="7.5703125" style="187" bestFit="1" customWidth="1"/>
    <col min="13045" max="13046" width="10.7109375" style="187" customWidth="1"/>
    <col min="13047" max="13295" width="9.140625" style="187"/>
    <col min="13296" max="13296" width="33.85546875" style="187" customWidth="1"/>
    <col min="13297" max="13297" width="10.28515625" style="187" bestFit="1" customWidth="1"/>
    <col min="13298" max="13298" width="7.85546875" style="187" bestFit="1" customWidth="1"/>
    <col min="13299" max="13299" width="7" style="187" bestFit="1" customWidth="1"/>
    <col min="13300" max="13300" width="7.5703125" style="187" bestFit="1" customWidth="1"/>
    <col min="13301" max="13302" width="10.7109375" style="187" customWidth="1"/>
    <col min="13303" max="13551" width="9.140625" style="187"/>
    <col min="13552" max="13552" width="33.85546875" style="187" customWidth="1"/>
    <col min="13553" max="13553" width="10.28515625" style="187" bestFit="1" customWidth="1"/>
    <col min="13554" max="13554" width="7.85546875" style="187" bestFit="1" customWidth="1"/>
    <col min="13555" max="13555" width="7" style="187" bestFit="1" customWidth="1"/>
    <col min="13556" max="13556" width="7.5703125" style="187" bestFit="1" customWidth="1"/>
    <col min="13557" max="13558" width="10.7109375" style="187" customWidth="1"/>
    <col min="13559" max="13807" width="9.140625" style="187"/>
    <col min="13808" max="13808" width="33.85546875" style="187" customWidth="1"/>
    <col min="13809" max="13809" width="10.28515625" style="187" bestFit="1" customWidth="1"/>
    <col min="13810" max="13810" width="7.85546875" style="187" bestFit="1" customWidth="1"/>
    <col min="13811" max="13811" width="7" style="187" bestFit="1" customWidth="1"/>
    <col min="13812" max="13812" width="7.5703125" style="187" bestFit="1" customWidth="1"/>
    <col min="13813" max="13814" width="10.7109375" style="187" customWidth="1"/>
    <col min="13815" max="14063" width="9.140625" style="187"/>
    <col min="14064" max="14064" width="33.85546875" style="187" customWidth="1"/>
    <col min="14065" max="14065" width="10.28515625" style="187" bestFit="1" customWidth="1"/>
    <col min="14066" max="14066" width="7.85546875" style="187" bestFit="1" customWidth="1"/>
    <col min="14067" max="14067" width="7" style="187" bestFit="1" customWidth="1"/>
    <col min="14068" max="14068" width="7.5703125" style="187" bestFit="1" customWidth="1"/>
    <col min="14069" max="14070" width="10.7109375" style="187" customWidth="1"/>
    <col min="14071" max="14319" width="9.140625" style="187"/>
    <col min="14320" max="14320" width="33.85546875" style="187" customWidth="1"/>
    <col min="14321" max="14321" width="10.28515625" style="187" bestFit="1" customWidth="1"/>
    <col min="14322" max="14322" width="7.85546875" style="187" bestFit="1" customWidth="1"/>
    <col min="14323" max="14323" width="7" style="187" bestFit="1" customWidth="1"/>
    <col min="14324" max="14324" width="7.5703125" style="187" bestFit="1" customWidth="1"/>
    <col min="14325" max="14326" width="10.7109375" style="187" customWidth="1"/>
    <col min="14327" max="14575" width="9.140625" style="187"/>
    <col min="14576" max="14576" width="33.85546875" style="187" customWidth="1"/>
    <col min="14577" max="14577" width="10.28515625" style="187" bestFit="1" customWidth="1"/>
    <col min="14578" max="14578" width="7.85546875" style="187" bestFit="1" customWidth="1"/>
    <col min="14579" max="14579" width="7" style="187" bestFit="1" customWidth="1"/>
    <col min="14580" max="14580" width="7.5703125" style="187" bestFit="1" customWidth="1"/>
    <col min="14581" max="14582" width="10.7109375" style="187" customWidth="1"/>
    <col min="14583" max="14831" width="9.140625" style="187"/>
    <col min="14832" max="14832" width="33.85546875" style="187" customWidth="1"/>
    <col min="14833" max="14833" width="10.28515625" style="187" bestFit="1" customWidth="1"/>
    <col min="14834" max="14834" width="7.85546875" style="187" bestFit="1" customWidth="1"/>
    <col min="14835" max="14835" width="7" style="187" bestFit="1" customWidth="1"/>
    <col min="14836" max="14836" width="7.5703125" style="187" bestFit="1" customWidth="1"/>
    <col min="14837" max="14838" width="10.7109375" style="187" customWidth="1"/>
    <col min="14839" max="15087" width="9.140625" style="187"/>
    <col min="15088" max="15088" width="33.85546875" style="187" customWidth="1"/>
    <col min="15089" max="15089" width="10.28515625" style="187" bestFit="1" customWidth="1"/>
    <col min="15090" max="15090" width="7.85546875" style="187" bestFit="1" customWidth="1"/>
    <col min="15091" max="15091" width="7" style="187" bestFit="1" customWidth="1"/>
    <col min="15092" max="15092" width="7.5703125" style="187" bestFit="1" customWidth="1"/>
    <col min="15093" max="15094" width="10.7109375" style="187" customWidth="1"/>
    <col min="15095" max="15343" width="9.140625" style="187"/>
    <col min="15344" max="15344" width="33.85546875" style="187" customWidth="1"/>
    <col min="15345" max="15345" width="10.28515625" style="187" bestFit="1" customWidth="1"/>
    <col min="15346" max="15346" width="7.85546875" style="187" bestFit="1" customWidth="1"/>
    <col min="15347" max="15347" width="7" style="187" bestFit="1" customWidth="1"/>
    <col min="15348" max="15348" width="7.5703125" style="187" bestFit="1" customWidth="1"/>
    <col min="15349" max="15350" width="10.7109375" style="187" customWidth="1"/>
    <col min="15351" max="15599" width="9.140625" style="187"/>
    <col min="15600" max="15600" width="33.85546875" style="187" customWidth="1"/>
    <col min="15601" max="15601" width="10.28515625" style="187" bestFit="1" customWidth="1"/>
    <col min="15602" max="15602" width="7.85546875" style="187" bestFit="1" customWidth="1"/>
    <col min="15603" max="15603" width="7" style="187" bestFit="1" customWidth="1"/>
    <col min="15604" max="15604" width="7.5703125" style="187" bestFit="1" customWidth="1"/>
    <col min="15605" max="15606" width="10.7109375" style="187" customWidth="1"/>
    <col min="15607" max="15855" width="9.140625" style="187"/>
    <col min="15856" max="15856" width="33.85546875" style="187" customWidth="1"/>
    <col min="15857" max="15857" width="10.28515625" style="187" bestFit="1" customWidth="1"/>
    <col min="15858" max="15858" width="7.85546875" style="187" bestFit="1" customWidth="1"/>
    <col min="15859" max="15859" width="7" style="187" bestFit="1" customWidth="1"/>
    <col min="15860" max="15860" width="7.5703125" style="187" bestFit="1" customWidth="1"/>
    <col min="15861" max="15862" width="10.7109375" style="187" customWidth="1"/>
    <col min="15863" max="16111" width="9.140625" style="187"/>
    <col min="16112" max="16112" width="33.85546875" style="187" customWidth="1"/>
    <col min="16113" max="16113" width="10.28515625" style="187" bestFit="1" customWidth="1"/>
    <col min="16114" max="16114" width="7.85546875" style="187" bestFit="1" customWidth="1"/>
    <col min="16115" max="16115" width="7" style="187" bestFit="1" customWidth="1"/>
    <col min="16116" max="16116" width="7.5703125" style="187" bestFit="1" customWidth="1"/>
    <col min="16117" max="16118" width="10.7109375" style="187" customWidth="1"/>
    <col min="16119" max="16384" width="9.140625" style="187"/>
  </cols>
  <sheetData>
    <row r="1" spans="1:7" ht="24" customHeight="1">
      <c r="A1" s="184" t="s">
        <v>227</v>
      </c>
      <c r="B1" s="185"/>
      <c r="C1" s="185"/>
      <c r="D1" s="185"/>
      <c r="E1" s="185"/>
      <c r="F1" s="186"/>
    </row>
    <row r="2" spans="1:7" ht="15.95" customHeight="1">
      <c r="A2" s="188"/>
      <c r="B2" s="189"/>
      <c r="C2" s="190"/>
      <c r="D2" s="190"/>
      <c r="E2" s="190"/>
      <c r="F2" s="186"/>
    </row>
    <row r="3" spans="1:7" ht="15.95" customHeight="1">
      <c r="A3" s="191"/>
      <c r="B3" s="191"/>
      <c r="C3" s="190"/>
      <c r="D3" s="190"/>
      <c r="E3" s="190"/>
      <c r="F3" s="186"/>
    </row>
    <row r="4" spans="1:7" ht="15.95" customHeight="1">
      <c r="A4" s="192"/>
      <c r="B4" s="193" t="s">
        <v>228</v>
      </c>
      <c r="C4" s="193" t="s">
        <v>24</v>
      </c>
      <c r="D4" s="193" t="s">
        <v>229</v>
      </c>
      <c r="E4" s="193" t="s">
        <v>26</v>
      </c>
      <c r="F4" s="194" t="s">
        <v>159</v>
      </c>
      <c r="G4" s="193" t="s">
        <v>71</v>
      </c>
    </row>
    <row r="5" spans="1:7" ht="15.95" customHeight="1">
      <c r="A5" s="191"/>
      <c r="B5" s="195" t="s">
        <v>230</v>
      </c>
      <c r="C5" s="195" t="s">
        <v>231</v>
      </c>
      <c r="D5" s="196" t="s">
        <v>70</v>
      </c>
      <c r="E5" s="195" t="s">
        <v>71</v>
      </c>
      <c r="F5" s="197" t="s">
        <v>73</v>
      </c>
      <c r="G5" s="197" t="s">
        <v>73</v>
      </c>
    </row>
    <row r="6" spans="1:7" ht="15.95" customHeight="1">
      <c r="A6" s="191"/>
      <c r="B6" s="195"/>
      <c r="C6" s="195" t="s">
        <v>28</v>
      </c>
      <c r="D6" s="195" t="s">
        <v>28</v>
      </c>
      <c r="E6" s="195" t="s">
        <v>28</v>
      </c>
      <c r="F6" s="195" t="s">
        <v>72</v>
      </c>
      <c r="G6" s="195" t="s">
        <v>72</v>
      </c>
    </row>
    <row r="7" spans="1:7" ht="15.95" customHeight="1">
      <c r="A7" s="191"/>
      <c r="B7" s="198"/>
      <c r="C7" s="199">
        <v>2025</v>
      </c>
      <c r="D7" s="199">
        <v>2025</v>
      </c>
      <c r="E7" s="199">
        <v>2025</v>
      </c>
      <c r="F7" s="199" t="s">
        <v>7</v>
      </c>
      <c r="G7" s="199" t="s">
        <v>7</v>
      </c>
    </row>
    <row r="8" spans="1:7" ht="15.95" customHeight="1">
      <c r="A8" s="191"/>
      <c r="B8" s="200"/>
      <c r="C8" s="195"/>
      <c r="D8" s="195"/>
      <c r="E8" s="195"/>
      <c r="F8" s="195"/>
      <c r="G8" s="195"/>
    </row>
    <row r="9" spans="1:7" ht="18" customHeight="1">
      <c r="A9" s="201" t="s">
        <v>232</v>
      </c>
      <c r="B9" s="202" t="s">
        <v>233</v>
      </c>
      <c r="C9" s="203">
        <v>4436.10062289295</v>
      </c>
      <c r="D9" s="203">
        <v>4282.7035999999998</v>
      </c>
      <c r="E9" s="203">
        <v>16233.742073924241</v>
      </c>
      <c r="F9" s="204">
        <v>108.34760862026418</v>
      </c>
      <c r="G9" s="204">
        <v>106.43182867126629</v>
      </c>
    </row>
    <row r="10" spans="1:7" ht="18" customHeight="1">
      <c r="A10" s="201" t="s">
        <v>234</v>
      </c>
      <c r="B10" s="202" t="s">
        <v>235</v>
      </c>
      <c r="C10" s="203">
        <v>682.33999999999992</v>
      </c>
      <c r="D10" s="203">
        <v>628</v>
      </c>
      <c r="E10" s="203">
        <v>2570.7399999999998</v>
      </c>
      <c r="F10" s="204">
        <v>91.060947033849146</v>
      </c>
      <c r="G10" s="204">
        <v>92.363121865902201</v>
      </c>
    </row>
    <row r="11" spans="1:7" ht="18" customHeight="1">
      <c r="A11" s="201" t="s">
        <v>236</v>
      </c>
      <c r="B11" s="202" t="s">
        <v>237</v>
      </c>
      <c r="C11" s="203">
        <v>544.87</v>
      </c>
      <c r="D11" s="203">
        <v>535</v>
      </c>
      <c r="E11" s="203">
        <v>1977.3899999999999</v>
      </c>
      <c r="F11" s="204">
        <v>86.948042450147071</v>
      </c>
      <c r="G11" s="204">
        <v>85.976655659013474</v>
      </c>
    </row>
    <row r="12" spans="1:7" ht="18" customHeight="1">
      <c r="A12" s="201" t="s">
        <v>238</v>
      </c>
      <c r="B12" s="202" t="s">
        <v>233</v>
      </c>
      <c r="C12" s="203">
        <v>75.847828000000007</v>
      </c>
      <c r="D12" s="203">
        <v>71.773110000000045</v>
      </c>
      <c r="E12" s="203">
        <v>281.81479100000001</v>
      </c>
      <c r="F12" s="204">
        <v>215.10907808489836</v>
      </c>
      <c r="G12" s="204">
        <v>123.21663221802848</v>
      </c>
    </row>
    <row r="13" spans="1:7" ht="18" customHeight="1">
      <c r="A13" s="201" t="s">
        <v>239</v>
      </c>
      <c r="B13" s="202" t="s">
        <v>235</v>
      </c>
      <c r="C13" s="203">
        <v>1405.8460299999999</v>
      </c>
      <c r="D13" s="203">
        <v>1494.6109957186</v>
      </c>
      <c r="E13" s="203">
        <v>5710.3482457186001</v>
      </c>
      <c r="F13" s="204">
        <v>128.04160591423152</v>
      </c>
      <c r="G13" s="204">
        <v>108.35906332114966</v>
      </c>
    </row>
    <row r="14" spans="1:7" ht="18" customHeight="1">
      <c r="A14" s="201" t="s">
        <v>240</v>
      </c>
      <c r="B14" s="202" t="s">
        <v>235</v>
      </c>
      <c r="C14" s="203">
        <v>120.16952999999999</v>
      </c>
      <c r="D14" s="203">
        <v>131.5</v>
      </c>
      <c r="E14" s="203">
        <v>504.30074999999999</v>
      </c>
      <c r="F14" s="204">
        <v>103.13455318111666</v>
      </c>
      <c r="G14" s="204">
        <v>104.14107714465457</v>
      </c>
    </row>
    <row r="15" spans="1:7" ht="18" customHeight="1">
      <c r="A15" s="201" t="s">
        <v>241</v>
      </c>
      <c r="B15" s="202" t="s">
        <v>235</v>
      </c>
      <c r="C15" s="203">
        <v>535.61516778577766</v>
      </c>
      <c r="D15" s="203">
        <v>565.95035766179876</v>
      </c>
      <c r="E15" s="203">
        <v>2091.3431335102696</v>
      </c>
      <c r="F15" s="204">
        <v>108.69029338617221</v>
      </c>
      <c r="G15" s="204">
        <v>105.84004874270252</v>
      </c>
    </row>
    <row r="16" spans="1:7" ht="18" customHeight="1">
      <c r="A16" s="201" t="s">
        <v>242</v>
      </c>
      <c r="B16" s="202" t="s">
        <v>243</v>
      </c>
      <c r="C16" s="203">
        <v>133.68455549568159</v>
      </c>
      <c r="D16" s="203">
        <v>141.19000257234214</v>
      </c>
      <c r="E16" s="203">
        <v>537.60034966222565</v>
      </c>
      <c r="F16" s="204">
        <v>108.89249002957129</v>
      </c>
      <c r="G16" s="204">
        <v>103.13493097585314</v>
      </c>
    </row>
    <row r="17" spans="1:7" ht="18" customHeight="1">
      <c r="A17" s="201" t="s">
        <v>244</v>
      </c>
      <c r="B17" s="202" t="s">
        <v>233</v>
      </c>
      <c r="C17" s="203">
        <v>12.214376286291806</v>
      </c>
      <c r="D17" s="203">
        <v>13.214231546908264</v>
      </c>
      <c r="E17" s="203">
        <v>46.754266823047168</v>
      </c>
      <c r="F17" s="204">
        <v>103.41392664664473</v>
      </c>
      <c r="G17" s="204">
        <v>100.72586855969914</v>
      </c>
    </row>
    <row r="18" spans="1:7" ht="18" customHeight="1">
      <c r="A18" s="201" t="s">
        <v>245</v>
      </c>
      <c r="B18" s="202" t="s">
        <v>235</v>
      </c>
      <c r="C18" s="203">
        <v>298.00675721899597</v>
      </c>
      <c r="D18" s="203">
        <v>222.52958725049609</v>
      </c>
      <c r="E18" s="203">
        <v>998.1773535905329</v>
      </c>
      <c r="F18" s="204">
        <v>116.72246550583225</v>
      </c>
      <c r="G18" s="204">
        <v>107.28459938504227</v>
      </c>
    </row>
    <row r="19" spans="1:7" ht="18" customHeight="1">
      <c r="A19" s="201" t="s">
        <v>246</v>
      </c>
      <c r="B19" s="202" t="s">
        <v>235</v>
      </c>
      <c r="C19" s="203">
        <v>27.962815317428998</v>
      </c>
      <c r="D19" s="203">
        <v>28.7350315812165</v>
      </c>
      <c r="E19" s="203">
        <v>108.5628312697158</v>
      </c>
      <c r="F19" s="204">
        <v>101.63181504306363</v>
      </c>
      <c r="G19" s="204">
        <v>104.28145795011292</v>
      </c>
    </row>
    <row r="20" spans="1:7" ht="18" customHeight="1">
      <c r="A20" s="201" t="s">
        <v>247</v>
      </c>
      <c r="B20" s="202" t="s">
        <v>235</v>
      </c>
      <c r="C20" s="203">
        <v>1209.5244495451022</v>
      </c>
      <c r="D20" s="203">
        <v>1231.3821843104436</v>
      </c>
      <c r="E20" s="203">
        <v>4723.9743344371363</v>
      </c>
      <c r="F20" s="204">
        <v>109.30559534068117</v>
      </c>
      <c r="G20" s="204">
        <v>107.68932381881726</v>
      </c>
    </row>
    <row r="21" spans="1:7" ht="18" customHeight="1">
      <c r="A21" s="201" t="s">
        <v>248</v>
      </c>
      <c r="B21" s="202" t="s">
        <v>235</v>
      </c>
      <c r="C21" s="203">
        <v>735.76709450348324</v>
      </c>
      <c r="D21" s="203">
        <v>755.55299397290264</v>
      </c>
      <c r="E21" s="203">
        <v>2839.0630047646946</v>
      </c>
      <c r="F21" s="204">
        <v>109.70712849904206</v>
      </c>
      <c r="G21" s="204">
        <v>108.37493900341937</v>
      </c>
    </row>
    <row r="22" spans="1:7" ht="18" customHeight="1">
      <c r="A22" s="201" t="s">
        <v>249</v>
      </c>
      <c r="B22" s="202" t="s">
        <v>243</v>
      </c>
      <c r="C22" s="203">
        <v>351.61044192304985</v>
      </c>
      <c r="D22" s="203">
        <v>387.22176241681962</v>
      </c>
      <c r="E22" s="203">
        <v>1358.2457786910627</v>
      </c>
      <c r="F22" s="204">
        <v>105.41439938030122</v>
      </c>
      <c r="G22" s="204">
        <v>101.13790271525119</v>
      </c>
    </row>
    <row r="23" spans="1:7" ht="21" customHeight="1">
      <c r="A23" s="158" t="s">
        <v>250</v>
      </c>
      <c r="B23" s="202" t="s">
        <v>251</v>
      </c>
      <c r="C23" s="203">
        <v>664.63748617074111</v>
      </c>
      <c r="D23" s="203">
        <v>672.44891944847643</v>
      </c>
      <c r="E23" s="203">
        <v>2443.6006594847249</v>
      </c>
      <c r="F23" s="204">
        <v>107.24007965050259</v>
      </c>
      <c r="G23" s="204">
        <v>103.1218345959584</v>
      </c>
    </row>
    <row r="24" spans="1:7" ht="18" customHeight="1">
      <c r="A24" s="158" t="s">
        <v>252</v>
      </c>
      <c r="B24" s="202" t="s">
        <v>253</v>
      </c>
      <c r="C24" s="203">
        <v>92.182115563921769</v>
      </c>
      <c r="D24" s="203">
        <v>95.608145273097577</v>
      </c>
      <c r="E24" s="203">
        <v>364.66938493982946</v>
      </c>
      <c r="F24" s="204">
        <v>116.48165847112277</v>
      </c>
      <c r="G24" s="205">
        <v>116.58701051239314</v>
      </c>
    </row>
    <row r="25" spans="1:7" ht="27" customHeight="1">
      <c r="A25" s="206" t="s">
        <v>254</v>
      </c>
      <c r="B25" s="202" t="s">
        <v>235</v>
      </c>
      <c r="C25" s="203">
        <v>118.54939876704826</v>
      </c>
      <c r="D25" s="203">
        <v>123.83986412730268</v>
      </c>
      <c r="E25" s="203">
        <v>447.81691266443198</v>
      </c>
      <c r="F25" s="204">
        <v>104.95793213603075</v>
      </c>
      <c r="G25" s="204">
        <v>100.09572860379873</v>
      </c>
    </row>
    <row r="26" spans="1:7" ht="18" customHeight="1">
      <c r="A26" s="201" t="s">
        <v>255</v>
      </c>
      <c r="B26" s="202" t="s">
        <v>256</v>
      </c>
      <c r="C26" s="203">
        <v>495.94044328461445</v>
      </c>
      <c r="D26" s="203">
        <v>506.08171319557005</v>
      </c>
      <c r="E26" s="203">
        <v>1899.0244342193137</v>
      </c>
      <c r="F26" s="204">
        <v>116.40752459932607</v>
      </c>
      <c r="G26" s="204">
        <v>115.03868479753766</v>
      </c>
    </row>
    <row r="27" spans="1:7" ht="18" customHeight="1">
      <c r="A27" s="207" t="s">
        <v>257</v>
      </c>
      <c r="B27" s="197" t="s">
        <v>258</v>
      </c>
      <c r="C27" s="208">
        <v>29.312218716755929</v>
      </c>
      <c r="D27" s="208">
        <v>29.881096194717031</v>
      </c>
      <c r="E27" s="208">
        <v>111.66774810297866</v>
      </c>
      <c r="F27" s="209">
        <v>108.36299617304455</v>
      </c>
      <c r="G27" s="209">
        <v>109.79181918488298</v>
      </c>
    </row>
    <row r="28" spans="1:7" ht="18" customHeight="1">
      <c r="A28" s="201" t="s">
        <v>259</v>
      </c>
      <c r="B28" s="202" t="s">
        <v>233</v>
      </c>
      <c r="C28" s="203">
        <v>241.70150876056337</v>
      </c>
      <c r="D28" s="203">
        <v>244.9442214788732</v>
      </c>
      <c r="E28" s="203">
        <v>970.33343476056359</v>
      </c>
      <c r="F28" s="204">
        <v>104.69028933428336</v>
      </c>
      <c r="G28" s="204">
        <v>102.86834849660113</v>
      </c>
    </row>
    <row r="29" spans="1:7" ht="18" customHeight="1">
      <c r="A29" s="201" t="s">
        <v>260</v>
      </c>
      <c r="B29" s="202" t="s">
        <v>235</v>
      </c>
      <c r="C29" s="203">
        <v>311.17906552524664</v>
      </c>
      <c r="D29" s="203">
        <v>299.40046133515898</v>
      </c>
      <c r="E29" s="203">
        <v>1142.8652676755466</v>
      </c>
      <c r="F29" s="204">
        <v>116.74808396769703</v>
      </c>
      <c r="G29" s="204">
        <v>118.48861125028127</v>
      </c>
    </row>
    <row r="30" spans="1:7" ht="18" customHeight="1">
      <c r="A30" s="201" t="s">
        <v>261</v>
      </c>
      <c r="B30" s="202" t="s">
        <v>235</v>
      </c>
      <c r="C30" s="203">
        <v>119.59333893410451</v>
      </c>
      <c r="D30" s="203">
        <v>125.31194377203173</v>
      </c>
      <c r="E30" s="203">
        <v>442.77084465015821</v>
      </c>
      <c r="F30" s="204">
        <v>120.91079098034709</v>
      </c>
      <c r="G30" s="204">
        <v>105.43395012090559</v>
      </c>
    </row>
    <row r="31" spans="1:7" ht="18" customHeight="1">
      <c r="A31" s="201" t="s">
        <v>262</v>
      </c>
      <c r="B31" s="202" t="s">
        <v>263</v>
      </c>
      <c r="C31" s="203">
        <v>16.467654402559823</v>
      </c>
      <c r="D31" s="203">
        <v>16.837788655089479</v>
      </c>
      <c r="E31" s="203">
        <v>55.864467922400294</v>
      </c>
      <c r="F31" s="204">
        <v>107.52100035178466</v>
      </c>
      <c r="G31" s="204">
        <v>109.18970136948315</v>
      </c>
    </row>
    <row r="32" spans="1:7" ht="18" customHeight="1">
      <c r="A32" s="201" t="s">
        <v>264</v>
      </c>
      <c r="B32" s="202" t="s">
        <v>233</v>
      </c>
      <c r="C32" s="203">
        <v>1719.1668590647923</v>
      </c>
      <c r="D32" s="203">
        <v>1845.2951281109797</v>
      </c>
      <c r="E32" s="203">
        <v>6787.2822334531529</v>
      </c>
      <c r="F32" s="204">
        <v>112.9657256266287</v>
      </c>
      <c r="G32" s="204">
        <v>103.35545912731536</v>
      </c>
    </row>
    <row r="33" spans="1:7" ht="18" customHeight="1">
      <c r="A33" s="158" t="s">
        <v>265</v>
      </c>
      <c r="B33" s="202" t="s">
        <v>235</v>
      </c>
      <c r="C33" s="203">
        <v>1494.2488886682995</v>
      </c>
      <c r="D33" s="203">
        <v>1331.8890280495871</v>
      </c>
      <c r="E33" s="203">
        <v>5030.5653786976673</v>
      </c>
      <c r="F33" s="204">
        <v>111.15748857032106</v>
      </c>
      <c r="G33" s="204">
        <v>109.38483014721925</v>
      </c>
    </row>
    <row r="34" spans="1:7" ht="18" customHeight="1">
      <c r="A34" s="201" t="s">
        <v>266</v>
      </c>
      <c r="B34" s="202" t="s">
        <v>235</v>
      </c>
      <c r="C34" s="203">
        <v>1128.857547838257</v>
      </c>
      <c r="D34" s="203">
        <v>1252.3705213736228</v>
      </c>
      <c r="E34" s="203">
        <v>4369.5115240211799</v>
      </c>
      <c r="F34" s="204">
        <v>115.12874805788039</v>
      </c>
      <c r="G34" s="204">
        <v>109.33379330880099</v>
      </c>
    </row>
    <row r="35" spans="1:7" ht="18" customHeight="1">
      <c r="A35" s="201" t="s">
        <v>267</v>
      </c>
      <c r="B35" s="202" t="s">
        <v>256</v>
      </c>
      <c r="C35" s="203">
        <v>16.071244</v>
      </c>
      <c r="D35" s="203">
        <v>15.262642999999999</v>
      </c>
      <c r="E35" s="203">
        <v>62.090576999999996</v>
      </c>
      <c r="F35" s="204">
        <v>104.16218287220545</v>
      </c>
      <c r="G35" s="204">
        <v>101.37889361991436</v>
      </c>
    </row>
    <row r="36" spans="1:7" ht="27.75" customHeight="1">
      <c r="A36" s="210" t="s">
        <v>268</v>
      </c>
      <c r="B36" s="202" t="s">
        <v>269</v>
      </c>
      <c r="C36" s="203">
        <v>46.734007512650599</v>
      </c>
      <c r="D36" s="203">
        <v>41.7995688044007</v>
      </c>
      <c r="E36" s="203">
        <v>156.4915428401533</v>
      </c>
      <c r="F36" s="204">
        <v>104.48919591358279</v>
      </c>
      <c r="G36" s="204">
        <v>106.86289611351718</v>
      </c>
    </row>
    <row r="37" spans="1:7" ht="16.899999999999999" customHeight="1">
      <c r="A37" s="201" t="s">
        <v>270</v>
      </c>
      <c r="B37" s="202" t="s">
        <v>271</v>
      </c>
      <c r="C37" s="203">
        <v>1593.3045850583899</v>
      </c>
      <c r="D37" s="203">
        <v>1595.9093639569398</v>
      </c>
      <c r="E37" s="203">
        <v>5815.0069490153301</v>
      </c>
      <c r="F37" s="204">
        <v>122.15763183056285</v>
      </c>
      <c r="G37" s="204">
        <v>127.69462587271303</v>
      </c>
    </row>
    <row r="38" spans="1:7" ht="16.899999999999999" customHeight="1">
      <c r="A38" s="201" t="s">
        <v>148</v>
      </c>
      <c r="B38" s="211" t="s">
        <v>272</v>
      </c>
      <c r="C38" s="212">
        <v>38.094007312036155</v>
      </c>
      <c r="D38" s="212">
        <v>39.487330033234947</v>
      </c>
      <c r="E38" s="208">
        <v>147.3006495761008</v>
      </c>
      <c r="F38" s="209">
        <v>160.0232210781121</v>
      </c>
      <c r="G38" s="209">
        <v>176.87610271028805</v>
      </c>
    </row>
    <row r="39" spans="1:7" ht="16.899999999999999" customHeight="1">
      <c r="A39" s="201" t="s">
        <v>273</v>
      </c>
      <c r="B39" s="202" t="s">
        <v>235</v>
      </c>
      <c r="C39" s="203">
        <v>235.28456588551802</v>
      </c>
      <c r="D39" s="203">
        <v>286.09473696022701</v>
      </c>
      <c r="E39" s="203">
        <v>1011.970743880965</v>
      </c>
      <c r="F39" s="204">
        <v>110.41346462736594</v>
      </c>
      <c r="G39" s="204">
        <v>107.03055570097375</v>
      </c>
    </row>
    <row r="40" spans="1:7" ht="16.899999999999999" customHeight="1">
      <c r="A40" s="201" t="s">
        <v>274</v>
      </c>
      <c r="B40" s="202" t="s">
        <v>275</v>
      </c>
      <c r="C40" s="203">
        <v>27.510736219781201</v>
      </c>
      <c r="D40" s="203">
        <v>28.0930961222241</v>
      </c>
      <c r="E40" s="203">
        <v>101.4796428773051</v>
      </c>
      <c r="F40" s="204">
        <v>104.03975593335895</v>
      </c>
      <c r="G40" s="204">
        <v>104.71716811131628</v>
      </c>
    </row>
    <row r="41" spans="1:7" ht="16.899999999999999" customHeight="1">
      <c r="A41" s="201" t="s">
        <v>276</v>
      </c>
      <c r="B41" s="202" t="s">
        <v>237</v>
      </c>
      <c r="C41" s="203">
        <v>312.9974841498306</v>
      </c>
      <c r="D41" s="203">
        <v>334.1877642671692</v>
      </c>
      <c r="E41" s="203">
        <v>1285.1996215937349</v>
      </c>
      <c r="F41" s="204">
        <v>100.38683216196131</v>
      </c>
      <c r="G41" s="204">
        <v>101.82781054332932</v>
      </c>
    </row>
    <row r="42" spans="1:7" ht="15">
      <c r="A42" s="190"/>
      <c r="F42" s="213"/>
    </row>
    <row r="43" spans="1:7" ht="15">
      <c r="F43" s="213"/>
    </row>
    <row r="44" spans="1:7" ht="15">
      <c r="F44" s="213"/>
    </row>
    <row r="45" spans="1:7" ht="15">
      <c r="F45" s="213"/>
    </row>
    <row r="46" spans="1:7" ht="15">
      <c r="F46" s="213"/>
    </row>
    <row r="47" spans="1:7" ht="15">
      <c r="F47" s="213"/>
    </row>
    <row r="48" spans="1:7" ht="15">
      <c r="F48" s="213"/>
    </row>
    <row r="49" spans="1:6" ht="15">
      <c r="F49" s="213"/>
    </row>
    <row r="50" spans="1:6" ht="15">
      <c r="A50" s="186"/>
      <c r="B50" s="186"/>
      <c r="C50" s="186"/>
      <c r="D50" s="186"/>
      <c r="E50" s="186"/>
      <c r="F50" s="213"/>
    </row>
    <row r="51" spans="1:6" ht="15">
      <c r="A51" s="186"/>
      <c r="B51" s="186"/>
      <c r="C51" s="186"/>
      <c r="D51" s="186"/>
      <c r="E51" s="186"/>
      <c r="F51" s="213"/>
    </row>
    <row r="52" spans="1:6" ht="15">
      <c r="A52" s="186"/>
      <c r="B52" s="186"/>
      <c r="C52" s="186"/>
      <c r="D52" s="186"/>
      <c r="E52" s="186"/>
      <c r="F52" s="213"/>
    </row>
    <row r="53" spans="1:6" ht="15">
      <c r="A53" s="186"/>
      <c r="B53" s="186"/>
      <c r="C53" s="186"/>
      <c r="D53" s="186"/>
      <c r="E53" s="186"/>
      <c r="F53" s="186"/>
    </row>
    <row r="54" spans="1:6" ht="15">
      <c r="A54" s="186"/>
      <c r="B54" s="186"/>
      <c r="C54" s="186"/>
      <c r="D54" s="186"/>
      <c r="E54" s="186"/>
      <c r="F54" s="186"/>
    </row>
    <row r="55" spans="1:6" ht="15">
      <c r="A55" s="186"/>
      <c r="B55" s="186"/>
      <c r="C55" s="186"/>
      <c r="D55" s="186"/>
      <c r="E55" s="186"/>
      <c r="F55" s="186"/>
    </row>
    <row r="56" spans="1:6" ht="15">
      <c r="A56" s="186"/>
      <c r="B56" s="186"/>
      <c r="C56" s="186"/>
      <c r="D56" s="186"/>
      <c r="E56" s="186"/>
      <c r="F56" s="186"/>
    </row>
    <row r="57" spans="1:6" ht="15">
      <c r="A57" s="186"/>
      <c r="B57" s="186"/>
      <c r="C57" s="186"/>
      <c r="D57" s="186"/>
      <c r="E57" s="186"/>
      <c r="F57" s="186"/>
    </row>
    <row r="58" spans="1:6" ht="15">
      <c r="A58" s="186"/>
      <c r="B58" s="186"/>
      <c r="C58" s="186"/>
      <c r="D58" s="186"/>
      <c r="E58" s="186"/>
      <c r="F58" s="186"/>
    </row>
    <row r="59" spans="1:6" ht="15">
      <c r="A59" s="186"/>
      <c r="B59" s="186"/>
      <c r="C59" s="186"/>
      <c r="D59" s="186"/>
      <c r="E59" s="186"/>
      <c r="F59" s="186"/>
    </row>
    <row r="60" spans="1:6" ht="15">
      <c r="A60" s="186"/>
      <c r="B60" s="186"/>
      <c r="C60" s="186"/>
      <c r="D60" s="186"/>
      <c r="E60" s="186"/>
      <c r="F60" s="186"/>
    </row>
    <row r="61" spans="1:6" ht="15">
      <c r="A61" s="186"/>
      <c r="B61" s="186"/>
      <c r="C61" s="186"/>
      <c r="D61" s="186"/>
      <c r="E61" s="186"/>
      <c r="F61" s="186"/>
    </row>
    <row r="62" spans="1:6" ht="15">
      <c r="A62" s="186"/>
      <c r="B62" s="186"/>
      <c r="C62" s="186"/>
      <c r="D62" s="186"/>
      <c r="E62" s="186"/>
      <c r="F62" s="186"/>
    </row>
    <row r="63" spans="1:6" ht="15">
      <c r="A63" s="186"/>
      <c r="B63" s="186"/>
      <c r="C63" s="186"/>
      <c r="D63" s="186"/>
      <c r="E63" s="186"/>
      <c r="F63" s="186"/>
    </row>
    <row r="64" spans="1:6" ht="15">
      <c r="A64" s="186"/>
      <c r="B64" s="186"/>
      <c r="C64" s="186"/>
      <c r="D64" s="186"/>
      <c r="E64" s="186"/>
      <c r="F64" s="186"/>
    </row>
    <row r="65" spans="1:6" ht="15">
      <c r="A65" s="186"/>
      <c r="B65" s="186"/>
      <c r="C65" s="186"/>
      <c r="D65" s="186"/>
      <c r="E65" s="186"/>
      <c r="F65" s="186"/>
    </row>
    <row r="66" spans="1:6" ht="18" customHeight="1">
      <c r="A66" s="186"/>
      <c r="B66" s="186"/>
      <c r="C66" s="186"/>
      <c r="D66" s="186"/>
      <c r="E66" s="186"/>
      <c r="F66" s="186"/>
    </row>
    <row r="67" spans="1:6" ht="18" customHeight="1">
      <c r="A67" s="186"/>
      <c r="B67" s="186"/>
      <c r="C67" s="186"/>
      <c r="D67" s="186"/>
      <c r="E67" s="186"/>
      <c r="F67" s="186"/>
    </row>
    <row r="68" spans="1:6" ht="18" customHeight="1">
      <c r="A68" s="186"/>
      <c r="B68" s="186"/>
      <c r="C68" s="186"/>
      <c r="D68" s="186"/>
      <c r="E68" s="186"/>
      <c r="F68" s="186"/>
    </row>
    <row r="69" spans="1:6" ht="18" customHeight="1">
      <c r="A69" s="186"/>
      <c r="B69" s="186"/>
      <c r="C69" s="186"/>
      <c r="D69" s="186"/>
      <c r="E69" s="186"/>
      <c r="F69" s="186"/>
    </row>
    <row r="70" spans="1:6" ht="18" customHeight="1">
      <c r="A70" s="186"/>
      <c r="B70" s="186"/>
      <c r="C70" s="186"/>
      <c r="D70" s="186"/>
      <c r="E70" s="186"/>
      <c r="F70" s="186"/>
    </row>
    <row r="71" spans="1:6" ht="18" customHeight="1">
      <c r="A71" s="186"/>
      <c r="B71" s="186"/>
      <c r="C71" s="186"/>
      <c r="D71" s="186"/>
      <c r="E71" s="186"/>
      <c r="F71" s="186"/>
    </row>
    <row r="72" spans="1:6" ht="18" customHeight="1">
      <c r="A72" s="186"/>
      <c r="B72" s="186"/>
      <c r="C72" s="186"/>
      <c r="D72" s="186"/>
      <c r="E72" s="186"/>
      <c r="F72" s="186"/>
    </row>
  </sheetData>
  <pageMargins left="0.78740157480314998" right="0.47244094488188998" top="0.74803149606299202" bottom="0.47244094488188998" header="0.43307086614173201" footer="0.31496062992126"/>
  <pageSetup paperSize="9" firstPageNumber="27" fitToHeight="0" orientation="portrait" r:id="rId1"/>
  <headerFooter alignWithMargins="0">
    <oddHeader>&amp;C&amp;"Times New Roman,Regular"&amp;13&amp;P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3974E-9898-4F42-8E2B-2126A8E0312E}">
  <sheetPr>
    <pageSetUpPr fitToPage="1"/>
  </sheetPr>
  <dimension ref="A1:DM54"/>
  <sheetViews>
    <sheetView workbookViewId="0">
      <selection activeCell="D28" sqref="D28"/>
    </sheetView>
  </sheetViews>
  <sheetFormatPr defaultColWidth="11.42578125" defaultRowHeight="16.5" customHeight="1"/>
  <cols>
    <col min="1" max="1" width="55.7109375" style="215" customWidth="1"/>
    <col min="2" max="2" width="16.140625" style="215" customWidth="1"/>
    <col min="3" max="3" width="17.140625" style="215" customWidth="1"/>
    <col min="4" max="16384" width="11.42578125" style="215"/>
  </cols>
  <sheetData>
    <row r="1" spans="1:117" ht="20.100000000000001" customHeight="1">
      <c r="A1" s="475" t="s">
        <v>277</v>
      </c>
      <c r="B1" s="475"/>
      <c r="C1" s="475"/>
    </row>
    <row r="2" spans="1:117" ht="18" customHeight="1">
      <c r="A2" s="214"/>
      <c r="B2" s="214"/>
      <c r="C2" s="214"/>
    </row>
    <row r="3" spans="1:117" ht="18" customHeight="1">
      <c r="A3" s="216"/>
      <c r="C3" s="217" t="s">
        <v>155</v>
      </c>
    </row>
    <row r="4" spans="1:117" s="220" customFormat="1" ht="15" customHeight="1">
      <c r="A4" s="218"/>
      <c r="B4" s="219" t="s">
        <v>278</v>
      </c>
      <c r="C4" s="219" t="s">
        <v>278</v>
      </c>
    </row>
    <row r="5" spans="1:117" s="220" customFormat="1" ht="15" customHeight="1">
      <c r="A5" s="221"/>
      <c r="B5" s="222" t="s">
        <v>279</v>
      </c>
      <c r="C5" s="222" t="s">
        <v>279</v>
      </c>
    </row>
    <row r="6" spans="1:117" s="220" customFormat="1" ht="15" customHeight="1">
      <c r="A6" s="221"/>
      <c r="B6" s="223" t="s">
        <v>469</v>
      </c>
      <c r="C6" s="223" t="s">
        <v>469</v>
      </c>
    </row>
    <row r="7" spans="1:117" s="220" customFormat="1" ht="15" customHeight="1">
      <c r="A7" s="221"/>
      <c r="B7" s="222" t="s">
        <v>280</v>
      </c>
      <c r="C7" s="222" t="s">
        <v>280</v>
      </c>
    </row>
    <row r="8" spans="1:117" s="220" customFormat="1" ht="15" customHeight="1">
      <c r="A8" s="221"/>
      <c r="B8" s="224" t="s">
        <v>281</v>
      </c>
      <c r="C8" s="224" t="s">
        <v>163</v>
      </c>
    </row>
    <row r="9" spans="1:117" s="220" customFormat="1" ht="10.5" customHeight="1">
      <c r="A9" s="221"/>
      <c r="B9" s="222"/>
      <c r="C9" s="222"/>
    </row>
    <row r="10" spans="1:117" ht="15.95" customHeight="1">
      <c r="A10" s="168" t="s">
        <v>190</v>
      </c>
      <c r="B10" s="225">
        <v>100.7</v>
      </c>
      <c r="C10" s="225">
        <v>105.07</v>
      </c>
    </row>
    <row r="11" spans="1:117" s="227" customFormat="1" ht="15" customHeight="1">
      <c r="A11" s="226" t="s">
        <v>191</v>
      </c>
      <c r="B11" s="225">
        <v>100.01</v>
      </c>
      <c r="C11" s="225">
        <v>99.69</v>
      </c>
    </row>
    <row r="12" spans="1:117" s="230" customFormat="1" ht="15" customHeight="1">
      <c r="A12" s="176" t="s">
        <v>192</v>
      </c>
      <c r="B12" s="228">
        <v>100.01</v>
      </c>
      <c r="C12" s="228">
        <v>100.39</v>
      </c>
      <c r="D12" s="229"/>
      <c r="E12" s="229"/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29"/>
      <c r="AA12" s="229"/>
      <c r="AB12" s="229"/>
      <c r="AC12" s="229"/>
      <c r="AD12" s="229"/>
      <c r="AE12" s="229"/>
      <c r="AF12" s="229"/>
      <c r="AG12" s="229"/>
      <c r="AH12" s="229"/>
      <c r="AI12" s="229"/>
      <c r="AJ12" s="229"/>
      <c r="AK12" s="229"/>
      <c r="AL12" s="229"/>
      <c r="AM12" s="229"/>
      <c r="AN12" s="229"/>
      <c r="AO12" s="229"/>
      <c r="AP12" s="229"/>
      <c r="AQ12" s="229"/>
      <c r="AR12" s="229"/>
      <c r="AS12" s="229"/>
      <c r="AT12" s="229"/>
      <c r="AU12" s="229"/>
      <c r="AV12" s="229"/>
      <c r="AW12" s="229"/>
      <c r="AX12" s="229"/>
      <c r="AY12" s="229"/>
      <c r="AZ12" s="229"/>
      <c r="BA12" s="229"/>
      <c r="BB12" s="229"/>
      <c r="BC12" s="229"/>
      <c r="BD12" s="229"/>
      <c r="BE12" s="229"/>
      <c r="BF12" s="229"/>
      <c r="BG12" s="229"/>
      <c r="BH12" s="229"/>
      <c r="BI12" s="229"/>
      <c r="BJ12" s="229"/>
      <c r="BK12" s="229"/>
      <c r="BL12" s="229"/>
      <c r="BM12" s="229"/>
      <c r="BN12" s="229"/>
      <c r="BO12" s="229"/>
      <c r="BP12" s="229"/>
      <c r="BQ12" s="229"/>
      <c r="BR12" s="229"/>
      <c r="BS12" s="229"/>
      <c r="BT12" s="229"/>
      <c r="BU12" s="229"/>
      <c r="BV12" s="229"/>
      <c r="BW12" s="229"/>
      <c r="BX12" s="229"/>
      <c r="BY12" s="229"/>
      <c r="BZ12" s="229"/>
      <c r="CA12" s="229"/>
      <c r="CB12" s="229"/>
      <c r="CC12" s="229"/>
      <c r="CD12" s="229"/>
      <c r="CE12" s="229"/>
      <c r="CF12" s="229"/>
      <c r="CG12" s="229"/>
      <c r="CH12" s="229"/>
      <c r="CI12" s="229"/>
      <c r="CJ12" s="229"/>
      <c r="CK12" s="229"/>
      <c r="CL12" s="229"/>
      <c r="CM12" s="229"/>
      <c r="CN12" s="229"/>
      <c r="CO12" s="229"/>
      <c r="CP12" s="229"/>
      <c r="CQ12" s="229"/>
      <c r="CR12" s="229"/>
      <c r="CS12" s="229"/>
      <c r="CT12" s="229"/>
      <c r="CU12" s="229"/>
      <c r="CV12" s="229"/>
      <c r="CW12" s="229"/>
      <c r="CX12" s="229"/>
      <c r="CY12" s="229"/>
      <c r="CZ12" s="229"/>
      <c r="DA12" s="229"/>
      <c r="DB12" s="229"/>
      <c r="DC12" s="229"/>
      <c r="DD12" s="229"/>
      <c r="DE12" s="229"/>
      <c r="DF12" s="229"/>
      <c r="DG12" s="229"/>
      <c r="DH12" s="229"/>
      <c r="DI12" s="229"/>
      <c r="DJ12" s="229"/>
      <c r="DK12" s="229"/>
      <c r="DL12" s="229"/>
      <c r="DM12" s="229"/>
    </row>
    <row r="13" spans="1:117" ht="15" customHeight="1">
      <c r="A13" s="176" t="s">
        <v>193</v>
      </c>
      <c r="B13" s="231">
        <v>100.03</v>
      </c>
      <c r="C13" s="231">
        <v>98.44</v>
      </c>
    </row>
    <row r="14" spans="1:117" ht="15" customHeight="1">
      <c r="A14" s="176" t="s">
        <v>194</v>
      </c>
      <c r="B14" s="231">
        <v>100.04</v>
      </c>
      <c r="C14" s="231">
        <v>95.7</v>
      </c>
    </row>
    <row r="15" spans="1:117" ht="15" customHeight="1">
      <c r="A15" s="176" t="s">
        <v>195</v>
      </c>
      <c r="B15" s="231">
        <v>99.95</v>
      </c>
      <c r="C15" s="231">
        <v>99.66</v>
      </c>
    </row>
    <row r="16" spans="1:117" ht="15" customHeight="1">
      <c r="A16" s="176" t="s">
        <v>196</v>
      </c>
      <c r="B16" s="231">
        <v>100.23</v>
      </c>
      <c r="C16" s="231">
        <v>93.22</v>
      </c>
    </row>
    <row r="17" spans="1:117" ht="15" customHeight="1">
      <c r="A17" s="232" t="s">
        <v>197</v>
      </c>
      <c r="B17" s="233">
        <v>100.75</v>
      </c>
      <c r="C17" s="233">
        <v>105.45</v>
      </c>
    </row>
    <row r="18" spans="1:117" s="234" customFormat="1" ht="15" customHeight="1">
      <c r="A18" s="176" t="s">
        <v>198</v>
      </c>
      <c r="B18" s="231">
        <v>100.74</v>
      </c>
      <c r="C18" s="231">
        <v>100.96</v>
      </c>
    </row>
    <row r="19" spans="1:117" ht="15" customHeight="1">
      <c r="A19" s="176" t="s">
        <v>199</v>
      </c>
      <c r="B19" s="231">
        <v>99.98</v>
      </c>
      <c r="C19" s="231">
        <v>95.49</v>
      </c>
    </row>
    <row r="20" spans="1:117" ht="15" customHeight="1">
      <c r="A20" s="176" t="s">
        <v>200</v>
      </c>
      <c r="B20" s="231">
        <v>99.95</v>
      </c>
      <c r="C20" s="231">
        <v>101.09</v>
      </c>
    </row>
    <row r="21" spans="1:117" ht="15" customHeight="1">
      <c r="A21" s="176" t="s">
        <v>201</v>
      </c>
      <c r="B21" s="231">
        <v>100.78</v>
      </c>
      <c r="C21" s="231">
        <v>106.85</v>
      </c>
    </row>
    <row r="22" spans="1:117" ht="15" customHeight="1">
      <c r="A22" s="176" t="s">
        <v>202</v>
      </c>
      <c r="B22" s="231">
        <v>100.85</v>
      </c>
      <c r="C22" s="231">
        <v>104.72</v>
      </c>
    </row>
    <row r="23" spans="1:117" ht="15" customHeight="1">
      <c r="A23" s="176" t="s">
        <v>203</v>
      </c>
      <c r="B23" s="231">
        <v>99.66</v>
      </c>
      <c r="C23" s="231">
        <v>105.68</v>
      </c>
    </row>
    <row r="24" spans="1:117" ht="27" customHeight="1">
      <c r="A24" s="176" t="s">
        <v>282</v>
      </c>
      <c r="B24" s="231">
        <v>100.95</v>
      </c>
      <c r="C24" s="231">
        <v>105.82</v>
      </c>
    </row>
    <row r="25" spans="1:117" ht="15.95" customHeight="1">
      <c r="A25" s="176" t="s">
        <v>205</v>
      </c>
      <c r="B25" s="231">
        <v>100.48</v>
      </c>
      <c r="C25" s="231">
        <v>99.72</v>
      </c>
    </row>
    <row r="26" spans="1:117" ht="15" customHeight="1">
      <c r="A26" s="176" t="s">
        <v>206</v>
      </c>
      <c r="B26" s="231">
        <v>100.67</v>
      </c>
      <c r="C26" s="231">
        <v>102.43</v>
      </c>
    </row>
    <row r="27" spans="1:117" ht="15" customHeight="1">
      <c r="A27" s="176" t="s">
        <v>207</v>
      </c>
      <c r="B27" s="231">
        <v>100.16</v>
      </c>
      <c r="C27" s="231">
        <v>102.27</v>
      </c>
    </row>
    <row r="28" spans="1:117" ht="15" customHeight="1">
      <c r="A28" s="176" t="s">
        <v>208</v>
      </c>
      <c r="B28" s="231">
        <v>99.96</v>
      </c>
      <c r="C28" s="231">
        <v>102.05</v>
      </c>
    </row>
    <row r="29" spans="1:117" s="235" customFormat="1" ht="15" customHeight="1">
      <c r="A29" s="176" t="s">
        <v>209</v>
      </c>
      <c r="B29" s="231">
        <v>100.28</v>
      </c>
      <c r="C29" s="231">
        <v>98.38</v>
      </c>
      <c r="D29" s="215"/>
      <c r="E29" s="215"/>
      <c r="F29" s="215"/>
      <c r="G29" s="215"/>
      <c r="H29" s="215"/>
      <c r="I29" s="215"/>
      <c r="J29" s="215"/>
      <c r="K29" s="215"/>
      <c r="L29" s="215"/>
      <c r="M29" s="215"/>
      <c r="N29" s="215"/>
      <c r="O29" s="215"/>
      <c r="P29" s="215"/>
      <c r="Q29" s="215"/>
      <c r="R29" s="215"/>
      <c r="S29" s="215"/>
      <c r="T29" s="215"/>
      <c r="U29" s="215"/>
      <c r="V29" s="215"/>
      <c r="W29" s="215"/>
      <c r="X29" s="215"/>
      <c r="Y29" s="215"/>
      <c r="Z29" s="215"/>
      <c r="AA29" s="215"/>
      <c r="AB29" s="215"/>
      <c r="AC29" s="215"/>
      <c r="AD29" s="215"/>
      <c r="AE29" s="215"/>
      <c r="AF29" s="215"/>
      <c r="AG29" s="215"/>
      <c r="AH29" s="215"/>
      <c r="AI29" s="215"/>
      <c r="AJ29" s="215"/>
      <c r="AK29" s="215"/>
      <c r="AL29" s="215"/>
      <c r="AM29" s="215"/>
      <c r="AN29" s="215"/>
      <c r="AO29" s="215"/>
      <c r="AP29" s="215"/>
      <c r="AQ29" s="215"/>
      <c r="AR29" s="215"/>
      <c r="AS29" s="215"/>
      <c r="AT29" s="215"/>
      <c r="AU29" s="215"/>
      <c r="AV29" s="215"/>
      <c r="AW29" s="215"/>
      <c r="AX29" s="215"/>
      <c r="AY29" s="215"/>
      <c r="AZ29" s="215"/>
      <c r="BA29" s="215"/>
      <c r="BB29" s="215"/>
      <c r="BC29" s="215"/>
      <c r="BD29" s="215"/>
      <c r="BE29" s="215"/>
      <c r="BF29" s="215"/>
      <c r="BG29" s="215"/>
      <c r="BH29" s="215"/>
      <c r="BI29" s="215"/>
      <c r="BJ29" s="215"/>
      <c r="BK29" s="215"/>
      <c r="BL29" s="215"/>
      <c r="BM29" s="215"/>
      <c r="BN29" s="215"/>
      <c r="BO29" s="215"/>
      <c r="BP29" s="215"/>
      <c r="BQ29" s="215"/>
      <c r="BR29" s="215"/>
      <c r="BS29" s="215"/>
      <c r="BT29" s="215"/>
      <c r="BU29" s="215"/>
      <c r="BV29" s="215"/>
      <c r="BW29" s="215"/>
      <c r="BX29" s="215"/>
      <c r="BY29" s="215"/>
      <c r="BZ29" s="215"/>
      <c r="CA29" s="215"/>
      <c r="CB29" s="215"/>
      <c r="CC29" s="215"/>
      <c r="CD29" s="215"/>
      <c r="CE29" s="215"/>
      <c r="CF29" s="215"/>
      <c r="CG29" s="215"/>
      <c r="CH29" s="215"/>
      <c r="CI29" s="215"/>
      <c r="CJ29" s="215"/>
      <c r="CK29" s="215"/>
      <c r="CL29" s="215"/>
      <c r="CM29" s="215"/>
      <c r="CN29" s="215"/>
      <c r="CO29" s="215"/>
      <c r="CP29" s="215"/>
      <c r="CQ29" s="215"/>
      <c r="CR29" s="215"/>
      <c r="CS29" s="215"/>
      <c r="CT29" s="215"/>
      <c r="CU29" s="215"/>
      <c r="CV29" s="215"/>
      <c r="CW29" s="215"/>
      <c r="CX29" s="215"/>
      <c r="CY29" s="215"/>
      <c r="CZ29" s="215"/>
      <c r="DA29" s="215"/>
      <c r="DB29" s="215"/>
      <c r="DC29" s="215"/>
      <c r="DD29" s="215"/>
      <c r="DE29" s="215"/>
      <c r="DF29" s="215"/>
      <c r="DG29" s="215"/>
      <c r="DH29" s="215"/>
      <c r="DI29" s="215"/>
      <c r="DJ29" s="215"/>
      <c r="DK29" s="215"/>
      <c r="DL29" s="215"/>
      <c r="DM29" s="215"/>
    </row>
    <row r="30" spans="1:117" ht="15" customHeight="1">
      <c r="A30" s="176" t="s">
        <v>210</v>
      </c>
      <c r="B30" s="231">
        <v>101.01</v>
      </c>
      <c r="C30" s="231">
        <v>105</v>
      </c>
    </row>
    <row r="31" spans="1:117" ht="15" customHeight="1">
      <c r="A31" s="176" t="s">
        <v>211</v>
      </c>
      <c r="B31" s="231">
        <v>100.33</v>
      </c>
      <c r="C31" s="231">
        <v>98.94</v>
      </c>
    </row>
    <row r="32" spans="1:117" ht="15" customHeight="1">
      <c r="A32" s="176" t="s">
        <v>212</v>
      </c>
      <c r="B32" s="231">
        <v>100.3</v>
      </c>
      <c r="C32" s="231">
        <v>102.04</v>
      </c>
    </row>
    <row r="33" spans="1:3" ht="15" customHeight="1">
      <c r="A33" s="176" t="s">
        <v>283</v>
      </c>
      <c r="B33" s="231">
        <v>101.29</v>
      </c>
      <c r="C33" s="231">
        <v>105.1</v>
      </c>
    </row>
    <row r="34" spans="1:3" ht="15" customHeight="1">
      <c r="A34" s="176" t="s">
        <v>284</v>
      </c>
      <c r="B34" s="231">
        <v>102.57</v>
      </c>
      <c r="C34" s="231">
        <v>109.7</v>
      </c>
    </row>
    <row r="35" spans="1:3" ht="15" customHeight="1">
      <c r="A35" s="176" t="s">
        <v>215</v>
      </c>
      <c r="B35" s="231">
        <v>101.02</v>
      </c>
      <c r="C35" s="231">
        <v>101.27</v>
      </c>
    </row>
    <row r="36" spans="1:3" ht="15" customHeight="1">
      <c r="A36" s="176" t="s">
        <v>216</v>
      </c>
      <c r="B36" s="231">
        <v>99.79</v>
      </c>
      <c r="C36" s="231">
        <v>111.87</v>
      </c>
    </row>
    <row r="37" spans="1:3" s="234" customFormat="1" ht="15" customHeight="1">
      <c r="A37" s="176" t="s">
        <v>217</v>
      </c>
      <c r="B37" s="231">
        <v>100.46</v>
      </c>
      <c r="C37" s="231">
        <v>105.71</v>
      </c>
    </row>
    <row r="38" spans="1:3" s="234" customFormat="1" ht="15" customHeight="1">
      <c r="A38" s="176" t="s">
        <v>218</v>
      </c>
      <c r="B38" s="231">
        <v>101.66</v>
      </c>
      <c r="C38" s="231">
        <v>117.18</v>
      </c>
    </row>
    <row r="39" spans="1:3" ht="15" customHeight="1">
      <c r="A39" s="176" t="s">
        <v>219</v>
      </c>
      <c r="B39" s="231">
        <v>100.36</v>
      </c>
      <c r="C39" s="231">
        <v>103.19</v>
      </c>
    </row>
    <row r="40" spans="1:3" ht="15" customHeight="1">
      <c r="A40" s="176" t="s">
        <v>220</v>
      </c>
      <c r="B40" s="231">
        <v>101.21</v>
      </c>
      <c r="C40" s="231">
        <v>113.07</v>
      </c>
    </row>
    <row r="41" spans="1:3" ht="15" customHeight="1">
      <c r="A41" s="176" t="s">
        <v>221</v>
      </c>
      <c r="B41" s="231">
        <v>101</v>
      </c>
      <c r="C41" s="231">
        <v>105.98</v>
      </c>
    </row>
    <row r="42" spans="1:3" ht="15" customHeight="1">
      <c r="A42" s="236" t="s">
        <v>222</v>
      </c>
      <c r="B42" s="233">
        <v>100.04</v>
      </c>
      <c r="C42" s="233">
        <v>100.15</v>
      </c>
    </row>
    <row r="43" spans="1:3" ht="27" customHeight="1">
      <c r="A43" s="236" t="s">
        <v>223</v>
      </c>
      <c r="B43" s="237">
        <v>99.93</v>
      </c>
      <c r="C43" s="237">
        <v>101.16</v>
      </c>
    </row>
    <row r="44" spans="1:3" ht="15" customHeight="1">
      <c r="A44" s="176" t="s">
        <v>224</v>
      </c>
      <c r="B44" s="231">
        <v>100.08</v>
      </c>
      <c r="C44" s="231">
        <v>99.04</v>
      </c>
    </row>
    <row r="45" spans="1:3" ht="15" customHeight="1">
      <c r="A45" s="176" t="s">
        <v>225</v>
      </c>
      <c r="B45" s="231">
        <v>100.23</v>
      </c>
      <c r="C45" s="231">
        <v>107.11</v>
      </c>
    </row>
    <row r="46" spans="1:3" ht="15" customHeight="1">
      <c r="A46" s="176" t="s">
        <v>285</v>
      </c>
      <c r="B46" s="231">
        <v>99.76</v>
      </c>
      <c r="C46" s="231">
        <v>101.8</v>
      </c>
    </row>
    <row r="47" spans="1:3" ht="15" customHeight="1">
      <c r="A47" s="176" t="s">
        <v>286</v>
      </c>
      <c r="B47" s="231">
        <v>100</v>
      </c>
      <c r="C47" s="231">
        <v>100</v>
      </c>
    </row>
    <row r="48" spans="1:3" ht="15.95" customHeight="1">
      <c r="A48" s="238"/>
    </row>
    <row r="49" spans="1:1" ht="15.95" customHeight="1">
      <c r="A49" s="238"/>
    </row>
    <row r="50" spans="1:1" ht="15.95" customHeight="1">
      <c r="A50" s="238"/>
    </row>
    <row r="51" spans="1:1" ht="16.5" customHeight="1">
      <c r="A51" s="238"/>
    </row>
    <row r="52" spans="1:1" ht="16.5" customHeight="1">
      <c r="A52" s="238"/>
    </row>
    <row r="53" spans="1:1" ht="16.5" customHeight="1">
      <c r="A53" s="238"/>
    </row>
    <row r="54" spans="1:1" ht="16.5" customHeight="1">
      <c r="A54" s="238"/>
    </row>
  </sheetData>
  <mergeCells count="1">
    <mergeCell ref="A1:C1"/>
  </mergeCells>
  <pageMargins left="0.78740157480314998" right="0.47244094488188998" top="0.74803149606299202" bottom="0.47244094488188998" header="0.43307086614173201" footer="0.31496062992126"/>
  <pageSetup paperSize="9" firstPageNumber="27" fitToHeight="0" orientation="portrait" r:id="rId1"/>
  <headerFooter alignWithMargins="0">
    <oddHeader>&amp;C&amp;"Times New Roman,Regular"&amp;13&amp;P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A7A07-2FC4-460E-8B48-DB184256EFEC}">
  <sheetPr>
    <pageSetUpPr fitToPage="1"/>
  </sheetPr>
  <dimension ref="A1:C79"/>
  <sheetViews>
    <sheetView workbookViewId="0">
      <selection activeCell="D28" sqref="D28"/>
    </sheetView>
  </sheetViews>
  <sheetFormatPr defaultColWidth="9.140625" defaultRowHeight="15"/>
  <cols>
    <col min="1" max="1" width="31.42578125" style="246" customWidth="1"/>
    <col min="2" max="3" width="26" style="246" customWidth="1"/>
    <col min="4" max="16384" width="9.140625" style="246"/>
  </cols>
  <sheetData>
    <row r="1" spans="1:3" s="215" customFormat="1" ht="20.100000000000001" customHeight="1">
      <c r="A1" s="239" t="s">
        <v>287</v>
      </c>
      <c r="B1" s="240"/>
      <c r="C1" s="240"/>
    </row>
    <row r="2" spans="1:3" s="215" customFormat="1" ht="20.100000000000001" customHeight="1">
      <c r="A2" s="214" t="s">
        <v>288</v>
      </c>
      <c r="B2" s="214"/>
      <c r="C2" s="214"/>
    </row>
    <row r="3" spans="1:3" s="215" customFormat="1" ht="18" customHeight="1">
      <c r="A3" s="216"/>
      <c r="C3" s="217" t="s">
        <v>155</v>
      </c>
    </row>
    <row r="4" spans="1:3" s="220" customFormat="1" ht="18" customHeight="1">
      <c r="A4" s="218"/>
      <c r="B4" s="219" t="s">
        <v>289</v>
      </c>
      <c r="C4" s="219" t="s">
        <v>289</v>
      </c>
    </row>
    <row r="5" spans="1:3" s="220" customFormat="1" ht="18" customHeight="1">
      <c r="A5" s="221"/>
      <c r="B5" s="241" t="s">
        <v>470</v>
      </c>
      <c r="C5" s="241" t="s">
        <v>470</v>
      </c>
    </row>
    <row r="6" spans="1:3" s="220" customFormat="1" ht="18" customHeight="1">
      <c r="A6" s="221"/>
      <c r="B6" s="224" t="s">
        <v>290</v>
      </c>
      <c r="C6" s="224" t="s">
        <v>291</v>
      </c>
    </row>
    <row r="7" spans="1:3" s="220" customFormat="1" ht="9" customHeight="1">
      <c r="A7" s="221"/>
      <c r="B7" s="222"/>
      <c r="C7" s="222"/>
    </row>
    <row r="8" spans="1:3" s="215" customFormat="1" ht="19.5" customHeight="1">
      <c r="A8" s="242" t="s">
        <v>292</v>
      </c>
      <c r="B8" s="243">
        <v>100.7</v>
      </c>
      <c r="C8" s="243">
        <v>105.07</v>
      </c>
    </row>
    <row r="9" spans="1:3" ht="20.100000000000001" customHeight="1">
      <c r="A9" s="244" t="s">
        <v>45</v>
      </c>
      <c r="B9" s="245">
        <v>100.44</v>
      </c>
      <c r="C9" s="245">
        <v>100.63</v>
      </c>
    </row>
    <row r="10" spans="1:3" ht="20.100000000000001" customHeight="1">
      <c r="A10" s="244" t="s">
        <v>64</v>
      </c>
      <c r="B10" s="245">
        <v>102.6</v>
      </c>
      <c r="C10" s="245">
        <v>104.78</v>
      </c>
    </row>
    <row r="11" spans="1:3" ht="20.100000000000001" customHeight="1">
      <c r="A11" s="244" t="s">
        <v>61</v>
      </c>
      <c r="B11" s="245">
        <v>101.35</v>
      </c>
      <c r="C11" s="245">
        <v>92.22</v>
      </c>
    </row>
    <row r="12" spans="1:3" ht="20.100000000000001" customHeight="1">
      <c r="A12" s="244" t="s">
        <v>55</v>
      </c>
      <c r="B12" s="245">
        <v>100.98</v>
      </c>
      <c r="C12" s="245">
        <v>101.01</v>
      </c>
    </row>
    <row r="13" spans="1:3" ht="20.100000000000001" customHeight="1">
      <c r="A13" s="244" t="s">
        <v>293</v>
      </c>
      <c r="B13" s="245">
        <v>100.02</v>
      </c>
      <c r="C13" s="245">
        <v>102.89</v>
      </c>
    </row>
    <row r="14" spans="1:3" ht="20.100000000000001" customHeight="1">
      <c r="A14" s="244" t="s">
        <v>49</v>
      </c>
      <c r="B14" s="245">
        <v>102.91</v>
      </c>
      <c r="C14" s="245">
        <v>106.94</v>
      </c>
    </row>
    <row r="15" spans="1:3" ht="20.100000000000001" customHeight="1">
      <c r="A15" s="244" t="s">
        <v>47</v>
      </c>
      <c r="B15" s="245">
        <v>101.02</v>
      </c>
      <c r="C15" s="245">
        <v>104.26</v>
      </c>
    </row>
    <row r="16" spans="1:3" ht="20.100000000000001" customHeight="1">
      <c r="A16" s="244" t="s">
        <v>294</v>
      </c>
      <c r="B16" s="245">
        <v>101.37</v>
      </c>
      <c r="C16" s="245">
        <v>112.73</v>
      </c>
    </row>
    <row r="17" spans="1:3" ht="20.100000000000001" customHeight="1">
      <c r="A17" s="244" t="s">
        <v>52</v>
      </c>
      <c r="B17" s="245">
        <v>101.86</v>
      </c>
      <c r="C17" s="245">
        <v>99.97</v>
      </c>
    </row>
    <row r="18" spans="1:3" ht="20.100000000000001" customHeight="1">
      <c r="A18" s="244" t="s">
        <v>58</v>
      </c>
      <c r="B18" s="245">
        <v>101.29</v>
      </c>
      <c r="C18" s="245">
        <v>104.15</v>
      </c>
    </row>
    <row r="19" spans="1:3" ht="20.100000000000001" customHeight="1">
      <c r="A19" s="244" t="s">
        <v>56</v>
      </c>
      <c r="B19" s="245">
        <v>101.06</v>
      </c>
      <c r="C19" s="245">
        <v>104.9</v>
      </c>
    </row>
    <row r="20" spans="1:3" ht="20.100000000000001" customHeight="1">
      <c r="A20" s="244" t="s">
        <v>295</v>
      </c>
      <c r="B20" s="245">
        <v>99.77</v>
      </c>
      <c r="C20" s="245">
        <v>97.47</v>
      </c>
    </row>
    <row r="21" spans="1:3" ht="20.100000000000001" customHeight="1">
      <c r="A21" s="244" t="s">
        <v>296</v>
      </c>
      <c r="B21" s="245">
        <v>99.97</v>
      </c>
      <c r="C21" s="245">
        <v>106.12</v>
      </c>
    </row>
    <row r="22" spans="1:3" ht="20.100000000000001" customHeight="1">
      <c r="A22" s="244" t="s">
        <v>297</v>
      </c>
      <c r="B22" s="245">
        <v>100.55</v>
      </c>
      <c r="C22" s="245">
        <v>109.66</v>
      </c>
    </row>
    <row r="23" spans="1:3" ht="20.100000000000001" customHeight="1">
      <c r="A23" s="244" t="s">
        <v>298</v>
      </c>
      <c r="B23" s="245">
        <v>101.58</v>
      </c>
      <c r="C23" s="245">
        <v>110.35</v>
      </c>
    </row>
    <row r="24" spans="1:3" ht="20.100000000000001" customHeight="1">
      <c r="A24" s="244" t="s">
        <v>299</v>
      </c>
      <c r="B24" s="245">
        <v>99.16</v>
      </c>
      <c r="C24" s="245">
        <v>100.6</v>
      </c>
    </row>
    <row r="25" spans="1:3" ht="20.100000000000001" customHeight="1">
      <c r="A25" s="244" t="s">
        <v>300</v>
      </c>
      <c r="B25" s="245">
        <v>102.5</v>
      </c>
      <c r="C25" s="245">
        <v>105.63</v>
      </c>
    </row>
    <row r="26" spans="1:3" ht="20.100000000000001" customHeight="1">
      <c r="A26" s="244" t="s">
        <v>301</v>
      </c>
      <c r="B26" s="245">
        <v>100.01</v>
      </c>
      <c r="C26" s="245">
        <v>96.76</v>
      </c>
    </row>
    <row r="27" spans="1:3" ht="20.100000000000001" customHeight="1">
      <c r="A27" s="244" t="s">
        <v>302</v>
      </c>
      <c r="B27" s="245">
        <v>100.11</v>
      </c>
      <c r="C27" s="245">
        <v>107.45</v>
      </c>
    </row>
    <row r="28" spans="1:3" ht="20.100000000000001" customHeight="1">
      <c r="A28" s="244" t="s">
        <v>303</v>
      </c>
      <c r="B28" s="245">
        <v>103.44</v>
      </c>
      <c r="C28" s="245">
        <v>121.08</v>
      </c>
    </row>
    <row r="29" spans="1:3" ht="20.100000000000001" customHeight="1">
      <c r="A29" s="244" t="s">
        <v>304</v>
      </c>
      <c r="B29" s="245">
        <v>100.97</v>
      </c>
      <c r="C29" s="245">
        <v>106.37</v>
      </c>
    </row>
    <row r="30" spans="1:3" ht="20.100000000000001" customHeight="1">
      <c r="A30" s="244" t="s">
        <v>305</v>
      </c>
      <c r="B30" s="245">
        <v>100.05</v>
      </c>
      <c r="C30" s="245">
        <v>103.04</v>
      </c>
    </row>
    <row r="31" spans="1:3" ht="20.100000000000001" customHeight="1">
      <c r="A31" s="244" t="s">
        <v>306</v>
      </c>
      <c r="B31" s="245">
        <v>100.55</v>
      </c>
      <c r="C31" s="245">
        <v>99.08</v>
      </c>
    </row>
    <row r="32" spans="1:3" ht="20.100000000000001" customHeight="1">
      <c r="A32" s="244" t="s">
        <v>307</v>
      </c>
      <c r="B32" s="245">
        <v>100.03</v>
      </c>
      <c r="C32" s="245">
        <v>94.41</v>
      </c>
    </row>
    <row r="33" spans="1:3" ht="20.100000000000001" customHeight="1">
      <c r="A33" s="244" t="s">
        <v>60</v>
      </c>
      <c r="B33" s="245">
        <v>101.43</v>
      </c>
      <c r="C33" s="245">
        <v>108.93</v>
      </c>
    </row>
    <row r="34" spans="1:3" ht="20.100000000000001" customHeight="1">
      <c r="A34" s="244" t="s">
        <v>51</v>
      </c>
      <c r="B34" s="245">
        <v>100.33</v>
      </c>
      <c r="C34" s="245">
        <v>107.23</v>
      </c>
    </row>
    <row r="35" spans="1:3" ht="20.100000000000001" customHeight="1">
      <c r="A35" s="244" t="s">
        <v>57</v>
      </c>
      <c r="B35" s="245">
        <v>102.24</v>
      </c>
      <c r="C35" s="245">
        <v>110.45</v>
      </c>
    </row>
    <row r="36" spans="1:3" ht="20.100000000000001" customHeight="1">
      <c r="A36" s="244" t="s">
        <v>308</v>
      </c>
      <c r="B36" s="245">
        <v>101.25</v>
      </c>
      <c r="C36" s="245">
        <v>105.72</v>
      </c>
    </row>
    <row r="37" spans="1:3" ht="20.100000000000001" customHeight="1">
      <c r="A37" s="244" t="s">
        <v>309</v>
      </c>
      <c r="B37" s="245">
        <v>100.31</v>
      </c>
      <c r="C37" s="245">
        <v>102.8</v>
      </c>
    </row>
    <row r="38" spans="1:3" ht="20.100000000000001" customHeight="1">
      <c r="A38" s="244" t="s">
        <v>310</v>
      </c>
      <c r="B38" s="245">
        <v>100.54</v>
      </c>
      <c r="C38" s="245">
        <v>102.23</v>
      </c>
    </row>
    <row r="39" spans="1:3" ht="20.100000000000001" customHeight="1">
      <c r="A39" s="244" t="s">
        <v>311</v>
      </c>
      <c r="B39" s="245">
        <v>100.75</v>
      </c>
      <c r="C39" s="245">
        <v>106.47</v>
      </c>
    </row>
    <row r="40" spans="1:3" s="215" customFormat="1" ht="19.899999999999999" customHeight="1">
      <c r="A40" s="239" t="s">
        <v>312</v>
      </c>
      <c r="B40" s="240"/>
      <c r="C40" s="240"/>
    </row>
    <row r="41" spans="1:3" s="215" customFormat="1" ht="19.899999999999999" customHeight="1">
      <c r="A41" s="247" t="s">
        <v>313</v>
      </c>
      <c r="B41" s="214"/>
      <c r="C41" s="214"/>
    </row>
    <row r="42" spans="1:3" s="215" customFormat="1" ht="19.899999999999999" customHeight="1">
      <c r="A42" s="214"/>
      <c r="B42" s="214"/>
      <c r="C42" s="214"/>
    </row>
    <row r="43" spans="1:3" s="215" customFormat="1" ht="18.399999999999999" customHeight="1">
      <c r="A43" s="216"/>
      <c r="C43" s="217" t="s">
        <v>155</v>
      </c>
    </row>
    <row r="44" spans="1:3" s="220" customFormat="1" ht="18.399999999999999" customHeight="1">
      <c r="A44" s="218"/>
      <c r="B44" s="219" t="s">
        <v>289</v>
      </c>
      <c r="C44" s="219" t="s">
        <v>289</v>
      </c>
    </row>
    <row r="45" spans="1:3" s="220" customFormat="1" ht="18.399999999999999" customHeight="1">
      <c r="A45" s="221"/>
      <c r="B45" s="241" t="s">
        <v>470</v>
      </c>
      <c r="C45" s="241" t="s">
        <v>470</v>
      </c>
    </row>
    <row r="46" spans="1:3" s="220" customFormat="1" ht="18.399999999999999" customHeight="1">
      <c r="A46" s="221"/>
      <c r="B46" s="224" t="s">
        <v>290</v>
      </c>
      <c r="C46" s="224" t="s">
        <v>291</v>
      </c>
    </row>
    <row r="47" spans="1:3" ht="18.399999999999999" customHeight="1">
      <c r="A47" s="248"/>
      <c r="B47" s="249"/>
      <c r="C47" s="249"/>
    </row>
    <row r="48" spans="1:3" ht="18.399999999999999" customHeight="1">
      <c r="A48" s="244" t="s">
        <v>314</v>
      </c>
      <c r="B48" s="245">
        <v>100.43</v>
      </c>
      <c r="C48" s="245">
        <v>106.76</v>
      </c>
    </row>
    <row r="49" spans="1:3" ht="18.399999999999999" customHeight="1">
      <c r="A49" s="244" t="s">
        <v>315</v>
      </c>
      <c r="B49" s="245">
        <v>100.67</v>
      </c>
      <c r="C49" s="245">
        <v>111.09</v>
      </c>
    </row>
    <row r="50" spans="1:3" ht="18.399999999999999" customHeight="1">
      <c r="A50" s="244" t="s">
        <v>316</v>
      </c>
      <c r="B50" s="245">
        <v>98.56</v>
      </c>
      <c r="C50" s="245">
        <v>107.81</v>
      </c>
    </row>
    <row r="51" spans="1:3" ht="18.399999999999999" customHeight="1">
      <c r="A51" s="244" t="s">
        <v>65</v>
      </c>
      <c r="B51" s="245">
        <v>100.39</v>
      </c>
      <c r="C51" s="245">
        <v>103.41</v>
      </c>
    </row>
    <row r="52" spans="1:3" ht="18.399999999999999" customHeight="1">
      <c r="A52" s="244" t="s">
        <v>317</v>
      </c>
      <c r="B52" s="245">
        <v>99.88</v>
      </c>
      <c r="C52" s="245">
        <v>98.29</v>
      </c>
    </row>
    <row r="53" spans="1:3" ht="18.399999999999999" customHeight="1">
      <c r="A53" s="244" t="s">
        <v>318</v>
      </c>
      <c r="B53" s="245">
        <v>99.99</v>
      </c>
      <c r="C53" s="245">
        <v>99.3</v>
      </c>
    </row>
    <row r="54" spans="1:3" ht="18.399999999999999" customHeight="1">
      <c r="A54" s="244" t="s">
        <v>319</v>
      </c>
      <c r="B54" s="245">
        <v>101.05</v>
      </c>
      <c r="C54" s="245">
        <v>115.22</v>
      </c>
    </row>
    <row r="55" spans="1:3" ht="18.399999999999999" customHeight="1">
      <c r="A55" s="244" t="s">
        <v>320</v>
      </c>
      <c r="B55" s="245">
        <v>101.48</v>
      </c>
      <c r="C55" s="245">
        <v>106.52</v>
      </c>
    </row>
    <row r="56" spans="1:3" ht="18.399999999999999" customHeight="1">
      <c r="A56" s="244" t="s">
        <v>321</v>
      </c>
      <c r="B56" s="245">
        <v>99.9</v>
      </c>
      <c r="C56" s="245">
        <v>98.73</v>
      </c>
    </row>
    <row r="57" spans="1:3" ht="18.399999999999999" customHeight="1">
      <c r="A57" s="244" t="s">
        <v>322</v>
      </c>
      <c r="B57" s="245">
        <v>100.32</v>
      </c>
      <c r="C57" s="245">
        <v>100.53</v>
      </c>
    </row>
    <row r="58" spans="1:3" ht="18.399999999999999" customHeight="1">
      <c r="A58" s="244" t="s">
        <v>59</v>
      </c>
      <c r="B58" s="245">
        <v>99.88</v>
      </c>
      <c r="C58" s="245">
        <v>124.39</v>
      </c>
    </row>
    <row r="59" spans="1:3" ht="18.399999999999999" customHeight="1">
      <c r="A59" s="244" t="s">
        <v>323</v>
      </c>
      <c r="B59" s="245">
        <v>100.32</v>
      </c>
      <c r="C59" s="245">
        <v>107.56</v>
      </c>
    </row>
    <row r="60" spans="1:3" ht="18.399999999999999" customHeight="1">
      <c r="A60" s="244" t="s">
        <v>324</v>
      </c>
      <c r="B60" s="245">
        <v>100.56</v>
      </c>
      <c r="C60" s="245">
        <v>100.15</v>
      </c>
    </row>
    <row r="61" spans="1:3" ht="18.399999999999999" customHeight="1">
      <c r="A61" s="244" t="s">
        <v>325</v>
      </c>
      <c r="B61" s="245">
        <v>101.34</v>
      </c>
      <c r="C61" s="245">
        <v>108.84</v>
      </c>
    </row>
    <row r="62" spans="1:3" ht="18.399999999999999" customHeight="1">
      <c r="A62" s="244" t="s">
        <v>326</v>
      </c>
      <c r="B62" s="245">
        <v>99.93</v>
      </c>
      <c r="C62" s="245">
        <v>104.02</v>
      </c>
    </row>
    <row r="63" spans="1:3" ht="18.399999999999999" customHeight="1">
      <c r="A63" s="244" t="s">
        <v>48</v>
      </c>
      <c r="B63" s="245">
        <v>101.56</v>
      </c>
      <c r="C63" s="245">
        <v>107.53</v>
      </c>
    </row>
    <row r="64" spans="1:3" ht="18.399999999999999" customHeight="1">
      <c r="A64" s="244" t="s">
        <v>54</v>
      </c>
      <c r="B64" s="245">
        <v>96.9</v>
      </c>
      <c r="C64" s="245">
        <v>102.97</v>
      </c>
    </row>
    <row r="65" spans="1:3" ht="18.399999999999999" customHeight="1">
      <c r="A65" s="244" t="s">
        <v>50</v>
      </c>
      <c r="B65" s="245">
        <v>101.54</v>
      </c>
      <c r="C65" s="245">
        <v>106.76</v>
      </c>
    </row>
    <row r="66" spans="1:3" ht="18.399999999999999" customHeight="1">
      <c r="A66" s="244" t="s">
        <v>46</v>
      </c>
      <c r="B66" s="245">
        <v>100.51</v>
      </c>
      <c r="C66" s="245">
        <v>103.15</v>
      </c>
    </row>
    <row r="67" spans="1:3" ht="18.399999999999999" customHeight="1">
      <c r="A67" s="244" t="s">
        <v>327</v>
      </c>
      <c r="B67" s="245">
        <v>100.98</v>
      </c>
      <c r="C67" s="245">
        <v>105.53</v>
      </c>
    </row>
    <row r="68" spans="1:3" ht="18.399999999999999" customHeight="1">
      <c r="A68" s="244" t="s">
        <v>328</v>
      </c>
      <c r="B68" s="245">
        <v>100.9</v>
      </c>
      <c r="C68" s="245">
        <v>112.42</v>
      </c>
    </row>
    <row r="69" spans="1:3" ht="18.399999999999999" customHeight="1">
      <c r="A69" s="244" t="s">
        <v>329</v>
      </c>
      <c r="B69" s="245">
        <v>101.77</v>
      </c>
      <c r="C69" s="245">
        <v>113.44</v>
      </c>
    </row>
    <row r="70" spans="1:3" ht="18.399999999999999" customHeight="1">
      <c r="A70" s="244" t="s">
        <v>330</v>
      </c>
      <c r="B70" s="245">
        <v>100.19</v>
      </c>
      <c r="C70" s="245">
        <v>105.74</v>
      </c>
    </row>
    <row r="71" spans="1:3" ht="18.399999999999999" customHeight="1">
      <c r="A71" s="244" t="s">
        <v>331</v>
      </c>
      <c r="B71" s="245">
        <v>100.49</v>
      </c>
      <c r="C71" s="245">
        <v>108.47</v>
      </c>
    </row>
    <row r="72" spans="1:3" ht="18.399999999999999" customHeight="1">
      <c r="A72" s="244" t="s">
        <v>332</v>
      </c>
      <c r="B72" s="245">
        <v>101.38</v>
      </c>
      <c r="C72" s="245">
        <v>98.83</v>
      </c>
    </row>
    <row r="73" spans="1:3" ht="18.399999999999999" customHeight="1">
      <c r="A73" s="244" t="s">
        <v>333</v>
      </c>
      <c r="B73" s="245">
        <v>100.92</v>
      </c>
      <c r="C73" s="245">
        <v>110.73</v>
      </c>
    </row>
    <row r="74" spans="1:3" ht="18.399999999999999" customHeight="1">
      <c r="A74" s="244" t="s">
        <v>334</v>
      </c>
      <c r="B74" s="245">
        <v>102.21</v>
      </c>
      <c r="C74" s="245">
        <v>109.51</v>
      </c>
    </row>
    <row r="75" spans="1:3" ht="18.399999999999999" customHeight="1">
      <c r="A75" s="244" t="s">
        <v>335</v>
      </c>
      <c r="B75" s="245">
        <v>98.9</v>
      </c>
      <c r="C75" s="245">
        <v>95.5</v>
      </c>
    </row>
    <row r="76" spans="1:3" ht="18.399999999999999" customHeight="1">
      <c r="A76" s="244" t="s">
        <v>336</v>
      </c>
      <c r="B76" s="245">
        <v>100.77</v>
      </c>
      <c r="C76" s="245">
        <v>103.74</v>
      </c>
    </row>
    <row r="77" spans="1:3" ht="18.399999999999999" customHeight="1">
      <c r="A77" s="244" t="s">
        <v>337</v>
      </c>
      <c r="B77" s="245">
        <v>101.48</v>
      </c>
      <c r="C77" s="245">
        <v>105.08</v>
      </c>
    </row>
    <row r="78" spans="1:3" ht="18.399999999999999" customHeight="1">
      <c r="A78" s="244" t="s">
        <v>338</v>
      </c>
      <c r="B78" s="245">
        <v>100.36</v>
      </c>
      <c r="C78" s="245">
        <v>133.61000000000001</v>
      </c>
    </row>
    <row r="79" spans="1:3" ht="18.399999999999999" customHeight="1">
      <c r="A79" s="244" t="s">
        <v>339</v>
      </c>
      <c r="B79" s="245">
        <v>102.1</v>
      </c>
      <c r="C79" s="245">
        <v>113.04</v>
      </c>
    </row>
  </sheetData>
  <pageMargins left="0.78740157480314998" right="0.47244094488188998" top="0.74803149606299202" bottom="0.47244094488188998" header="0.43307086614173201" footer="0.31496062992126"/>
  <pageSetup paperSize="9" firstPageNumber="27" fitToHeight="0" orientation="portrait" r:id="rId1"/>
  <headerFooter alignWithMargins="0">
    <oddHeader>&amp;C&amp;"Times New Roman,Regular"&amp;13&amp;P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9F193-C604-444F-8B03-EB0027BCD6C2}">
  <sheetPr>
    <pageSetUpPr fitToPage="1"/>
  </sheetPr>
  <dimension ref="A1:O51"/>
  <sheetViews>
    <sheetView zoomScaleNormal="100" workbookViewId="0">
      <selection activeCell="D28" sqref="D28"/>
    </sheetView>
  </sheetViews>
  <sheetFormatPr defaultColWidth="7.5703125" defaultRowHeight="14.25"/>
  <cols>
    <col min="1" max="1" width="37.140625" style="406" customWidth="1"/>
    <col min="2" max="3" width="9.42578125" style="406" customWidth="1"/>
    <col min="4" max="4" width="9.28515625" style="406" customWidth="1"/>
    <col min="5" max="5" width="8.7109375" style="406" customWidth="1"/>
    <col min="6" max="6" width="9.5703125" style="406" customWidth="1"/>
    <col min="7" max="7" width="11.28515625" style="406" customWidth="1"/>
    <col min="8" max="8" width="7.5703125" style="406" hidden="1" customWidth="1"/>
    <col min="9" max="9" width="9.42578125" style="406" hidden="1" customWidth="1"/>
    <col min="10" max="10" width="10.5703125" style="406" hidden="1" customWidth="1"/>
    <col min="11" max="11" width="3.140625" style="406" hidden="1" customWidth="1"/>
    <col min="12" max="15" width="7.5703125" style="406" hidden="1" customWidth="1"/>
    <col min="16" max="16" width="7.5703125" style="406" customWidth="1"/>
    <col min="17" max="16384" width="7.5703125" style="406"/>
  </cols>
  <sheetData>
    <row r="1" spans="1:14" s="371" customFormat="1" ht="20.100000000000001" customHeight="1">
      <c r="A1" s="370" t="s">
        <v>416</v>
      </c>
    </row>
    <row r="2" spans="1:14" s="373" customFormat="1" ht="20.100000000000001" customHeight="1">
      <c r="A2" s="372"/>
    </row>
    <row r="3" spans="1:14" s="375" customFormat="1" ht="20.100000000000001" customHeight="1">
      <c r="A3" s="374"/>
      <c r="E3" s="376"/>
      <c r="F3" s="377"/>
      <c r="L3" s="378" t="s">
        <v>342</v>
      </c>
      <c r="M3" s="379" t="s">
        <v>417</v>
      </c>
      <c r="N3" s="379" t="s">
        <v>418</v>
      </c>
    </row>
    <row r="4" spans="1:14" s="384" customFormat="1" ht="16.899999999999999" customHeight="1">
      <c r="A4" s="380"/>
      <c r="B4" s="381" t="s">
        <v>161</v>
      </c>
      <c r="C4" s="381" t="s">
        <v>159</v>
      </c>
      <c r="D4" s="382" t="s">
        <v>71</v>
      </c>
      <c r="E4" s="476" t="s">
        <v>68</v>
      </c>
      <c r="F4" s="476"/>
      <c r="G4" s="383" t="s">
        <v>71</v>
      </c>
      <c r="I4" s="381" t="s">
        <v>159</v>
      </c>
      <c r="J4" s="382" t="s">
        <v>71</v>
      </c>
      <c r="L4" s="385">
        <f>(D10+D14)/1000</f>
        <v>89.948999999999998</v>
      </c>
      <c r="M4" s="386">
        <f>L4/L5*100-100</f>
        <v>9.9486615328199406</v>
      </c>
      <c r="N4" s="387">
        <f>L4/4</f>
        <v>22.48725</v>
      </c>
    </row>
    <row r="5" spans="1:14" s="384" customFormat="1" ht="16.899999999999999" customHeight="1">
      <c r="B5" s="388" t="s">
        <v>28</v>
      </c>
      <c r="C5" s="388" t="s">
        <v>28</v>
      </c>
      <c r="D5" s="388" t="s">
        <v>28</v>
      </c>
      <c r="E5" s="477" t="s">
        <v>419</v>
      </c>
      <c r="F5" s="477"/>
      <c r="G5" s="389" t="s">
        <v>73</v>
      </c>
      <c r="I5" s="388" t="s">
        <v>28</v>
      </c>
      <c r="J5" s="388" t="s">
        <v>28</v>
      </c>
      <c r="L5" s="390">
        <f>(J10+J14)/1000</f>
        <v>81.81</v>
      </c>
      <c r="M5" s="390"/>
      <c r="N5" s="390"/>
    </row>
    <row r="6" spans="1:14" s="384" customFormat="1" ht="16.899999999999999" customHeight="1">
      <c r="B6" s="388">
        <v>2025</v>
      </c>
      <c r="C6" s="388">
        <v>2025</v>
      </c>
      <c r="D6" s="388">
        <v>2025</v>
      </c>
      <c r="E6" s="391" t="s">
        <v>161</v>
      </c>
      <c r="F6" s="391" t="s">
        <v>159</v>
      </c>
      <c r="G6" s="389" t="s">
        <v>186</v>
      </c>
      <c r="I6" s="388">
        <v>2024</v>
      </c>
      <c r="J6" s="388">
        <v>2024</v>
      </c>
      <c r="N6" s="390"/>
    </row>
    <row r="7" spans="1:14" s="384" customFormat="1" ht="16.899999999999999" customHeight="1">
      <c r="B7" s="388"/>
      <c r="C7" s="388"/>
      <c r="D7" s="388"/>
      <c r="E7" s="391" t="s">
        <v>28</v>
      </c>
      <c r="F7" s="391" t="s">
        <v>28</v>
      </c>
      <c r="G7" s="389" t="s">
        <v>357</v>
      </c>
      <c r="I7" s="388"/>
      <c r="J7" s="388"/>
      <c r="L7" s="385">
        <f>SUM(D15:D17)/1000</f>
        <v>96.522999999999996</v>
      </c>
      <c r="M7" s="390">
        <f>L7/L8*100-100</f>
        <v>12.232131437275441</v>
      </c>
      <c r="N7" s="387">
        <f>L7/4</f>
        <v>24.130749999999999</v>
      </c>
    </row>
    <row r="8" spans="1:14" s="384" customFormat="1" ht="16.899999999999999" customHeight="1">
      <c r="B8" s="392"/>
      <c r="C8" s="392"/>
      <c r="D8" s="392"/>
      <c r="E8" s="393">
        <v>2025</v>
      </c>
      <c r="F8" s="393">
        <v>2024</v>
      </c>
      <c r="G8" s="394" t="s">
        <v>420</v>
      </c>
      <c r="I8" s="392"/>
      <c r="J8" s="392"/>
      <c r="L8" s="390">
        <f>SUM(J15:J17)/1000</f>
        <v>86.003</v>
      </c>
    </row>
    <row r="9" spans="1:14" s="384" customFormat="1" ht="15.95" customHeight="1">
      <c r="B9" s="395"/>
      <c r="C9" s="395"/>
      <c r="D9" s="395"/>
      <c r="I9" s="395"/>
      <c r="J9" s="395"/>
    </row>
    <row r="10" spans="1:14" s="384" customFormat="1" ht="30" customHeight="1">
      <c r="A10" s="396" t="s">
        <v>421</v>
      </c>
      <c r="B10" s="397">
        <v>15619</v>
      </c>
      <c r="C10" s="397">
        <v>15228</v>
      </c>
      <c r="D10" s="397">
        <v>51628</v>
      </c>
      <c r="E10" s="398">
        <f t="shared" ref="E10:E17" si="0">C10/B10*100</f>
        <v>97.49663870926436</v>
      </c>
      <c r="F10" s="398">
        <f t="shared" ref="F10:G17" si="1">C10/I10*100</f>
        <v>107.39069111424541</v>
      </c>
      <c r="G10" s="398">
        <f t="shared" si="1"/>
        <v>99.092147943417601</v>
      </c>
      <c r="H10" s="390"/>
      <c r="I10" s="399">
        <v>14180</v>
      </c>
      <c r="J10" s="399">
        <v>52101</v>
      </c>
      <c r="L10" s="390">
        <f t="shared" ref="L10:N17" si="2">E10-100</f>
        <v>-2.50336129073564</v>
      </c>
      <c r="M10" s="390">
        <f t="shared" si="2"/>
        <v>7.3906911142454135</v>
      </c>
      <c r="N10" s="390">
        <f t="shared" si="2"/>
        <v>-0.90785205658239931</v>
      </c>
    </row>
    <row r="11" spans="1:14" s="384" customFormat="1" ht="30" customHeight="1">
      <c r="A11" s="396" t="s">
        <v>422</v>
      </c>
      <c r="B11" s="397">
        <v>126303.95300000001</v>
      </c>
      <c r="C11" s="397">
        <v>133644</v>
      </c>
      <c r="D11" s="397">
        <v>490396</v>
      </c>
      <c r="E11" s="398">
        <f t="shared" si="0"/>
        <v>105.81141510274028</v>
      </c>
      <c r="F11" s="398">
        <f t="shared" si="1"/>
        <v>76.485702317582493</v>
      </c>
      <c r="G11" s="398">
        <f t="shared" si="1"/>
        <v>93.055659987329037</v>
      </c>
      <c r="H11" s="400"/>
      <c r="I11" s="399">
        <v>174730.69599999997</v>
      </c>
      <c r="J11" s="399">
        <v>526992.125</v>
      </c>
      <c r="L11" s="390">
        <f t="shared" si="2"/>
        <v>5.8114151027402841</v>
      </c>
      <c r="M11" s="390">
        <f t="shared" si="2"/>
        <v>-23.514297682417507</v>
      </c>
      <c r="N11" s="390">
        <f t="shared" si="2"/>
        <v>-6.9443400126709633</v>
      </c>
    </row>
    <row r="12" spans="1:14" s="384" customFormat="1" ht="30" customHeight="1">
      <c r="A12" s="396" t="s">
        <v>423</v>
      </c>
      <c r="B12" s="397">
        <v>87517</v>
      </c>
      <c r="C12" s="397">
        <v>127593</v>
      </c>
      <c r="D12" s="397">
        <v>355792</v>
      </c>
      <c r="E12" s="398">
        <f>C12/B12*100</f>
        <v>145.79224607790485</v>
      </c>
      <c r="F12" s="398">
        <f>C12/I12*100</f>
        <v>151.51763448521552</v>
      </c>
      <c r="G12" s="398">
        <f t="shared" si="1"/>
        <v>101.21500564688881</v>
      </c>
      <c r="H12" s="390"/>
      <c r="I12" s="401">
        <v>84210</v>
      </c>
      <c r="J12" s="401">
        <v>351521</v>
      </c>
      <c r="L12" s="390">
        <f t="shared" si="2"/>
        <v>45.792246077904849</v>
      </c>
      <c r="M12" s="390">
        <f t="shared" si="2"/>
        <v>51.517634485215524</v>
      </c>
      <c r="N12" s="390">
        <f t="shared" si="2"/>
        <v>1.2150056468888124</v>
      </c>
    </row>
    <row r="13" spans="1:14" s="384" customFormat="1" ht="30" customHeight="1">
      <c r="A13" s="402" t="s">
        <v>424</v>
      </c>
      <c r="B13" s="403">
        <f>B11/B10</f>
        <v>8.0865582303604597</v>
      </c>
      <c r="C13" s="403">
        <f t="shared" ref="C13:D13" si="3">C11/C10</f>
        <v>8.7762017336485414</v>
      </c>
      <c r="D13" s="403">
        <f t="shared" si="3"/>
        <v>9.4986441465871234</v>
      </c>
      <c r="E13" s="398">
        <f t="shared" si="0"/>
        <v>108.52826979837799</v>
      </c>
      <c r="F13" s="398">
        <f t="shared" si="1"/>
        <v>71.221910878862602</v>
      </c>
      <c r="G13" s="398">
        <f t="shared" si="1"/>
        <v>93.908207581154215</v>
      </c>
      <c r="H13" s="390"/>
      <c r="I13" s="403">
        <f t="shared" ref="I13:J13" si="4">I11/I10</f>
        <v>12.322333991537374</v>
      </c>
      <c r="J13" s="403">
        <f t="shared" si="4"/>
        <v>10.114817853783997</v>
      </c>
      <c r="L13" s="390">
        <f t="shared" si="2"/>
        <v>8.5282697983779912</v>
      </c>
      <c r="M13" s="390">
        <f t="shared" si="2"/>
        <v>-28.778089121137398</v>
      </c>
      <c r="N13" s="390">
        <f t="shared" si="2"/>
        <v>-6.0917924188457846</v>
      </c>
    </row>
    <row r="14" spans="1:14" s="384" customFormat="1" ht="30" customHeight="1">
      <c r="A14" s="396" t="s">
        <v>425</v>
      </c>
      <c r="B14" s="397">
        <v>9122</v>
      </c>
      <c r="C14" s="397">
        <v>9014</v>
      </c>
      <c r="D14" s="397">
        <v>38321</v>
      </c>
      <c r="E14" s="398">
        <f t="shared" si="0"/>
        <v>98.816049112036836</v>
      </c>
      <c r="F14" s="398">
        <f t="shared" si="1"/>
        <v>108.5108944263874</v>
      </c>
      <c r="G14" s="398">
        <f t="shared" si="1"/>
        <v>128.98784880002694</v>
      </c>
      <c r="H14" s="390"/>
      <c r="I14" s="397">
        <v>8307</v>
      </c>
      <c r="J14" s="397">
        <v>29709</v>
      </c>
      <c r="L14" s="390">
        <f t="shared" si="2"/>
        <v>-1.1839508879631637</v>
      </c>
      <c r="M14" s="390">
        <f>F14-100</f>
        <v>8.5108944263873951</v>
      </c>
      <c r="N14" s="390">
        <f t="shared" si="2"/>
        <v>28.987848800026939</v>
      </c>
    </row>
    <row r="15" spans="1:14" s="404" customFormat="1" ht="30" customHeight="1">
      <c r="A15" s="402" t="s">
        <v>426</v>
      </c>
      <c r="B15" s="397">
        <v>4392</v>
      </c>
      <c r="C15" s="397">
        <v>7184</v>
      </c>
      <c r="D15" s="397">
        <v>68726</v>
      </c>
      <c r="E15" s="398">
        <f t="shared" si="0"/>
        <v>163.57012750455374</v>
      </c>
      <c r="F15" s="398">
        <f t="shared" si="1"/>
        <v>94.302966657915462</v>
      </c>
      <c r="G15" s="398">
        <f t="shared" si="1"/>
        <v>112.90248390064397</v>
      </c>
      <c r="H15" s="390"/>
      <c r="I15" s="397">
        <v>7618</v>
      </c>
      <c r="J15" s="397">
        <v>60872</v>
      </c>
      <c r="L15" s="390">
        <f t="shared" si="2"/>
        <v>63.570127504553739</v>
      </c>
      <c r="M15" s="390">
        <f t="shared" si="2"/>
        <v>-5.6970333420845378</v>
      </c>
      <c r="N15" s="390">
        <f t="shared" si="2"/>
        <v>12.902483900643972</v>
      </c>
    </row>
    <row r="16" spans="1:14" s="404" customFormat="1" ht="30" customHeight="1">
      <c r="A16" s="402" t="s">
        <v>427</v>
      </c>
      <c r="B16" s="397">
        <v>4899</v>
      </c>
      <c r="C16" s="397">
        <v>8989</v>
      </c>
      <c r="D16" s="397">
        <v>20152</v>
      </c>
      <c r="E16" s="398">
        <f t="shared" si="0"/>
        <v>183.48642580118391</v>
      </c>
      <c r="F16" s="398">
        <f t="shared" si="1"/>
        <v>193.0627147766323</v>
      </c>
      <c r="G16" s="398">
        <f t="shared" si="1"/>
        <v>105.69600335676073</v>
      </c>
      <c r="H16" s="390"/>
      <c r="I16" s="397">
        <v>4656</v>
      </c>
      <c r="J16" s="397">
        <v>19066</v>
      </c>
      <c r="L16" s="390">
        <f t="shared" si="2"/>
        <v>83.486425801183913</v>
      </c>
      <c r="M16" s="390">
        <f t="shared" si="2"/>
        <v>93.062714776632305</v>
      </c>
      <c r="N16" s="390">
        <f t="shared" si="2"/>
        <v>5.6960033567607269</v>
      </c>
    </row>
    <row r="17" spans="1:14" s="404" customFormat="1" ht="30" customHeight="1">
      <c r="A17" s="396" t="s">
        <v>428</v>
      </c>
      <c r="B17" s="397">
        <v>2137</v>
      </c>
      <c r="C17" s="397">
        <v>1750</v>
      </c>
      <c r="D17" s="397">
        <v>7645</v>
      </c>
      <c r="E17" s="398">
        <f t="shared" si="0"/>
        <v>81.890500701918583</v>
      </c>
      <c r="F17" s="398">
        <f t="shared" si="1"/>
        <v>137.36263736263737</v>
      </c>
      <c r="G17" s="398">
        <f t="shared" si="1"/>
        <v>126.05111294311624</v>
      </c>
      <c r="H17" s="390"/>
      <c r="I17" s="405">
        <v>1274</v>
      </c>
      <c r="J17" s="405">
        <v>6065</v>
      </c>
      <c r="L17" s="390">
        <f t="shared" si="2"/>
        <v>-18.109499298081417</v>
      </c>
      <c r="M17" s="390">
        <f t="shared" si="2"/>
        <v>37.362637362637372</v>
      </c>
      <c r="N17" s="390">
        <f t="shared" si="2"/>
        <v>26.051112943116237</v>
      </c>
    </row>
    <row r="18" spans="1:14" s="404" customFormat="1" ht="20.100000000000001" customHeight="1">
      <c r="A18" s="406"/>
      <c r="B18" s="407"/>
      <c r="C18" s="407"/>
      <c r="D18" s="407"/>
      <c r="E18" s="406"/>
      <c r="F18" s="406"/>
      <c r="G18" s="406"/>
      <c r="I18" s="407"/>
      <c r="J18" s="407"/>
    </row>
    <row r="19" spans="1:14">
      <c r="C19" s="407"/>
      <c r="D19" s="407"/>
    </row>
    <row r="20" spans="1:14">
      <c r="C20" s="407"/>
      <c r="D20" s="408"/>
    </row>
    <row r="21" spans="1:14">
      <c r="D21" s="407"/>
    </row>
    <row r="22" spans="1:14" ht="20.100000000000001" customHeight="1"/>
    <row r="23" spans="1:14" ht="20.100000000000001" customHeight="1"/>
    <row r="24" spans="1:14" ht="20.100000000000001" customHeight="1"/>
    <row r="25" spans="1:14" ht="20.100000000000001" customHeight="1"/>
    <row r="26" spans="1:14" ht="20.100000000000001" customHeight="1"/>
    <row r="27" spans="1:14" ht="20.100000000000001" customHeight="1"/>
    <row r="28" spans="1:14" ht="21.6" customHeight="1"/>
    <row r="29" spans="1:14" ht="21.6" customHeight="1"/>
    <row r="30" spans="1:14" ht="21.6" customHeight="1"/>
    <row r="40" spans="1:10" ht="15">
      <c r="A40" s="409"/>
      <c r="B40" s="409"/>
      <c r="C40" s="409"/>
      <c r="D40" s="409"/>
      <c r="E40" s="409"/>
      <c r="F40" s="409"/>
      <c r="G40" s="409"/>
      <c r="I40" s="409"/>
      <c r="J40" s="409"/>
    </row>
    <row r="41" spans="1:10" ht="15">
      <c r="A41" s="409"/>
      <c r="B41" s="409"/>
      <c r="C41" s="409"/>
      <c r="D41" s="409"/>
      <c r="E41" s="409"/>
      <c r="F41" s="409"/>
      <c r="G41" s="409"/>
      <c r="I41" s="409"/>
      <c r="J41" s="409"/>
    </row>
    <row r="42" spans="1:10" ht="15">
      <c r="A42" s="409"/>
      <c r="B42" s="409"/>
      <c r="C42" s="409"/>
      <c r="D42" s="409"/>
      <c r="E42" s="409"/>
      <c r="F42" s="409"/>
      <c r="G42" s="409"/>
      <c r="I42" s="409"/>
      <c r="J42" s="409"/>
    </row>
    <row r="43" spans="1:10" ht="15">
      <c r="A43" s="409"/>
      <c r="B43" s="409"/>
      <c r="C43" s="409"/>
      <c r="D43" s="409"/>
      <c r="E43" s="409"/>
      <c r="F43" s="409"/>
      <c r="G43" s="409"/>
      <c r="I43" s="409"/>
      <c r="J43" s="409"/>
    </row>
    <row r="44" spans="1:10" ht="15">
      <c r="A44" s="409"/>
      <c r="B44" s="409"/>
      <c r="C44" s="409"/>
      <c r="D44" s="409"/>
      <c r="E44" s="409"/>
      <c r="F44" s="409"/>
      <c r="G44" s="409"/>
      <c r="I44" s="409"/>
      <c r="J44" s="409"/>
    </row>
    <row r="45" spans="1:10" ht="15">
      <c r="A45" s="409"/>
      <c r="B45" s="409"/>
      <c r="C45" s="409"/>
      <c r="D45" s="409"/>
      <c r="E45" s="409"/>
      <c r="F45" s="409"/>
      <c r="G45" s="409"/>
      <c r="I45" s="409"/>
      <c r="J45" s="409"/>
    </row>
    <row r="46" spans="1:10" ht="15">
      <c r="A46" s="409"/>
      <c r="B46" s="409"/>
      <c r="C46" s="409"/>
      <c r="D46" s="409"/>
      <c r="E46" s="409"/>
      <c r="F46" s="409"/>
      <c r="G46" s="409"/>
      <c r="I46" s="409"/>
      <c r="J46" s="409"/>
    </row>
    <row r="47" spans="1:10" ht="15">
      <c r="A47" s="409"/>
      <c r="B47" s="409"/>
      <c r="C47" s="409"/>
      <c r="D47" s="409"/>
      <c r="E47" s="409"/>
      <c r="F47" s="409"/>
      <c r="G47" s="409"/>
      <c r="I47" s="409"/>
      <c r="J47" s="409"/>
    </row>
    <row r="48" spans="1:10" ht="15">
      <c r="A48" s="409"/>
      <c r="B48" s="409"/>
      <c r="C48" s="409"/>
      <c r="D48" s="409"/>
      <c r="E48" s="409"/>
      <c r="F48" s="409"/>
      <c r="G48" s="409"/>
      <c r="I48" s="409"/>
      <c r="J48" s="409"/>
    </row>
    <row r="49" spans="1:10" ht="15">
      <c r="A49" s="409"/>
      <c r="B49" s="409"/>
      <c r="C49" s="409"/>
      <c r="D49" s="409"/>
      <c r="E49" s="409"/>
      <c r="F49" s="409"/>
      <c r="G49" s="409"/>
      <c r="I49" s="409"/>
      <c r="J49" s="409"/>
    </row>
    <row r="50" spans="1:10" ht="15">
      <c r="A50" s="409"/>
      <c r="B50" s="409"/>
      <c r="C50" s="409"/>
      <c r="D50" s="409"/>
      <c r="E50" s="409"/>
      <c r="F50" s="409"/>
      <c r="G50" s="409"/>
      <c r="I50" s="409"/>
      <c r="J50" s="409"/>
    </row>
    <row r="51" spans="1:10" ht="15">
      <c r="A51" s="409"/>
      <c r="B51" s="409"/>
      <c r="C51" s="409"/>
      <c r="D51" s="409"/>
      <c r="E51" s="409"/>
      <c r="F51" s="409"/>
      <c r="G51" s="409"/>
      <c r="I51" s="409"/>
      <c r="J51" s="409"/>
    </row>
  </sheetData>
  <mergeCells count="2">
    <mergeCell ref="E4:F4"/>
    <mergeCell ref="E5:F5"/>
  </mergeCells>
  <pageMargins left="0.78740157480314998" right="0.47244094488188998" top="0.74803149606299202" bottom="0.47244094488188998" header="0.43307086614173201" footer="0.31496062992126"/>
  <pageSetup paperSize="9" scale="94" firstPageNumber="27" fitToHeight="0" orientation="portrait" r:id="rId1"/>
  <headerFooter alignWithMargins="0">
    <oddHeader>&amp;C&amp;"Times New Roman,Regular"&amp;13&amp;P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64B19-120C-4B1A-8AF0-3E10915BB3F0}">
  <sheetPr>
    <pageSetUpPr fitToPage="1"/>
  </sheetPr>
  <dimension ref="A1:M67"/>
  <sheetViews>
    <sheetView zoomScaleNormal="100" workbookViewId="0">
      <selection activeCell="D28" sqref="D28"/>
    </sheetView>
  </sheetViews>
  <sheetFormatPr defaultColWidth="8.7109375" defaultRowHeight="12.75"/>
  <cols>
    <col min="1" max="1" width="1.28515625" style="373" customWidth="1"/>
    <col min="2" max="2" width="40.28515625" style="373" customWidth="1"/>
    <col min="3" max="5" width="8.140625" style="373" customWidth="1"/>
    <col min="6" max="6" width="0.42578125" style="373" customWidth="1"/>
    <col min="7" max="7" width="7.140625" style="373" customWidth="1"/>
    <col min="8" max="8" width="7.7109375" style="373" customWidth="1"/>
    <col min="9" max="9" width="6.7109375" style="373" customWidth="1"/>
    <col min="10" max="10" width="0.42578125" style="373" hidden="1" customWidth="1"/>
    <col min="11" max="11" width="8.140625" style="373" hidden="1" customWidth="1"/>
    <col min="12" max="12" width="9.28515625" style="373" hidden="1" customWidth="1"/>
    <col min="13" max="13" width="8.140625" style="373" hidden="1" customWidth="1"/>
    <col min="14" max="14" width="8.7109375" style="373" customWidth="1"/>
    <col min="15" max="16384" width="8.7109375" style="373"/>
  </cols>
  <sheetData>
    <row r="1" spans="1:13" s="371" customFormat="1" ht="20.100000000000001" customHeight="1">
      <c r="A1" s="370" t="s">
        <v>429</v>
      </c>
      <c r="B1" s="370"/>
      <c r="C1" s="410"/>
      <c r="D1" s="410"/>
      <c r="E1" s="410"/>
      <c r="F1" s="410"/>
      <c r="G1" s="410"/>
      <c r="K1" s="410"/>
      <c r="L1" s="410"/>
      <c r="M1" s="410"/>
    </row>
    <row r="2" spans="1:13" ht="20.100000000000001" customHeight="1">
      <c r="A2" s="372"/>
      <c r="B2" s="372"/>
      <c r="C2" s="384"/>
      <c r="D2" s="384"/>
      <c r="E2" s="384"/>
      <c r="F2" s="384"/>
      <c r="G2" s="384"/>
      <c r="K2" s="384"/>
      <c r="L2" s="384"/>
      <c r="M2" s="384"/>
    </row>
    <row r="3" spans="1:13" s="375" customFormat="1" ht="20.100000000000001" customHeight="1">
      <c r="A3" s="374"/>
      <c r="B3" s="374"/>
      <c r="C3" s="374"/>
      <c r="D3" s="374"/>
      <c r="E3" s="374"/>
      <c r="F3" s="374"/>
      <c r="G3" s="411"/>
      <c r="K3" s="374"/>
      <c r="L3" s="374"/>
      <c r="M3" s="374"/>
    </row>
    <row r="4" spans="1:13" s="375" customFormat="1" ht="15" customHeight="1">
      <c r="A4" s="412"/>
      <c r="B4" s="412"/>
      <c r="C4" s="478" t="s">
        <v>69</v>
      </c>
      <c r="D4" s="479"/>
      <c r="E4" s="479"/>
      <c r="F4" s="193"/>
      <c r="G4" s="481" t="s">
        <v>430</v>
      </c>
      <c r="H4" s="482"/>
      <c r="I4" s="482"/>
      <c r="K4" s="478" t="s">
        <v>431</v>
      </c>
      <c r="L4" s="478"/>
      <c r="M4" s="478"/>
    </row>
    <row r="5" spans="1:13" s="375" customFormat="1" ht="15" customHeight="1">
      <c r="A5" s="415"/>
      <c r="B5" s="415"/>
      <c r="C5" s="480"/>
      <c r="D5" s="480"/>
      <c r="E5" s="480"/>
      <c r="F5" s="195"/>
      <c r="G5" s="484" t="s">
        <v>432</v>
      </c>
      <c r="H5" s="484"/>
      <c r="I5" s="484"/>
      <c r="K5" s="483"/>
      <c r="L5" s="483"/>
      <c r="M5" s="483"/>
    </row>
    <row r="6" spans="1:13" s="375" customFormat="1" ht="15" customHeight="1">
      <c r="A6" s="415"/>
      <c r="B6" s="415"/>
      <c r="C6" s="414" t="s">
        <v>433</v>
      </c>
      <c r="D6" s="414" t="s">
        <v>434</v>
      </c>
      <c r="E6" s="414" t="s">
        <v>435</v>
      </c>
      <c r="F6" s="195"/>
      <c r="G6" s="414" t="s">
        <v>433</v>
      </c>
      <c r="H6" s="414" t="s">
        <v>434</v>
      </c>
      <c r="I6" s="414" t="s">
        <v>435</v>
      </c>
      <c r="K6" s="414" t="s">
        <v>433</v>
      </c>
      <c r="L6" s="414" t="s">
        <v>434</v>
      </c>
      <c r="M6" s="414" t="s">
        <v>435</v>
      </c>
    </row>
    <row r="7" spans="1:13" s="375" customFormat="1" ht="15" customHeight="1">
      <c r="A7" s="415"/>
      <c r="B7" s="415"/>
      <c r="C7" s="417" t="s">
        <v>436</v>
      </c>
      <c r="D7" s="417" t="s">
        <v>437</v>
      </c>
      <c r="E7" s="417" t="s">
        <v>438</v>
      </c>
      <c r="F7" s="195"/>
      <c r="G7" s="417" t="s">
        <v>439</v>
      </c>
      <c r="H7" s="417" t="s">
        <v>437</v>
      </c>
      <c r="I7" s="417" t="s">
        <v>438</v>
      </c>
      <c r="K7" s="417" t="s">
        <v>436</v>
      </c>
      <c r="L7" s="417" t="s">
        <v>437</v>
      </c>
      <c r="M7" s="417" t="s">
        <v>438</v>
      </c>
    </row>
    <row r="8" spans="1:13" s="375" customFormat="1" ht="15" customHeight="1">
      <c r="A8" s="415"/>
      <c r="B8" s="415"/>
      <c r="C8" s="416" t="s">
        <v>440</v>
      </c>
      <c r="D8" s="416" t="s">
        <v>346</v>
      </c>
      <c r="E8" s="416" t="s">
        <v>441</v>
      </c>
      <c r="F8" s="199"/>
      <c r="G8" s="416" t="s">
        <v>442</v>
      </c>
      <c r="H8" s="416"/>
      <c r="I8" s="416"/>
      <c r="K8" s="416" t="s">
        <v>440</v>
      </c>
      <c r="L8" s="416" t="s">
        <v>346</v>
      </c>
      <c r="M8" s="416" t="s">
        <v>441</v>
      </c>
    </row>
    <row r="9" spans="1:13" s="375" customFormat="1" ht="20.100000000000001" customHeight="1">
      <c r="A9" s="374"/>
      <c r="B9" s="374"/>
      <c r="C9" s="195"/>
      <c r="D9" s="195"/>
      <c r="E9" s="195"/>
      <c r="F9" s="195"/>
      <c r="G9" s="195"/>
      <c r="K9" s="195"/>
      <c r="L9" s="195"/>
      <c r="M9" s="195"/>
    </row>
    <row r="10" spans="1:13" s="421" customFormat="1" ht="20.100000000000001" customHeight="1">
      <c r="A10" s="418" t="s">
        <v>32</v>
      </c>
      <c r="B10" s="418"/>
      <c r="C10" s="419">
        <f>C12+C13+C18</f>
        <v>51628</v>
      </c>
      <c r="D10" s="419">
        <f t="shared" ref="D10:E10" si="0">D12+D13+D18</f>
        <v>490396.19999999995</v>
      </c>
      <c r="E10" s="419">
        <f t="shared" si="0"/>
        <v>355792</v>
      </c>
      <c r="F10" s="419"/>
      <c r="G10" s="420">
        <f>C10/K10*100</f>
        <v>99.092147943417601</v>
      </c>
      <c r="H10" s="420">
        <f>D10/L10*100</f>
        <v>93.055697938560272</v>
      </c>
      <c r="I10" s="420">
        <f>E10/M10*100</f>
        <v>101.21500564688881</v>
      </c>
      <c r="K10" s="419">
        <f>K12+K13+K18</f>
        <v>52101</v>
      </c>
      <c r="L10" s="419">
        <f t="shared" ref="L10:M10" si="1">L12+L13+L18</f>
        <v>526992.125</v>
      </c>
      <c r="M10" s="419">
        <f t="shared" si="1"/>
        <v>351521</v>
      </c>
    </row>
    <row r="11" spans="1:13" s="421" customFormat="1" ht="18" customHeight="1">
      <c r="A11" s="418" t="s">
        <v>443</v>
      </c>
      <c r="B11" s="418"/>
      <c r="C11" s="419"/>
      <c r="D11" s="419"/>
      <c r="E11" s="419"/>
      <c r="F11" s="419"/>
      <c r="G11" s="420"/>
      <c r="H11" s="420"/>
      <c r="I11" s="420"/>
      <c r="K11" s="404"/>
      <c r="L11" s="419"/>
      <c r="M11" s="419"/>
    </row>
    <row r="12" spans="1:13" s="426" customFormat="1" ht="18" customHeight="1">
      <c r="A12" s="422"/>
      <c r="B12" s="423" t="s">
        <v>444</v>
      </c>
      <c r="C12" s="424">
        <v>496</v>
      </c>
      <c r="D12" s="424">
        <v>7416.2939999999999</v>
      </c>
      <c r="E12" s="424">
        <v>2870</v>
      </c>
      <c r="F12" s="424"/>
      <c r="G12" s="425">
        <f t="shared" ref="G12:I30" si="2">C12/K12*100</f>
        <v>99.2</v>
      </c>
      <c r="H12" s="425">
        <f t="shared" si="2"/>
        <v>131.68879208733733</v>
      </c>
      <c r="I12" s="425">
        <f t="shared" si="2"/>
        <v>86.811857229280093</v>
      </c>
      <c r="K12" s="424">
        <v>500</v>
      </c>
      <c r="L12" s="424">
        <v>5631.6819999999998</v>
      </c>
      <c r="M12" s="424">
        <v>3306</v>
      </c>
    </row>
    <row r="13" spans="1:13" s="426" customFormat="1" ht="18" customHeight="1">
      <c r="A13" s="422"/>
      <c r="B13" s="423" t="s">
        <v>445</v>
      </c>
      <c r="C13" s="424">
        <f>SUM(C14:C17)</f>
        <v>12077</v>
      </c>
      <c r="D13" s="424">
        <f t="shared" ref="D13:E13" si="3">SUM(D14:D17)</f>
        <v>205258.62099999998</v>
      </c>
      <c r="E13" s="424">
        <f t="shared" si="3"/>
        <v>175728</v>
      </c>
      <c r="F13" s="424">
        <v>0</v>
      </c>
      <c r="G13" s="425">
        <f t="shared" si="2"/>
        <v>95.576131687242793</v>
      </c>
      <c r="H13" s="425">
        <f t="shared" si="2"/>
        <v>123.1329286364418</v>
      </c>
      <c r="I13" s="425">
        <f t="shared" si="2"/>
        <v>96.487577213452298</v>
      </c>
      <c r="K13" s="424">
        <f>SUM(K14:K17)</f>
        <v>12636</v>
      </c>
      <c r="L13" s="424">
        <f t="shared" ref="L13:M13" si="4">SUM(L14:L17)</f>
        <v>166696.77500000002</v>
      </c>
      <c r="M13" s="424">
        <f t="shared" si="4"/>
        <v>182125</v>
      </c>
    </row>
    <row r="14" spans="1:13" s="375" customFormat="1" ht="18" customHeight="1">
      <c r="A14" s="427"/>
      <c r="B14" s="428" t="s">
        <v>191</v>
      </c>
      <c r="C14" s="400">
        <v>190</v>
      </c>
      <c r="D14" s="400">
        <v>4362.616</v>
      </c>
      <c r="E14" s="400">
        <v>1104</v>
      </c>
      <c r="F14" s="400"/>
      <c r="G14" s="429">
        <f t="shared" si="2"/>
        <v>90.909090909090907</v>
      </c>
      <c r="H14" s="429">
        <f t="shared" si="2"/>
        <v>63.068601634607944</v>
      </c>
      <c r="I14" s="429">
        <f t="shared" si="2"/>
        <v>85.05392912172573</v>
      </c>
      <c r="K14" s="400">
        <v>209</v>
      </c>
      <c r="L14" s="400">
        <v>6917.2550000000001</v>
      </c>
      <c r="M14" s="400">
        <v>1298</v>
      </c>
    </row>
    <row r="15" spans="1:13" s="375" customFormat="1" ht="18" customHeight="1">
      <c r="A15" s="427"/>
      <c r="B15" s="428" t="s">
        <v>197</v>
      </c>
      <c r="C15" s="400">
        <v>6648</v>
      </c>
      <c r="D15" s="400">
        <v>68393.808999999994</v>
      </c>
      <c r="E15" s="400">
        <v>149884</v>
      </c>
      <c r="F15" s="400"/>
      <c r="G15" s="429">
        <f t="shared" si="2"/>
        <v>104.29871352369</v>
      </c>
      <c r="H15" s="429">
        <f t="shared" si="2"/>
        <v>102.00178731063141</v>
      </c>
      <c r="I15" s="429">
        <f t="shared" si="2"/>
        <v>97.562944254953521</v>
      </c>
      <c r="K15" s="400">
        <v>6374</v>
      </c>
      <c r="L15" s="400">
        <v>67051.578999999998</v>
      </c>
      <c r="M15" s="400">
        <v>153628</v>
      </c>
    </row>
    <row r="16" spans="1:13" s="375" customFormat="1" ht="18" customHeight="1">
      <c r="A16" s="427"/>
      <c r="B16" s="428" t="s">
        <v>446</v>
      </c>
      <c r="C16" s="400">
        <v>396</v>
      </c>
      <c r="D16" s="400">
        <v>9622.2729999999992</v>
      </c>
      <c r="E16" s="400">
        <v>2203</v>
      </c>
      <c r="F16" s="400"/>
      <c r="G16" s="429">
        <f t="shared" si="2"/>
        <v>106.73854447439352</v>
      </c>
      <c r="H16" s="429">
        <f t="shared" si="2"/>
        <v>170.68763417189399</v>
      </c>
      <c r="I16" s="429">
        <f t="shared" si="2"/>
        <v>111.37512639029323</v>
      </c>
      <c r="K16" s="400">
        <v>371</v>
      </c>
      <c r="L16" s="400">
        <v>5637.3580000000002</v>
      </c>
      <c r="M16" s="400">
        <v>1978</v>
      </c>
    </row>
    <row r="17" spans="1:13" s="375" customFormat="1" ht="18" customHeight="1">
      <c r="A17" s="427"/>
      <c r="B17" s="428" t="s">
        <v>447</v>
      </c>
      <c r="C17" s="400">
        <v>4843</v>
      </c>
      <c r="D17" s="400">
        <v>122879.923</v>
      </c>
      <c r="E17" s="400">
        <v>22537</v>
      </c>
      <c r="F17" s="400"/>
      <c r="G17" s="429">
        <f t="shared" si="2"/>
        <v>85.234072509679692</v>
      </c>
      <c r="H17" s="429">
        <f t="shared" si="2"/>
        <v>141.09438560079454</v>
      </c>
      <c r="I17" s="429">
        <f t="shared" si="2"/>
        <v>89.358074620356049</v>
      </c>
      <c r="K17" s="400">
        <v>5682</v>
      </c>
      <c r="L17" s="400">
        <v>87090.582999999999</v>
      </c>
      <c r="M17" s="400">
        <v>25221</v>
      </c>
    </row>
    <row r="18" spans="1:13" s="376" customFormat="1" ht="18" customHeight="1">
      <c r="A18" s="430"/>
      <c r="B18" s="423" t="s">
        <v>448</v>
      </c>
      <c r="C18" s="424">
        <f>SUM(C19:C30)</f>
        <v>39055</v>
      </c>
      <c r="D18" s="424">
        <f t="shared" ref="D18:E18" si="5">SUM(D19:D30)</f>
        <v>277721.28499999997</v>
      </c>
      <c r="E18" s="424">
        <f t="shared" si="5"/>
        <v>177194</v>
      </c>
      <c r="F18" s="424"/>
      <c r="G18" s="425">
        <f t="shared" si="2"/>
        <v>100.23097651738739</v>
      </c>
      <c r="H18" s="425">
        <f t="shared" si="2"/>
        <v>78.305535654698076</v>
      </c>
      <c r="I18" s="425">
        <f t="shared" si="2"/>
        <v>106.68553194051418</v>
      </c>
      <c r="K18" s="424">
        <f>SUM(K19:K30)</f>
        <v>38965</v>
      </c>
      <c r="L18" s="424">
        <f t="shared" ref="L18:M18" si="6">SUM(L19:L30)</f>
        <v>354663.66799999995</v>
      </c>
      <c r="M18" s="424">
        <f t="shared" si="6"/>
        <v>166090</v>
      </c>
    </row>
    <row r="19" spans="1:13" s="375" customFormat="1" ht="18" customHeight="1">
      <c r="A19" s="427"/>
      <c r="B19" s="428" t="s">
        <v>449</v>
      </c>
      <c r="C19" s="400">
        <v>18341</v>
      </c>
      <c r="D19" s="400">
        <v>82489.892999999996</v>
      </c>
      <c r="E19" s="400">
        <v>71552</v>
      </c>
      <c r="F19" s="400"/>
      <c r="G19" s="429">
        <f t="shared" si="2"/>
        <v>87.789584529963633</v>
      </c>
      <c r="H19" s="429">
        <f t="shared" si="2"/>
        <v>51.609737582006268</v>
      </c>
      <c r="I19" s="429">
        <f t="shared" si="2"/>
        <v>90.076162900484675</v>
      </c>
      <c r="K19" s="400">
        <v>20892</v>
      </c>
      <c r="L19" s="400">
        <v>159833.97099999999</v>
      </c>
      <c r="M19" s="400">
        <v>79435</v>
      </c>
    </row>
    <row r="20" spans="1:13" s="375" customFormat="1" ht="18" customHeight="1">
      <c r="A20" s="427"/>
      <c r="B20" s="428" t="s">
        <v>450</v>
      </c>
      <c r="C20" s="400">
        <v>2764</v>
      </c>
      <c r="D20" s="400">
        <v>15974.125</v>
      </c>
      <c r="E20" s="400">
        <v>13872</v>
      </c>
      <c r="F20" s="400"/>
      <c r="G20" s="429">
        <f t="shared" si="2"/>
        <v>103.09585975382321</v>
      </c>
      <c r="H20" s="429">
        <f t="shared" si="2"/>
        <v>106.50981650903906</v>
      </c>
      <c r="I20" s="429">
        <f t="shared" si="2"/>
        <v>105.82042871309787</v>
      </c>
      <c r="K20" s="400">
        <v>2681</v>
      </c>
      <c r="L20" s="400">
        <v>14997.796</v>
      </c>
      <c r="M20" s="400">
        <v>13109</v>
      </c>
    </row>
    <row r="21" spans="1:13" s="375" customFormat="1" ht="18" customHeight="1">
      <c r="A21" s="427"/>
      <c r="B21" s="428" t="s">
        <v>451</v>
      </c>
      <c r="C21" s="400">
        <v>1589</v>
      </c>
      <c r="D21" s="400">
        <v>9257.4390000000003</v>
      </c>
      <c r="E21" s="400">
        <v>7080</v>
      </c>
      <c r="F21" s="400"/>
      <c r="G21" s="429">
        <f t="shared" si="2"/>
        <v>81.822863027806378</v>
      </c>
      <c r="H21" s="429">
        <f t="shared" si="2"/>
        <v>80.891554446644392</v>
      </c>
      <c r="I21" s="429">
        <f t="shared" si="2"/>
        <v>84.356010961515551</v>
      </c>
      <c r="K21" s="400">
        <v>1942</v>
      </c>
      <c r="L21" s="400">
        <v>11444.259</v>
      </c>
      <c r="M21" s="400">
        <v>8393</v>
      </c>
    </row>
    <row r="22" spans="1:13" s="375" customFormat="1" ht="18" customHeight="1">
      <c r="A22" s="427"/>
      <c r="B22" s="428" t="s">
        <v>452</v>
      </c>
      <c r="C22" s="400">
        <v>1578</v>
      </c>
      <c r="D22" s="400">
        <v>21778.154999999999</v>
      </c>
      <c r="E22" s="400">
        <v>8187</v>
      </c>
      <c r="F22" s="400"/>
      <c r="G22" s="429">
        <f t="shared" si="2"/>
        <v>101.60978750804894</v>
      </c>
      <c r="H22" s="429">
        <f t="shared" si="2"/>
        <v>374.23136881306027</v>
      </c>
      <c r="I22" s="429">
        <f t="shared" si="2"/>
        <v>108.72509960159363</v>
      </c>
      <c r="K22" s="400">
        <v>1553</v>
      </c>
      <c r="L22" s="400">
        <v>5819.4359999999997</v>
      </c>
      <c r="M22" s="400">
        <v>7530</v>
      </c>
    </row>
    <row r="23" spans="1:13" s="375" customFormat="1" ht="18" customHeight="1">
      <c r="A23" s="427"/>
      <c r="B23" s="428" t="s">
        <v>453</v>
      </c>
      <c r="C23" s="400">
        <v>394</v>
      </c>
      <c r="D23" s="400">
        <v>7876.1890000000003</v>
      </c>
      <c r="E23" s="400">
        <v>1566</v>
      </c>
      <c r="F23" s="400"/>
      <c r="G23" s="429">
        <f t="shared" si="2"/>
        <v>98.746867167919788</v>
      </c>
      <c r="H23" s="429">
        <f t="shared" si="2"/>
        <v>113.70513944714295</v>
      </c>
      <c r="I23" s="429">
        <f t="shared" si="2"/>
        <v>99.681731381285815</v>
      </c>
      <c r="K23" s="400">
        <v>399</v>
      </c>
      <c r="L23" s="400">
        <v>6926.8540000000003</v>
      </c>
      <c r="M23" s="400">
        <v>1571</v>
      </c>
    </row>
    <row r="24" spans="1:13" s="375" customFormat="1" ht="18" customHeight="1">
      <c r="A24" s="427"/>
      <c r="B24" s="428" t="s">
        <v>454</v>
      </c>
      <c r="C24" s="400">
        <v>1582</v>
      </c>
      <c r="D24" s="400">
        <v>91830.501000000004</v>
      </c>
      <c r="E24" s="400">
        <v>9620</v>
      </c>
      <c r="F24" s="400"/>
      <c r="G24" s="429">
        <f t="shared" si="2"/>
        <v>115.05454545454545</v>
      </c>
      <c r="H24" s="429">
        <f t="shared" si="2"/>
        <v>89.17232049563188</v>
      </c>
      <c r="I24" s="429">
        <f t="shared" si="2"/>
        <v>124.22520661157024</v>
      </c>
      <c r="K24" s="400">
        <v>1375</v>
      </c>
      <c r="L24" s="400">
        <v>102980.948</v>
      </c>
      <c r="M24" s="400">
        <v>7744</v>
      </c>
    </row>
    <row r="25" spans="1:13" s="375" customFormat="1" ht="30" customHeight="1">
      <c r="A25" s="427"/>
      <c r="B25" s="428" t="s">
        <v>455</v>
      </c>
      <c r="C25" s="400">
        <v>3847</v>
      </c>
      <c r="D25" s="400">
        <v>18867.967000000001</v>
      </c>
      <c r="E25" s="400">
        <v>15556</v>
      </c>
      <c r="F25" s="400"/>
      <c r="G25" s="429">
        <f t="shared" si="2"/>
        <v>91.989478718316604</v>
      </c>
      <c r="H25" s="429">
        <f t="shared" si="2"/>
        <v>77.681707498628185</v>
      </c>
      <c r="I25" s="429">
        <f t="shared" si="2"/>
        <v>69.248575498575491</v>
      </c>
      <c r="J25" s="431"/>
      <c r="K25" s="400">
        <v>4182</v>
      </c>
      <c r="L25" s="400">
        <v>24288.815999999999</v>
      </c>
      <c r="M25" s="400">
        <v>22464</v>
      </c>
    </row>
    <row r="26" spans="1:13" s="375" customFormat="1" ht="18" customHeight="1">
      <c r="A26" s="427"/>
      <c r="B26" s="428" t="s">
        <v>456</v>
      </c>
      <c r="C26" s="400">
        <v>4994</v>
      </c>
      <c r="D26" s="400">
        <v>11277.807000000001</v>
      </c>
      <c r="E26" s="400">
        <v>21499</v>
      </c>
      <c r="F26" s="400"/>
      <c r="G26" s="429">
        <f t="shared" si="2"/>
        <v>304.1412911084044</v>
      </c>
      <c r="H26" s="429">
        <f t="shared" si="2"/>
        <v>206.42953526751003</v>
      </c>
      <c r="I26" s="429">
        <f t="shared" si="2"/>
        <v>281.17970180486526</v>
      </c>
      <c r="K26" s="400">
        <v>1642</v>
      </c>
      <c r="L26" s="400">
        <v>5463.2719999999999</v>
      </c>
      <c r="M26" s="400">
        <v>7646</v>
      </c>
    </row>
    <row r="27" spans="1:13" s="375" customFormat="1" ht="18" customHeight="1">
      <c r="A27" s="427"/>
      <c r="B27" s="428" t="s">
        <v>457</v>
      </c>
      <c r="C27" s="400">
        <v>523</v>
      </c>
      <c r="D27" s="400">
        <v>5024.6030000000001</v>
      </c>
      <c r="E27" s="400">
        <v>3450</v>
      </c>
      <c r="F27" s="400"/>
      <c r="G27" s="429">
        <f t="shared" si="2"/>
        <v>116.48106904231625</v>
      </c>
      <c r="H27" s="429">
        <f t="shared" si="2"/>
        <v>147.62738899820218</v>
      </c>
      <c r="I27" s="429">
        <f t="shared" si="2"/>
        <v>148.64282636794485</v>
      </c>
      <c r="K27" s="400">
        <v>449</v>
      </c>
      <c r="L27" s="400">
        <v>3403.5709999999999</v>
      </c>
      <c r="M27" s="400">
        <v>2321</v>
      </c>
    </row>
    <row r="28" spans="1:13" s="375" customFormat="1" ht="18" customHeight="1">
      <c r="A28" s="427"/>
      <c r="B28" s="428" t="s">
        <v>458</v>
      </c>
      <c r="C28" s="400">
        <v>416</v>
      </c>
      <c r="D28" s="400">
        <v>1333.2729999999999</v>
      </c>
      <c r="E28" s="400">
        <v>1629</v>
      </c>
      <c r="F28" s="400"/>
      <c r="G28" s="429">
        <f t="shared" si="2"/>
        <v>104</v>
      </c>
      <c r="H28" s="429">
        <f t="shared" si="2"/>
        <v>54.166448298290796</v>
      </c>
      <c r="I28" s="429">
        <f t="shared" si="2"/>
        <v>86.327503974562802</v>
      </c>
      <c r="K28" s="400">
        <v>400</v>
      </c>
      <c r="L28" s="400">
        <v>2461.4369999999999</v>
      </c>
      <c r="M28" s="400">
        <v>1887</v>
      </c>
    </row>
    <row r="29" spans="1:13" ht="30" customHeight="1">
      <c r="A29" s="427"/>
      <c r="B29" s="428" t="s">
        <v>459</v>
      </c>
      <c r="C29" s="400">
        <v>2626</v>
      </c>
      <c r="D29" s="400">
        <v>11226.066000000001</v>
      </c>
      <c r="E29" s="400">
        <v>21700</v>
      </c>
      <c r="F29" s="400"/>
      <c r="G29" s="429">
        <f t="shared" si="2"/>
        <v>89.532901466075685</v>
      </c>
      <c r="H29" s="429">
        <f t="shared" si="2"/>
        <v>72.119301815255156</v>
      </c>
      <c r="I29" s="429">
        <f t="shared" si="2"/>
        <v>177.41803613768295</v>
      </c>
      <c r="K29" s="400">
        <v>2933</v>
      </c>
      <c r="L29" s="400">
        <v>15565.966</v>
      </c>
      <c r="M29" s="400">
        <v>12231</v>
      </c>
    </row>
    <row r="30" spans="1:13" ht="18" customHeight="1">
      <c r="A30" s="427"/>
      <c r="B30" s="428" t="s">
        <v>460</v>
      </c>
      <c r="C30" s="400">
        <v>401</v>
      </c>
      <c r="D30" s="400">
        <v>785.26700000000005</v>
      </c>
      <c r="E30" s="400">
        <v>1483</v>
      </c>
      <c r="F30" s="400"/>
      <c r="G30" s="429">
        <f t="shared" si="2"/>
        <v>77.562862669245646</v>
      </c>
      <c r="H30" s="429">
        <f t="shared" si="2"/>
        <v>53.154042868882087</v>
      </c>
      <c r="I30" s="429">
        <f t="shared" si="2"/>
        <v>84.309266628766338</v>
      </c>
      <c r="K30" s="400">
        <v>517</v>
      </c>
      <c r="L30" s="400">
        <v>1477.3420000000001</v>
      </c>
      <c r="M30" s="400">
        <v>1759</v>
      </c>
    </row>
    <row r="31" spans="1:13" ht="18" customHeight="1">
      <c r="C31" s="419"/>
      <c r="D31" s="419"/>
      <c r="E31" s="419"/>
      <c r="F31" s="400"/>
      <c r="G31" s="429"/>
      <c r="H31" s="432"/>
      <c r="I31" s="432"/>
      <c r="K31" s="384"/>
      <c r="L31" s="400"/>
      <c r="M31" s="400"/>
    </row>
    <row r="32" spans="1:13" ht="20.100000000000001" customHeight="1">
      <c r="A32" s="384"/>
      <c r="B32" s="384"/>
      <c r="C32" s="384"/>
      <c r="D32" s="384"/>
      <c r="E32" s="384"/>
      <c r="F32" s="384"/>
      <c r="G32" s="384"/>
      <c r="K32" s="384"/>
      <c r="L32" s="384"/>
      <c r="M32" s="384"/>
    </row>
    <row r="33" spans="1:13" ht="20.100000000000001" customHeight="1">
      <c r="A33" s="384"/>
      <c r="B33" s="384"/>
      <c r="C33" s="384"/>
      <c r="D33" s="384"/>
      <c r="E33" s="384"/>
      <c r="F33" s="384"/>
      <c r="G33" s="384"/>
      <c r="K33" s="384"/>
      <c r="L33" s="384"/>
      <c r="M33" s="384"/>
    </row>
    <row r="34" spans="1:13" ht="20.100000000000001" customHeight="1">
      <c r="A34" s="384"/>
      <c r="B34" s="384"/>
      <c r="C34" s="384"/>
      <c r="D34" s="384"/>
      <c r="E34" s="384"/>
      <c r="F34" s="384"/>
      <c r="G34" s="384"/>
      <c r="K34" s="384"/>
      <c r="L34" s="384"/>
      <c r="M34" s="384"/>
    </row>
    <row r="35" spans="1:13" ht="20.100000000000001" customHeight="1">
      <c r="A35" s="384"/>
      <c r="B35" s="384"/>
      <c r="C35" s="384"/>
      <c r="D35" s="384"/>
      <c r="E35" s="384"/>
      <c r="F35" s="384"/>
      <c r="G35" s="384"/>
      <c r="K35" s="384"/>
      <c r="L35" s="384"/>
      <c r="M35" s="384"/>
    </row>
    <row r="36" spans="1:13" ht="20.100000000000001" customHeight="1">
      <c r="A36" s="384"/>
      <c r="B36" s="384"/>
      <c r="C36" s="384"/>
      <c r="D36" s="384"/>
      <c r="E36" s="384"/>
      <c r="F36" s="384"/>
      <c r="G36" s="384"/>
      <c r="K36" s="384"/>
      <c r="L36" s="384"/>
      <c r="M36" s="384"/>
    </row>
    <row r="37" spans="1:13" ht="20.100000000000001" customHeight="1">
      <c r="A37" s="384"/>
      <c r="B37" s="384"/>
      <c r="C37" s="384"/>
      <c r="D37" s="384"/>
      <c r="E37" s="384"/>
      <c r="F37" s="384"/>
      <c r="G37" s="384"/>
      <c r="K37" s="384"/>
      <c r="L37" s="384"/>
      <c r="M37" s="384"/>
    </row>
    <row r="38" spans="1:13" ht="20.100000000000001" customHeight="1">
      <c r="A38" s="384"/>
      <c r="B38" s="384"/>
      <c r="C38" s="384"/>
      <c r="D38" s="384"/>
      <c r="E38" s="384"/>
      <c r="F38" s="384"/>
      <c r="G38" s="384"/>
      <c r="K38" s="384"/>
      <c r="L38" s="384"/>
      <c r="M38" s="384"/>
    </row>
    <row r="39" spans="1:13" ht="20.100000000000001" customHeight="1">
      <c r="A39" s="384"/>
      <c r="B39" s="384"/>
      <c r="C39" s="384"/>
      <c r="D39" s="384"/>
      <c r="E39" s="384"/>
      <c r="F39" s="384"/>
      <c r="G39" s="384"/>
      <c r="K39" s="384"/>
      <c r="L39" s="384"/>
      <c r="M39" s="384"/>
    </row>
    <row r="40" spans="1:13" ht="20.100000000000001" customHeight="1">
      <c r="A40" s="384"/>
      <c r="B40" s="384"/>
      <c r="C40" s="384"/>
      <c r="D40" s="384"/>
      <c r="E40" s="384"/>
      <c r="F40" s="384"/>
      <c r="G40" s="384"/>
      <c r="K40" s="384"/>
      <c r="L40" s="384"/>
      <c r="M40" s="384"/>
    </row>
    <row r="41" spans="1:13" ht="20.100000000000001" customHeight="1">
      <c r="A41" s="384"/>
      <c r="B41" s="384"/>
      <c r="C41" s="384"/>
      <c r="D41" s="384"/>
      <c r="E41" s="384"/>
      <c r="F41" s="384"/>
      <c r="G41" s="384"/>
      <c r="K41" s="384"/>
      <c r="L41" s="384"/>
      <c r="M41" s="384"/>
    </row>
    <row r="42" spans="1:13" ht="20.100000000000001" customHeight="1">
      <c r="A42" s="384"/>
      <c r="B42" s="384"/>
      <c r="C42" s="384"/>
      <c r="D42" s="384"/>
      <c r="E42" s="384"/>
      <c r="F42" s="384"/>
      <c r="G42" s="384"/>
      <c r="K42" s="384"/>
      <c r="L42" s="384"/>
      <c r="M42" s="384"/>
    </row>
    <row r="43" spans="1:13" ht="20.100000000000001" customHeight="1">
      <c r="A43" s="384"/>
      <c r="B43" s="384"/>
      <c r="C43" s="384"/>
      <c r="D43" s="384"/>
      <c r="E43" s="384"/>
      <c r="F43" s="384"/>
      <c r="G43" s="384"/>
      <c r="K43" s="384"/>
      <c r="L43" s="384"/>
      <c r="M43" s="384"/>
    </row>
    <row r="44" spans="1:13" ht="20.100000000000001" customHeight="1">
      <c r="A44" s="384"/>
      <c r="B44" s="384"/>
      <c r="C44" s="384"/>
      <c r="D44" s="384"/>
      <c r="E44" s="384"/>
      <c r="F44" s="384"/>
      <c r="G44" s="384"/>
      <c r="K44" s="384"/>
      <c r="L44" s="384"/>
      <c r="M44" s="384"/>
    </row>
    <row r="45" spans="1:13" ht="20.100000000000001" customHeight="1">
      <c r="A45" s="384"/>
      <c r="B45" s="384"/>
      <c r="C45" s="384"/>
      <c r="D45" s="384"/>
      <c r="E45" s="384"/>
      <c r="F45" s="384"/>
      <c r="G45" s="384"/>
      <c r="K45" s="384"/>
      <c r="L45" s="384"/>
      <c r="M45" s="384"/>
    </row>
    <row r="46" spans="1:13" ht="20.100000000000001" customHeight="1">
      <c r="A46" s="384"/>
      <c r="B46" s="384"/>
      <c r="C46" s="384"/>
      <c r="D46" s="384"/>
      <c r="E46" s="384"/>
      <c r="F46" s="384"/>
      <c r="G46" s="384"/>
      <c r="K46" s="384"/>
      <c r="L46" s="384"/>
      <c r="M46" s="384"/>
    </row>
    <row r="47" spans="1:13" ht="20.100000000000001" customHeight="1">
      <c r="A47" s="384"/>
      <c r="B47" s="384"/>
      <c r="C47" s="384"/>
      <c r="D47" s="384"/>
      <c r="E47" s="384"/>
      <c r="F47" s="384"/>
      <c r="G47" s="384"/>
      <c r="K47" s="384"/>
      <c r="L47" s="384"/>
      <c r="M47" s="384"/>
    </row>
    <row r="48" spans="1:13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</sheetData>
  <mergeCells count="4">
    <mergeCell ref="C4:E5"/>
    <mergeCell ref="G4:I4"/>
    <mergeCell ref="K4:M5"/>
    <mergeCell ref="G5:I5"/>
  </mergeCells>
  <pageMargins left="0.78740157480314998" right="0.47244094488188998" top="0.74803149606299202" bottom="0.47244094488188998" header="0.43307086614173201" footer="0.31496062992126"/>
  <pageSetup paperSize="9" firstPageNumber="27" fitToHeight="0" orientation="portrait" r:id="rId1"/>
  <headerFooter alignWithMargins="0">
    <oddHeader>&amp;C&amp;"Times New Roman,Regular"&amp;13&amp;P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61C15-397C-4154-B7FE-6CC286EAF1FF}">
  <sheetPr>
    <pageSetUpPr fitToPage="1"/>
  </sheetPr>
  <dimension ref="A1:D73"/>
  <sheetViews>
    <sheetView zoomScaleNormal="100" workbookViewId="0">
      <selection activeCell="D28" sqref="D28"/>
    </sheetView>
  </sheetViews>
  <sheetFormatPr defaultColWidth="8.7109375" defaultRowHeight="12.75"/>
  <cols>
    <col min="1" max="1" width="49.28515625" style="373" customWidth="1"/>
    <col min="2" max="2" width="9.7109375" style="373" customWidth="1"/>
    <col min="3" max="3" width="9.28515625" style="373" customWidth="1"/>
    <col min="4" max="4" width="20.7109375" style="373" customWidth="1"/>
    <col min="5" max="16384" width="8.7109375" style="373"/>
  </cols>
  <sheetData>
    <row r="1" spans="1:4" s="371" customFormat="1" ht="20.100000000000001" customHeight="1">
      <c r="A1" s="370" t="s">
        <v>461</v>
      </c>
      <c r="B1" s="410"/>
      <c r="C1" s="410"/>
    </row>
    <row r="2" spans="1:4" ht="20.100000000000001" customHeight="1">
      <c r="A2" s="384"/>
      <c r="B2" s="384"/>
      <c r="C2" s="384"/>
    </row>
    <row r="3" spans="1:4" s="375" customFormat="1" ht="20.100000000000001" customHeight="1">
      <c r="A3" s="374"/>
      <c r="B3" s="411"/>
      <c r="C3" s="411"/>
      <c r="D3" s="433" t="s">
        <v>462</v>
      </c>
    </row>
    <row r="4" spans="1:4" s="375" customFormat="1" ht="15.95" customHeight="1">
      <c r="A4" s="412"/>
      <c r="B4" s="413" t="s">
        <v>71</v>
      </c>
      <c r="C4" s="413" t="s">
        <v>71</v>
      </c>
      <c r="D4" s="413" t="s">
        <v>430</v>
      </c>
    </row>
    <row r="5" spans="1:4" s="375" customFormat="1" ht="15.95" customHeight="1">
      <c r="A5" s="415"/>
      <c r="B5" s="416" t="s">
        <v>463</v>
      </c>
      <c r="C5" s="416" t="s">
        <v>73</v>
      </c>
      <c r="D5" s="416" t="s">
        <v>464</v>
      </c>
    </row>
    <row r="6" spans="1:4" s="375" customFormat="1" ht="20.100000000000001" customHeight="1">
      <c r="A6" s="374"/>
      <c r="B6" s="195"/>
      <c r="C6" s="195"/>
      <c r="D6" s="195"/>
    </row>
    <row r="7" spans="1:4" s="421" customFormat="1" ht="20.100000000000001" customHeight="1">
      <c r="A7" s="434" t="s">
        <v>32</v>
      </c>
      <c r="B7" s="435">
        <v>29709</v>
      </c>
      <c r="C7" s="435">
        <f>C8+C9+C14</f>
        <v>38321</v>
      </c>
      <c r="D7" s="436">
        <f>C7/B7*100</f>
        <v>128.98784880002694</v>
      </c>
    </row>
    <row r="8" spans="1:4" s="421" customFormat="1" ht="20.100000000000001" customHeight="1">
      <c r="A8" s="423" t="s">
        <v>444</v>
      </c>
      <c r="B8" s="437">
        <v>410</v>
      </c>
      <c r="C8" s="437">
        <v>577</v>
      </c>
      <c r="D8" s="438">
        <f t="shared" ref="D8:D26" si="0">C8/B8*100</f>
        <v>140.73170731707316</v>
      </c>
    </row>
    <row r="9" spans="1:4" s="421" customFormat="1" ht="20.100000000000001" customHeight="1">
      <c r="A9" s="423" t="s">
        <v>445</v>
      </c>
      <c r="B9" s="437">
        <v>7721</v>
      </c>
      <c r="C9" s="437">
        <f>SUM(C10:C13)</f>
        <v>10314</v>
      </c>
      <c r="D9" s="438">
        <f t="shared" si="0"/>
        <v>133.58373267711437</v>
      </c>
    </row>
    <row r="10" spans="1:4" s="375" customFormat="1" ht="20.100000000000001" customHeight="1">
      <c r="A10" s="439" t="s">
        <v>191</v>
      </c>
      <c r="B10" s="440">
        <v>190</v>
      </c>
      <c r="C10" s="440">
        <v>267</v>
      </c>
      <c r="D10" s="441">
        <f t="shared" si="0"/>
        <v>140.52631578947367</v>
      </c>
    </row>
    <row r="11" spans="1:4" s="375" customFormat="1" ht="20.100000000000001" customHeight="1">
      <c r="A11" s="439" t="s">
        <v>197</v>
      </c>
      <c r="B11" s="440">
        <v>3365</v>
      </c>
      <c r="C11" s="440">
        <v>4574</v>
      </c>
      <c r="D11" s="441">
        <f t="shared" si="0"/>
        <v>135.92867756315007</v>
      </c>
    </row>
    <row r="12" spans="1:4" s="375" customFormat="1" ht="20.100000000000001" customHeight="1">
      <c r="A12" s="439" t="s">
        <v>446</v>
      </c>
      <c r="B12" s="440">
        <v>450</v>
      </c>
      <c r="C12" s="440">
        <v>363</v>
      </c>
      <c r="D12" s="441">
        <f t="shared" si="0"/>
        <v>80.666666666666657</v>
      </c>
    </row>
    <row r="13" spans="1:4" s="375" customFormat="1" ht="20.100000000000001" customHeight="1">
      <c r="A13" s="439" t="s">
        <v>447</v>
      </c>
      <c r="B13" s="440">
        <v>3716</v>
      </c>
      <c r="C13" s="440">
        <v>5110</v>
      </c>
      <c r="D13" s="441">
        <f t="shared" si="0"/>
        <v>137.51345532831002</v>
      </c>
    </row>
    <row r="14" spans="1:4" s="421" customFormat="1" ht="20.100000000000001" customHeight="1">
      <c r="A14" s="442" t="s">
        <v>448</v>
      </c>
      <c r="B14" s="437">
        <v>21578</v>
      </c>
      <c r="C14" s="437">
        <f>SUM(C15:C26)</f>
        <v>27430</v>
      </c>
      <c r="D14" s="438">
        <f t="shared" si="0"/>
        <v>127.12021503383075</v>
      </c>
    </row>
    <row r="15" spans="1:4" s="375" customFormat="1" ht="20.100000000000001" customHeight="1">
      <c r="A15" s="439" t="s">
        <v>449</v>
      </c>
      <c r="B15" s="440">
        <v>10634</v>
      </c>
      <c r="C15" s="440">
        <v>13459</v>
      </c>
      <c r="D15" s="441">
        <f t="shared" si="0"/>
        <v>126.56573255595261</v>
      </c>
    </row>
    <row r="16" spans="1:4" s="375" customFormat="1" ht="20.100000000000001" customHeight="1">
      <c r="A16" s="439" t="s">
        <v>450</v>
      </c>
      <c r="B16" s="440">
        <v>1390</v>
      </c>
      <c r="C16" s="440">
        <v>1920</v>
      </c>
      <c r="D16" s="441">
        <f t="shared" si="0"/>
        <v>138.12949640287769</v>
      </c>
    </row>
    <row r="17" spans="1:4" s="375" customFormat="1" ht="20.100000000000001" customHeight="1">
      <c r="A17" s="439" t="s">
        <v>451</v>
      </c>
      <c r="B17" s="440">
        <v>1508</v>
      </c>
      <c r="C17" s="440">
        <v>1899</v>
      </c>
      <c r="D17" s="441">
        <f t="shared" si="0"/>
        <v>125.92838196286471</v>
      </c>
    </row>
    <row r="18" spans="1:4" s="375" customFormat="1" ht="20.100000000000001" customHeight="1">
      <c r="A18" s="439" t="s">
        <v>452</v>
      </c>
      <c r="B18" s="440">
        <v>724</v>
      </c>
      <c r="C18" s="440">
        <v>927</v>
      </c>
      <c r="D18" s="441">
        <f t="shared" si="0"/>
        <v>128.03867403314916</v>
      </c>
    </row>
    <row r="19" spans="1:4" s="375" customFormat="1" ht="20.100000000000001" customHeight="1">
      <c r="A19" s="439" t="s">
        <v>453</v>
      </c>
      <c r="B19" s="440">
        <v>264</v>
      </c>
      <c r="C19" s="440">
        <v>349</v>
      </c>
      <c r="D19" s="441">
        <f t="shared" si="0"/>
        <v>132.19696969696969</v>
      </c>
    </row>
    <row r="20" spans="1:4" s="375" customFormat="1" ht="20.100000000000001" customHeight="1">
      <c r="A20" s="439" t="s">
        <v>454</v>
      </c>
      <c r="B20" s="440">
        <v>1302</v>
      </c>
      <c r="C20" s="440">
        <v>1858</v>
      </c>
      <c r="D20" s="441">
        <f t="shared" si="0"/>
        <v>142.70353302611366</v>
      </c>
    </row>
    <row r="21" spans="1:4" s="375" customFormat="1" ht="27.95" customHeight="1">
      <c r="A21" s="439" t="s">
        <v>465</v>
      </c>
      <c r="B21" s="440">
        <v>2293</v>
      </c>
      <c r="C21" s="440">
        <v>3156</v>
      </c>
      <c r="D21" s="441">
        <f t="shared" si="0"/>
        <v>137.63628434365461</v>
      </c>
    </row>
    <row r="22" spans="1:4" s="375" customFormat="1" ht="20.100000000000001" customHeight="1">
      <c r="A22" s="439" t="s">
        <v>456</v>
      </c>
      <c r="B22" s="440">
        <v>741</v>
      </c>
      <c r="C22" s="440">
        <v>1087</v>
      </c>
      <c r="D22" s="441">
        <f t="shared" si="0"/>
        <v>146.69365721997301</v>
      </c>
    </row>
    <row r="23" spans="1:4" s="375" customFormat="1" ht="20.100000000000001" customHeight="1">
      <c r="A23" s="439" t="s">
        <v>457</v>
      </c>
      <c r="B23" s="440">
        <v>148</v>
      </c>
      <c r="C23" s="440">
        <v>193</v>
      </c>
      <c r="D23" s="441">
        <f t="shared" si="0"/>
        <v>130.40540540540539</v>
      </c>
    </row>
    <row r="24" spans="1:4" s="375" customFormat="1" ht="20.100000000000001" customHeight="1">
      <c r="A24" s="439" t="s">
        <v>458</v>
      </c>
      <c r="B24" s="440">
        <v>237</v>
      </c>
      <c r="C24" s="440">
        <v>252</v>
      </c>
      <c r="D24" s="441">
        <f t="shared" si="0"/>
        <v>106.32911392405062</v>
      </c>
    </row>
    <row r="25" spans="1:4" ht="27.95" customHeight="1">
      <c r="A25" s="439" t="s">
        <v>466</v>
      </c>
      <c r="B25" s="440">
        <v>1445</v>
      </c>
      <c r="C25" s="440">
        <v>2065</v>
      </c>
      <c r="D25" s="441">
        <f t="shared" si="0"/>
        <v>142.90657439446366</v>
      </c>
    </row>
    <row r="26" spans="1:4" ht="20.100000000000001" customHeight="1">
      <c r="A26" s="439" t="s">
        <v>460</v>
      </c>
      <c r="B26" s="440">
        <v>892</v>
      </c>
      <c r="C26" s="440">
        <v>265</v>
      </c>
      <c r="D26" s="441">
        <f t="shared" si="0"/>
        <v>29.708520179372201</v>
      </c>
    </row>
    <row r="27" spans="1:4" ht="20.100000000000001" customHeight="1">
      <c r="A27" s="384"/>
      <c r="B27" s="440"/>
      <c r="C27" s="384"/>
    </row>
    <row r="28" spans="1:4" ht="20.100000000000001" customHeight="1">
      <c r="A28" s="384"/>
      <c r="B28" s="440"/>
      <c r="C28" s="384"/>
    </row>
    <row r="29" spans="1:4" ht="20.100000000000001" customHeight="1">
      <c r="A29" s="384"/>
      <c r="B29" s="384"/>
      <c r="C29" s="384"/>
    </row>
    <row r="30" spans="1:4" ht="20.100000000000001" customHeight="1">
      <c r="A30" s="384"/>
      <c r="B30" s="384"/>
      <c r="C30" s="384"/>
    </row>
    <row r="31" spans="1:4" ht="20.100000000000001" customHeight="1">
      <c r="A31" s="384"/>
      <c r="B31" s="384"/>
      <c r="C31" s="384"/>
    </row>
    <row r="32" spans="1:4" ht="20.100000000000001" customHeight="1">
      <c r="A32" s="384"/>
      <c r="B32" s="384"/>
      <c r="C32" s="384"/>
    </row>
    <row r="33" spans="1:4" ht="20.100000000000001" customHeight="1">
      <c r="A33" s="384"/>
      <c r="B33" s="384"/>
      <c r="C33" s="384"/>
    </row>
    <row r="34" spans="1:4" ht="20.100000000000001" customHeight="1">
      <c r="A34" s="384"/>
      <c r="B34" s="384"/>
      <c r="C34" s="384"/>
    </row>
    <row r="35" spans="1:4" ht="20.100000000000001" customHeight="1">
      <c r="A35" s="384"/>
      <c r="B35" s="384"/>
      <c r="C35" s="384"/>
    </row>
    <row r="36" spans="1:4" ht="20.100000000000001" customHeight="1">
      <c r="A36" s="384"/>
      <c r="B36" s="384"/>
      <c r="C36" s="384"/>
    </row>
    <row r="37" spans="1:4" ht="20.100000000000001" customHeight="1">
      <c r="A37" s="384"/>
      <c r="B37" s="384"/>
      <c r="C37" s="384"/>
    </row>
    <row r="38" spans="1:4" ht="20.100000000000001" customHeight="1">
      <c r="A38" s="384"/>
      <c r="B38" s="384"/>
      <c r="C38" s="384"/>
    </row>
    <row r="39" spans="1:4" ht="20.100000000000001" customHeight="1">
      <c r="A39" s="384"/>
      <c r="B39" s="384"/>
      <c r="C39" s="384"/>
    </row>
    <row r="40" spans="1:4" ht="20.100000000000001" customHeight="1">
      <c r="A40" s="384"/>
      <c r="B40" s="384"/>
      <c r="C40" s="384"/>
    </row>
    <row r="41" spans="1:4" ht="20.100000000000001" customHeight="1">
      <c r="A41" s="384"/>
      <c r="B41" s="384"/>
      <c r="C41" s="384"/>
    </row>
    <row r="42" spans="1:4" ht="20.100000000000001" customHeight="1">
      <c r="A42" s="384"/>
      <c r="B42" s="384"/>
      <c r="C42" s="384"/>
    </row>
    <row r="43" spans="1:4" ht="20.100000000000001" customHeight="1">
      <c r="A43" s="384"/>
      <c r="B43" s="384"/>
      <c r="C43" s="384"/>
    </row>
    <row r="44" spans="1:4" ht="20.100000000000001" customHeight="1">
      <c r="A44" s="384"/>
      <c r="B44" s="384"/>
      <c r="C44" s="384"/>
      <c r="D44" s="384"/>
    </row>
    <row r="45" spans="1:4" ht="20.100000000000001" customHeight="1">
      <c r="A45" s="384"/>
      <c r="B45" s="384"/>
      <c r="C45" s="384"/>
      <c r="D45" s="384"/>
    </row>
    <row r="46" spans="1:4" ht="20.100000000000001" customHeight="1">
      <c r="A46" s="384"/>
      <c r="B46" s="384"/>
      <c r="C46" s="384"/>
      <c r="D46" s="384"/>
    </row>
    <row r="47" spans="1:4" ht="20.100000000000001" customHeight="1">
      <c r="A47" s="384"/>
      <c r="B47" s="384"/>
      <c r="C47" s="384"/>
      <c r="D47" s="384"/>
    </row>
    <row r="48" spans="1:4" ht="20.100000000000001" customHeight="1">
      <c r="A48" s="384"/>
      <c r="B48" s="384"/>
      <c r="C48" s="384"/>
      <c r="D48" s="384"/>
    </row>
    <row r="49" spans="1:4" ht="20.100000000000001" customHeight="1">
      <c r="A49" s="384"/>
      <c r="B49" s="384"/>
      <c r="C49" s="384"/>
      <c r="D49" s="384"/>
    </row>
    <row r="50" spans="1:4" ht="20.100000000000001" customHeight="1">
      <c r="A50" s="384"/>
      <c r="B50" s="384"/>
      <c r="C50" s="384"/>
      <c r="D50" s="384"/>
    </row>
    <row r="51" spans="1:4" ht="20.100000000000001" customHeight="1">
      <c r="A51" s="384"/>
      <c r="B51" s="384"/>
      <c r="C51" s="384"/>
      <c r="D51" s="384"/>
    </row>
    <row r="52" spans="1:4" ht="20.100000000000001" customHeight="1">
      <c r="A52" s="384"/>
      <c r="B52" s="384"/>
      <c r="C52" s="384"/>
      <c r="D52" s="384"/>
    </row>
    <row r="53" spans="1:4" ht="20.100000000000001" customHeight="1">
      <c r="A53" s="384"/>
      <c r="B53" s="384"/>
      <c r="C53" s="384"/>
      <c r="D53" s="384"/>
    </row>
    <row r="54" spans="1:4" ht="20.100000000000001" customHeight="1">
      <c r="A54" s="384"/>
      <c r="B54" s="384"/>
      <c r="C54" s="384"/>
      <c r="D54" s="384"/>
    </row>
    <row r="55" spans="1:4" ht="20.100000000000001" customHeight="1">
      <c r="A55" s="384"/>
      <c r="B55" s="384"/>
      <c r="C55" s="384"/>
      <c r="D55" s="384"/>
    </row>
    <row r="56" spans="1:4" ht="20.100000000000001" customHeight="1">
      <c r="A56" s="384"/>
      <c r="B56" s="384"/>
      <c r="C56" s="384"/>
      <c r="D56" s="384"/>
    </row>
    <row r="57" spans="1:4" ht="20.100000000000001" customHeight="1">
      <c r="A57" s="384"/>
      <c r="B57" s="384"/>
      <c r="C57" s="384"/>
      <c r="D57" s="384"/>
    </row>
    <row r="58" spans="1:4" ht="20.100000000000001" customHeight="1"/>
    <row r="59" spans="1:4" ht="20.100000000000001" customHeight="1"/>
    <row r="60" spans="1:4" ht="20.100000000000001" customHeight="1"/>
    <row r="61" spans="1:4" ht="20.100000000000001" customHeight="1"/>
    <row r="62" spans="1:4" ht="20.100000000000001" customHeight="1"/>
    <row r="63" spans="1:4" ht="20.100000000000001" customHeight="1"/>
    <row r="64" spans="1: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</sheetData>
  <pageMargins left="0.78740157480314998" right="0.47244094488188998" top="0.74803149606299202" bottom="0.47244094488188998" header="0.43307086614173201" footer="0.31496062992126"/>
  <pageSetup paperSize="9" firstPageNumber="27" fitToHeight="0" orientation="portrait" r:id="rId1"/>
  <headerFooter alignWithMargins="0">
    <oddHeader>&amp;C&amp;"Times New Roman,Regular"&amp;13&amp;P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98AFA-4460-4857-BD6A-E6BC2573482B}">
  <sheetPr>
    <pageSetUpPr fitToPage="1"/>
  </sheetPr>
  <dimension ref="A1:D75"/>
  <sheetViews>
    <sheetView workbookViewId="0">
      <selection activeCell="D28" sqref="D28"/>
    </sheetView>
  </sheetViews>
  <sheetFormatPr defaultColWidth="8.7109375" defaultRowHeight="12.75"/>
  <cols>
    <col min="1" max="1" width="49.28515625" style="373" customWidth="1"/>
    <col min="2" max="2" width="9.7109375" style="373" customWidth="1"/>
    <col min="3" max="3" width="9.28515625" style="373" customWidth="1"/>
    <col min="4" max="4" width="20.7109375" style="373" customWidth="1"/>
    <col min="5" max="16384" width="8.7109375" style="373"/>
  </cols>
  <sheetData>
    <row r="1" spans="1:4" s="371" customFormat="1" ht="19.5" customHeight="1">
      <c r="A1" s="370" t="s">
        <v>467</v>
      </c>
      <c r="B1" s="410"/>
      <c r="C1" s="410"/>
    </row>
    <row r="2" spans="1:4" ht="19.5" customHeight="1">
      <c r="A2" s="384"/>
      <c r="B2" s="384"/>
      <c r="C2" s="384"/>
    </row>
    <row r="3" spans="1:4" s="375" customFormat="1" ht="19.5" customHeight="1">
      <c r="A3" s="374"/>
      <c r="B3" s="411"/>
      <c r="C3" s="411"/>
      <c r="D3" s="433" t="s">
        <v>462</v>
      </c>
    </row>
    <row r="4" spans="1:4" s="375" customFormat="1" ht="15.75" customHeight="1">
      <c r="A4" s="412"/>
      <c r="B4" s="413" t="s">
        <v>71</v>
      </c>
      <c r="C4" s="413" t="s">
        <v>71</v>
      </c>
      <c r="D4" s="413" t="s">
        <v>430</v>
      </c>
    </row>
    <row r="5" spans="1:4" s="375" customFormat="1" ht="15.75" customHeight="1">
      <c r="A5" s="415"/>
      <c r="B5" s="416" t="s">
        <v>463</v>
      </c>
      <c r="C5" s="416" t="s">
        <v>73</v>
      </c>
      <c r="D5" s="416" t="s">
        <v>464</v>
      </c>
    </row>
    <row r="6" spans="1:4" s="375" customFormat="1" ht="20.100000000000001" customHeight="1">
      <c r="A6" s="374"/>
      <c r="B6" s="195"/>
      <c r="C6" s="195"/>
      <c r="D6" s="195"/>
    </row>
    <row r="7" spans="1:4" s="421" customFormat="1" ht="20.100000000000001" customHeight="1">
      <c r="A7" s="434" t="s">
        <v>32</v>
      </c>
      <c r="B7" s="435">
        <v>60872</v>
      </c>
      <c r="C7" s="435">
        <f>C8+C9+C14</f>
        <v>68726</v>
      </c>
      <c r="D7" s="436">
        <f>C7/B7*100</f>
        <v>112.90248390064397</v>
      </c>
    </row>
    <row r="8" spans="1:4" s="421" customFormat="1" ht="20.100000000000001" customHeight="1">
      <c r="A8" s="423" t="s">
        <v>444</v>
      </c>
      <c r="B8" s="437">
        <v>741</v>
      </c>
      <c r="C8" s="437">
        <v>780</v>
      </c>
      <c r="D8" s="438">
        <f t="shared" ref="D8:D26" si="0">C8/B8*100</f>
        <v>105.26315789473684</v>
      </c>
    </row>
    <row r="9" spans="1:4" s="421" customFormat="1" ht="20.100000000000001" customHeight="1">
      <c r="A9" s="423" t="s">
        <v>445</v>
      </c>
      <c r="B9" s="437">
        <v>15822</v>
      </c>
      <c r="C9" s="437">
        <f>SUM(C10:C13)</f>
        <v>17892</v>
      </c>
      <c r="D9" s="438">
        <f t="shared" si="0"/>
        <v>113.0830489192264</v>
      </c>
    </row>
    <row r="10" spans="1:4" s="375" customFormat="1" ht="20.100000000000001" customHeight="1">
      <c r="A10" s="439" t="s">
        <v>191</v>
      </c>
      <c r="B10" s="440">
        <v>319</v>
      </c>
      <c r="C10" s="440">
        <v>364</v>
      </c>
      <c r="D10" s="441">
        <f t="shared" si="0"/>
        <v>114.10658307210031</v>
      </c>
    </row>
    <row r="11" spans="1:4" s="375" customFormat="1" ht="19.5" customHeight="1">
      <c r="A11" s="439" t="s">
        <v>197</v>
      </c>
      <c r="B11" s="440">
        <v>7023</v>
      </c>
      <c r="C11" s="440">
        <v>7975</v>
      </c>
      <c r="D11" s="441">
        <f t="shared" si="0"/>
        <v>113.55546062936068</v>
      </c>
    </row>
    <row r="12" spans="1:4" s="375" customFormat="1" ht="19.5" customHeight="1">
      <c r="A12" s="439" t="s">
        <v>446</v>
      </c>
      <c r="B12" s="440">
        <v>452</v>
      </c>
      <c r="C12" s="440">
        <v>473</v>
      </c>
      <c r="D12" s="441">
        <f t="shared" si="0"/>
        <v>104.64601769911503</v>
      </c>
    </row>
    <row r="13" spans="1:4" s="375" customFormat="1" ht="20.100000000000001" customHeight="1">
      <c r="A13" s="439" t="s">
        <v>447</v>
      </c>
      <c r="B13" s="440">
        <v>8028</v>
      </c>
      <c r="C13" s="440">
        <v>9080</v>
      </c>
      <c r="D13" s="441">
        <f t="shared" si="0"/>
        <v>113.10413552566018</v>
      </c>
    </row>
    <row r="14" spans="1:4" s="421" customFormat="1" ht="20.100000000000001" customHeight="1">
      <c r="A14" s="442" t="s">
        <v>448</v>
      </c>
      <c r="B14" s="437">
        <v>44309</v>
      </c>
      <c r="C14" s="437">
        <f>SUM(C15:C26)</f>
        <v>50054</v>
      </c>
      <c r="D14" s="438">
        <f t="shared" si="0"/>
        <v>112.96576316323996</v>
      </c>
    </row>
    <row r="15" spans="1:4" s="375" customFormat="1" ht="20.100000000000001" customHeight="1">
      <c r="A15" s="439" t="s">
        <v>449</v>
      </c>
      <c r="B15" s="440">
        <v>23702</v>
      </c>
      <c r="C15" s="440">
        <v>27070</v>
      </c>
      <c r="D15" s="441">
        <f t="shared" si="0"/>
        <v>114.20977132731416</v>
      </c>
    </row>
    <row r="16" spans="1:4" s="375" customFormat="1" ht="20.100000000000001" customHeight="1">
      <c r="A16" s="439" t="s">
        <v>450</v>
      </c>
      <c r="B16" s="440">
        <v>3131</v>
      </c>
      <c r="C16" s="440">
        <v>3497</v>
      </c>
      <c r="D16" s="441">
        <f t="shared" si="0"/>
        <v>111.68955605237943</v>
      </c>
    </row>
    <row r="17" spans="1:4" s="375" customFormat="1" ht="20.100000000000001" customHeight="1">
      <c r="A17" s="439" t="s">
        <v>451</v>
      </c>
      <c r="B17" s="440">
        <v>2639</v>
      </c>
      <c r="C17" s="440">
        <v>2696</v>
      </c>
      <c r="D17" s="441">
        <f t="shared" si="0"/>
        <v>102.15990905646078</v>
      </c>
    </row>
    <row r="18" spans="1:4" s="375" customFormat="1" ht="20.100000000000001" customHeight="1">
      <c r="A18" s="439" t="s">
        <v>452</v>
      </c>
      <c r="B18" s="440">
        <v>1632</v>
      </c>
      <c r="C18" s="440">
        <v>1971</v>
      </c>
      <c r="D18" s="441">
        <f t="shared" si="0"/>
        <v>120.77205882352942</v>
      </c>
    </row>
    <row r="19" spans="1:4" s="375" customFormat="1" ht="21.75" customHeight="1">
      <c r="A19" s="439" t="s">
        <v>453</v>
      </c>
      <c r="B19" s="440">
        <v>510</v>
      </c>
      <c r="C19" s="440">
        <v>524</v>
      </c>
      <c r="D19" s="441">
        <f t="shared" si="0"/>
        <v>102.74509803921568</v>
      </c>
    </row>
    <row r="20" spans="1:4" s="375" customFormat="1" ht="20.100000000000001" customHeight="1">
      <c r="A20" s="439" t="s">
        <v>454</v>
      </c>
      <c r="B20" s="440">
        <v>2766</v>
      </c>
      <c r="C20" s="440">
        <v>2739</v>
      </c>
      <c r="D20" s="441">
        <f t="shared" si="0"/>
        <v>99.02386117136659</v>
      </c>
    </row>
    <row r="21" spans="1:4" s="375" customFormat="1" ht="30" customHeight="1">
      <c r="A21" s="439" t="s">
        <v>465</v>
      </c>
      <c r="B21" s="440">
        <v>4732</v>
      </c>
      <c r="C21" s="440">
        <v>5443</v>
      </c>
      <c r="D21" s="441">
        <f t="shared" si="0"/>
        <v>115.0253592561285</v>
      </c>
    </row>
    <row r="22" spans="1:4" s="375" customFormat="1" ht="20.100000000000001" customHeight="1">
      <c r="A22" s="439" t="s">
        <v>456</v>
      </c>
      <c r="B22" s="440">
        <v>1258</v>
      </c>
      <c r="C22" s="440">
        <v>1508</v>
      </c>
      <c r="D22" s="441">
        <f t="shared" si="0"/>
        <v>119.87281399046105</v>
      </c>
    </row>
    <row r="23" spans="1:4" s="375" customFormat="1" ht="21" customHeight="1">
      <c r="A23" s="439" t="s">
        <v>457</v>
      </c>
      <c r="B23" s="440">
        <v>227</v>
      </c>
      <c r="C23" s="440">
        <v>288</v>
      </c>
      <c r="D23" s="441">
        <f t="shared" si="0"/>
        <v>126.87224669603525</v>
      </c>
    </row>
    <row r="24" spans="1:4" s="375" customFormat="1" ht="20.100000000000001" customHeight="1">
      <c r="A24" s="439" t="s">
        <v>458</v>
      </c>
      <c r="B24" s="440">
        <v>324</v>
      </c>
      <c r="C24" s="440">
        <v>382</v>
      </c>
      <c r="D24" s="441">
        <f t="shared" si="0"/>
        <v>117.90123456790123</v>
      </c>
    </row>
    <row r="25" spans="1:4" ht="29.25" customHeight="1">
      <c r="A25" s="439" t="s">
        <v>466</v>
      </c>
      <c r="B25" s="440">
        <v>3001</v>
      </c>
      <c r="C25" s="440">
        <v>3458</v>
      </c>
      <c r="D25" s="441">
        <f t="shared" si="0"/>
        <v>115.22825724758414</v>
      </c>
    </row>
    <row r="26" spans="1:4" ht="20.100000000000001" customHeight="1">
      <c r="A26" s="439" t="s">
        <v>460</v>
      </c>
      <c r="B26" s="440">
        <v>387</v>
      </c>
      <c r="C26" s="440">
        <v>478</v>
      </c>
      <c r="D26" s="441">
        <f t="shared" si="0"/>
        <v>123.51421188630492</v>
      </c>
    </row>
    <row r="27" spans="1:4" ht="29.25" customHeight="1">
      <c r="A27" s="443"/>
      <c r="B27" s="440"/>
      <c r="C27" s="384"/>
    </row>
    <row r="28" spans="1:4" ht="20.100000000000001" customHeight="1">
      <c r="A28" s="443"/>
      <c r="B28" s="440"/>
      <c r="C28" s="384"/>
    </row>
    <row r="29" spans="1:4" ht="20.100000000000001" customHeight="1">
      <c r="A29" s="384"/>
      <c r="B29" s="384"/>
      <c r="C29" s="384"/>
    </row>
    <row r="30" spans="1:4" ht="20.100000000000001" customHeight="1">
      <c r="A30" s="384"/>
      <c r="B30" s="384"/>
      <c r="C30" s="384"/>
    </row>
    <row r="31" spans="1:4" ht="20.100000000000001" customHeight="1">
      <c r="A31" s="384"/>
      <c r="B31" s="384"/>
      <c r="C31" s="384"/>
    </row>
    <row r="32" spans="1:4" ht="20.100000000000001" customHeight="1">
      <c r="A32" s="384"/>
      <c r="B32" s="384"/>
      <c r="C32" s="384"/>
    </row>
    <row r="33" spans="1:4" ht="20.100000000000001" customHeight="1">
      <c r="A33" s="384"/>
      <c r="B33" s="384"/>
      <c r="C33" s="384"/>
    </row>
    <row r="34" spans="1:4" ht="20.100000000000001" customHeight="1">
      <c r="A34" s="384"/>
      <c r="B34" s="384"/>
      <c r="C34" s="384"/>
    </row>
    <row r="35" spans="1:4" ht="20.100000000000001" customHeight="1">
      <c r="A35" s="384"/>
      <c r="B35" s="384"/>
      <c r="C35" s="384"/>
    </row>
    <row r="36" spans="1:4" ht="20.100000000000001" customHeight="1">
      <c r="A36" s="384"/>
      <c r="B36" s="384"/>
      <c r="C36" s="384"/>
    </row>
    <row r="37" spans="1:4" ht="20.100000000000001" customHeight="1">
      <c r="A37" s="384"/>
      <c r="B37" s="384"/>
      <c r="C37" s="384"/>
    </row>
    <row r="38" spans="1:4" ht="20.100000000000001" customHeight="1">
      <c r="A38" s="384"/>
      <c r="B38" s="384"/>
      <c r="C38" s="384"/>
    </row>
    <row r="39" spans="1:4" ht="20.100000000000001" customHeight="1">
      <c r="A39" s="384"/>
      <c r="B39" s="384"/>
      <c r="C39" s="384"/>
    </row>
    <row r="40" spans="1:4" ht="20.100000000000001" customHeight="1">
      <c r="A40" s="384"/>
      <c r="B40" s="384"/>
      <c r="C40" s="384"/>
    </row>
    <row r="41" spans="1:4" ht="20.100000000000001" customHeight="1">
      <c r="A41" s="384"/>
      <c r="B41" s="384"/>
      <c r="C41" s="384"/>
    </row>
    <row r="42" spans="1:4" ht="20.100000000000001" customHeight="1">
      <c r="A42" s="384"/>
      <c r="B42" s="384"/>
      <c r="C42" s="384"/>
    </row>
    <row r="43" spans="1:4" ht="20.100000000000001" customHeight="1">
      <c r="A43" s="384"/>
      <c r="B43" s="384"/>
      <c r="C43" s="384"/>
    </row>
    <row r="44" spans="1:4" ht="20.100000000000001" customHeight="1">
      <c r="A44" s="384"/>
      <c r="B44" s="384"/>
      <c r="C44" s="384"/>
      <c r="D44" s="384"/>
    </row>
    <row r="45" spans="1:4" ht="20.100000000000001" customHeight="1">
      <c r="A45" s="384"/>
      <c r="B45" s="384"/>
      <c r="C45" s="384"/>
      <c r="D45" s="384"/>
    </row>
    <row r="46" spans="1:4" ht="20.100000000000001" customHeight="1">
      <c r="A46" s="384"/>
      <c r="B46" s="384"/>
      <c r="C46" s="384"/>
      <c r="D46" s="384"/>
    </row>
    <row r="47" spans="1:4" ht="20.100000000000001" customHeight="1">
      <c r="A47" s="384"/>
      <c r="B47" s="384"/>
      <c r="C47" s="384"/>
      <c r="D47" s="384"/>
    </row>
    <row r="48" spans="1:4" ht="20.100000000000001" customHeight="1">
      <c r="A48" s="384"/>
      <c r="B48" s="384"/>
      <c r="C48" s="384"/>
      <c r="D48" s="384"/>
    </row>
    <row r="49" spans="1:4" ht="20.100000000000001" customHeight="1">
      <c r="A49" s="384"/>
      <c r="B49" s="384"/>
      <c r="C49" s="384"/>
      <c r="D49" s="384"/>
    </row>
    <row r="50" spans="1:4" ht="20.100000000000001" customHeight="1">
      <c r="A50" s="384"/>
      <c r="B50" s="384"/>
      <c r="C50" s="384"/>
      <c r="D50" s="384"/>
    </row>
    <row r="51" spans="1:4" ht="20.100000000000001" customHeight="1">
      <c r="A51" s="384"/>
      <c r="B51" s="384"/>
      <c r="C51" s="384"/>
      <c r="D51" s="384"/>
    </row>
    <row r="52" spans="1:4" ht="20.100000000000001" customHeight="1">
      <c r="A52" s="384"/>
      <c r="B52" s="384"/>
      <c r="C52" s="384"/>
      <c r="D52" s="384"/>
    </row>
    <row r="53" spans="1:4" ht="20.100000000000001" customHeight="1">
      <c r="A53" s="384"/>
      <c r="B53" s="384"/>
      <c r="C53" s="384"/>
      <c r="D53" s="384"/>
    </row>
    <row r="54" spans="1:4" ht="20.100000000000001" customHeight="1">
      <c r="A54" s="384"/>
      <c r="B54" s="384"/>
      <c r="C54" s="384"/>
      <c r="D54" s="384"/>
    </row>
    <row r="55" spans="1:4" ht="20.100000000000001" customHeight="1">
      <c r="A55" s="384"/>
      <c r="B55" s="384"/>
      <c r="C55" s="384"/>
      <c r="D55" s="384"/>
    </row>
    <row r="56" spans="1:4" ht="20.100000000000001" customHeight="1">
      <c r="A56" s="384"/>
      <c r="B56" s="384"/>
      <c r="C56" s="384"/>
      <c r="D56" s="384"/>
    </row>
    <row r="57" spans="1:4" ht="20.100000000000001" customHeight="1">
      <c r="A57" s="384"/>
      <c r="B57" s="384"/>
      <c r="C57" s="384"/>
      <c r="D57" s="384"/>
    </row>
    <row r="58" spans="1:4" ht="20.100000000000001" customHeight="1">
      <c r="A58" s="384"/>
    </row>
    <row r="59" spans="1:4" ht="20.100000000000001" customHeight="1">
      <c r="A59" s="384"/>
    </row>
    <row r="60" spans="1:4" ht="20.100000000000001" customHeight="1"/>
    <row r="61" spans="1:4" ht="20.100000000000001" customHeight="1"/>
    <row r="62" spans="1:4" ht="20.100000000000001" customHeight="1"/>
    <row r="63" spans="1:4" ht="20.100000000000001" customHeight="1"/>
    <row r="64" spans="1: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</sheetData>
  <pageMargins left="0.78740157480314998" right="0.47244094488188998" top="0.74803149606299202" bottom="0.47244094488188998" header="0.43307086614173201" footer="0.31496062992126"/>
  <pageSetup paperSize="9" firstPageNumber="27" fitToHeight="0" orientation="portrait" r:id="rId1"/>
  <headerFooter alignWithMargins="0">
    <oddHeader>&amp;C&amp;"Times New Roman,Regular"&amp;13&amp;P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D84B3-53A9-4FDB-B459-94F3BD08E84B}">
  <sheetPr>
    <pageSetUpPr fitToPage="1"/>
  </sheetPr>
  <dimension ref="A1:G75"/>
  <sheetViews>
    <sheetView workbookViewId="0">
      <selection activeCell="D28" sqref="D28"/>
    </sheetView>
  </sheetViews>
  <sheetFormatPr defaultColWidth="8.7109375" defaultRowHeight="12.75"/>
  <cols>
    <col min="1" max="1" width="49.28515625" style="373" customWidth="1"/>
    <col min="2" max="2" width="9.7109375" style="373" customWidth="1"/>
    <col min="3" max="3" width="9.28515625" style="373" customWidth="1"/>
    <col min="4" max="4" width="20.7109375" style="373" customWidth="1"/>
    <col min="5" max="5" width="10" style="373" customWidth="1"/>
    <col min="6" max="6" width="10.28515625" style="373" customWidth="1"/>
    <col min="7" max="9" width="5.5703125" style="373" customWidth="1"/>
    <col min="10" max="16384" width="8.7109375" style="373"/>
  </cols>
  <sheetData>
    <row r="1" spans="1:6" s="371" customFormat="1" ht="20.100000000000001" customHeight="1">
      <c r="A1" s="370" t="s">
        <v>468</v>
      </c>
      <c r="B1" s="410"/>
      <c r="C1" s="410"/>
    </row>
    <row r="2" spans="1:6" ht="20.100000000000001" customHeight="1">
      <c r="A2" s="384"/>
      <c r="B2" s="384"/>
      <c r="C2" s="384"/>
    </row>
    <row r="3" spans="1:6" s="375" customFormat="1" ht="20.100000000000001" customHeight="1">
      <c r="A3" s="374"/>
      <c r="B3" s="411"/>
      <c r="C3" s="411"/>
      <c r="D3" s="433" t="s">
        <v>462</v>
      </c>
    </row>
    <row r="4" spans="1:6" s="375" customFormat="1" ht="15.95" customHeight="1">
      <c r="A4" s="412"/>
      <c r="B4" s="413" t="s">
        <v>71</v>
      </c>
      <c r="C4" s="413" t="s">
        <v>71</v>
      </c>
      <c r="D4" s="413" t="s">
        <v>430</v>
      </c>
    </row>
    <row r="5" spans="1:6" s="375" customFormat="1" ht="15.95" customHeight="1">
      <c r="A5" s="415"/>
      <c r="B5" s="416" t="s">
        <v>463</v>
      </c>
      <c r="C5" s="416" t="s">
        <v>73</v>
      </c>
      <c r="D5" s="416" t="s">
        <v>464</v>
      </c>
    </row>
    <row r="6" spans="1:6" s="375" customFormat="1" ht="20.100000000000001" customHeight="1">
      <c r="A6" s="374"/>
      <c r="B6" s="195"/>
      <c r="C6" s="195"/>
      <c r="D6" s="195"/>
    </row>
    <row r="7" spans="1:6" s="421" customFormat="1" ht="20.100000000000001" customHeight="1">
      <c r="A7" s="434" t="s">
        <v>32</v>
      </c>
      <c r="B7" s="435">
        <f>B8+B9+B14</f>
        <v>6065</v>
      </c>
      <c r="C7" s="435">
        <f>C8+C9+C14</f>
        <v>7645</v>
      </c>
      <c r="D7" s="436">
        <f>C7/B7*100</f>
        <v>126.05111294311624</v>
      </c>
    </row>
    <row r="8" spans="1:6" s="421" customFormat="1" ht="20.100000000000001" customHeight="1">
      <c r="A8" s="423" t="s">
        <v>444</v>
      </c>
      <c r="B8" s="437">
        <v>122</v>
      </c>
      <c r="C8" s="437">
        <v>171</v>
      </c>
      <c r="D8" s="438">
        <f t="shared" ref="D8:D26" si="0">C8/B8*100</f>
        <v>140.1639344262295</v>
      </c>
      <c r="E8" s="444"/>
      <c r="F8" s="444"/>
    </row>
    <row r="9" spans="1:6" s="421" customFormat="1" ht="20.100000000000001" customHeight="1">
      <c r="A9" s="423" t="s">
        <v>445</v>
      </c>
      <c r="B9" s="437">
        <f>SUM(B10:B13)</f>
        <v>1221</v>
      </c>
      <c r="C9" s="437">
        <f>SUM(C10:C13)</f>
        <v>1523</v>
      </c>
      <c r="D9" s="438">
        <f t="shared" si="0"/>
        <v>124.73382473382473</v>
      </c>
      <c r="E9" s="435"/>
      <c r="F9" s="435"/>
    </row>
    <row r="10" spans="1:6" s="375" customFormat="1" ht="20.100000000000001" customHeight="1">
      <c r="A10" s="439" t="s">
        <v>191</v>
      </c>
      <c r="B10" s="440">
        <v>34</v>
      </c>
      <c r="C10" s="440">
        <v>52</v>
      </c>
      <c r="D10" s="441">
        <f t="shared" si="0"/>
        <v>152.94117647058823</v>
      </c>
    </row>
    <row r="11" spans="1:6" s="375" customFormat="1" ht="19.5" customHeight="1">
      <c r="A11" s="439" t="s">
        <v>197</v>
      </c>
      <c r="B11" s="440">
        <v>651</v>
      </c>
      <c r="C11" s="440">
        <v>818</v>
      </c>
      <c r="D11" s="441">
        <f t="shared" si="0"/>
        <v>125.65284178187403</v>
      </c>
    </row>
    <row r="12" spans="1:6" s="375" customFormat="1" ht="19.5" customHeight="1">
      <c r="A12" s="439" t="s">
        <v>446</v>
      </c>
      <c r="B12" s="440">
        <v>77</v>
      </c>
      <c r="C12" s="440">
        <v>103</v>
      </c>
      <c r="D12" s="441">
        <f t="shared" si="0"/>
        <v>133.76623376623377</v>
      </c>
    </row>
    <row r="13" spans="1:6" s="375" customFormat="1" ht="20.100000000000001" customHeight="1">
      <c r="A13" s="439" t="s">
        <v>447</v>
      </c>
      <c r="B13" s="440">
        <v>459</v>
      </c>
      <c r="C13" s="440">
        <v>550</v>
      </c>
      <c r="D13" s="441">
        <f t="shared" si="0"/>
        <v>119.82570806100219</v>
      </c>
    </row>
    <row r="14" spans="1:6" s="421" customFormat="1" ht="20.100000000000001" customHeight="1">
      <c r="A14" s="442" t="s">
        <v>448</v>
      </c>
      <c r="B14" s="437">
        <f>SUM(B15:B26)</f>
        <v>4722</v>
      </c>
      <c r="C14" s="437">
        <f>SUM(C15:C26)</f>
        <v>5951</v>
      </c>
      <c r="D14" s="438">
        <f t="shared" si="0"/>
        <v>126.02710715798391</v>
      </c>
    </row>
    <row r="15" spans="1:6" s="375" customFormat="1" ht="20.100000000000001" customHeight="1">
      <c r="A15" s="439" t="s">
        <v>449</v>
      </c>
      <c r="B15" s="440">
        <v>2298</v>
      </c>
      <c r="C15" s="440">
        <v>2828</v>
      </c>
      <c r="D15" s="441">
        <f t="shared" si="0"/>
        <v>123.06353350739774</v>
      </c>
    </row>
    <row r="16" spans="1:6" s="375" customFormat="1" ht="20.100000000000001" customHeight="1">
      <c r="A16" s="439" t="s">
        <v>450</v>
      </c>
      <c r="B16" s="440">
        <v>228</v>
      </c>
      <c r="C16" s="440">
        <v>309</v>
      </c>
      <c r="D16" s="441">
        <f t="shared" si="0"/>
        <v>135.5263157894737</v>
      </c>
    </row>
    <row r="17" spans="1:7" s="375" customFormat="1" ht="20.100000000000001" customHeight="1">
      <c r="A17" s="439" t="s">
        <v>451</v>
      </c>
      <c r="B17" s="440">
        <v>274</v>
      </c>
      <c r="C17" s="440">
        <v>390</v>
      </c>
      <c r="D17" s="441">
        <f t="shared" si="0"/>
        <v>142.33576642335765</v>
      </c>
    </row>
    <row r="18" spans="1:7" s="375" customFormat="1" ht="20.100000000000001" customHeight="1">
      <c r="A18" s="439" t="s">
        <v>452</v>
      </c>
      <c r="B18" s="440">
        <v>232</v>
      </c>
      <c r="C18" s="440">
        <v>248</v>
      </c>
      <c r="D18" s="441">
        <f t="shared" si="0"/>
        <v>106.89655172413792</v>
      </c>
    </row>
    <row r="19" spans="1:7" s="375" customFormat="1" ht="21.75" customHeight="1">
      <c r="A19" s="439" t="s">
        <v>453</v>
      </c>
      <c r="B19" s="440">
        <v>80</v>
      </c>
      <c r="C19" s="440">
        <v>95</v>
      </c>
      <c r="D19" s="441">
        <f t="shared" si="0"/>
        <v>118.75</v>
      </c>
    </row>
    <row r="20" spans="1:7" s="375" customFormat="1" ht="20.100000000000001" customHeight="1">
      <c r="A20" s="439" t="s">
        <v>454</v>
      </c>
      <c r="B20" s="440">
        <v>386</v>
      </c>
      <c r="C20" s="440">
        <v>440</v>
      </c>
      <c r="D20" s="441">
        <f t="shared" si="0"/>
        <v>113.98963730569949</v>
      </c>
    </row>
    <row r="21" spans="1:7" s="375" customFormat="1" ht="30" customHeight="1">
      <c r="A21" s="439" t="s">
        <v>465</v>
      </c>
      <c r="B21" s="440">
        <v>445</v>
      </c>
      <c r="C21" s="440">
        <v>535</v>
      </c>
      <c r="D21" s="441">
        <f t="shared" si="0"/>
        <v>120.2247191011236</v>
      </c>
    </row>
    <row r="22" spans="1:7" s="375" customFormat="1" ht="20.100000000000001" customHeight="1">
      <c r="A22" s="439" t="s">
        <v>456</v>
      </c>
      <c r="B22" s="440">
        <v>258</v>
      </c>
      <c r="C22" s="440">
        <v>412</v>
      </c>
      <c r="D22" s="441">
        <f t="shared" si="0"/>
        <v>159.68992248062014</v>
      </c>
    </row>
    <row r="23" spans="1:7" s="375" customFormat="1" ht="21" customHeight="1">
      <c r="A23" s="439" t="s">
        <v>457</v>
      </c>
      <c r="B23" s="440">
        <v>81</v>
      </c>
      <c r="C23" s="440">
        <v>92</v>
      </c>
      <c r="D23" s="441">
        <f t="shared" si="0"/>
        <v>113.58024691358024</v>
      </c>
    </row>
    <row r="24" spans="1:7" s="375" customFormat="1" ht="20.100000000000001" customHeight="1">
      <c r="A24" s="439" t="s">
        <v>458</v>
      </c>
      <c r="B24" s="440">
        <v>64</v>
      </c>
      <c r="C24" s="440">
        <v>66</v>
      </c>
      <c r="D24" s="441">
        <f t="shared" si="0"/>
        <v>103.125</v>
      </c>
    </row>
    <row r="25" spans="1:7" ht="29.25" customHeight="1">
      <c r="A25" s="439" t="s">
        <v>466</v>
      </c>
      <c r="B25" s="440">
        <v>300</v>
      </c>
      <c r="C25" s="440">
        <v>439</v>
      </c>
      <c r="D25" s="441">
        <f t="shared" si="0"/>
        <v>146.33333333333334</v>
      </c>
    </row>
    <row r="26" spans="1:7" ht="20.100000000000001" customHeight="1">
      <c r="A26" s="439" t="s">
        <v>460</v>
      </c>
      <c r="B26" s="440">
        <v>76</v>
      </c>
      <c r="C26" s="440">
        <v>97</v>
      </c>
      <c r="D26" s="441">
        <f t="shared" si="0"/>
        <v>127.63157894736842</v>
      </c>
    </row>
    <row r="27" spans="1:7" ht="20.100000000000001" customHeight="1">
      <c r="A27" s="443"/>
      <c r="B27" s="440"/>
      <c r="C27" s="384"/>
      <c r="E27" s="384"/>
      <c r="F27" s="384"/>
      <c r="G27" s="384"/>
    </row>
    <row r="28" spans="1:7" ht="20.100000000000001" customHeight="1">
      <c r="A28" s="384"/>
      <c r="B28" s="440"/>
      <c r="C28" s="384"/>
    </row>
    <row r="29" spans="1:7" ht="20.100000000000001" customHeight="1">
      <c r="A29" s="384"/>
      <c r="B29" s="384"/>
      <c r="C29" s="384"/>
    </row>
    <row r="30" spans="1:7" ht="20.100000000000001" customHeight="1">
      <c r="A30" s="384"/>
      <c r="B30" s="384"/>
      <c r="C30" s="384"/>
    </row>
    <row r="31" spans="1:7" ht="20.100000000000001" customHeight="1">
      <c r="A31" s="384"/>
      <c r="B31" s="384"/>
      <c r="C31" s="384"/>
    </row>
    <row r="32" spans="1:7" ht="20.100000000000001" customHeight="1">
      <c r="A32" s="384"/>
      <c r="B32" s="384"/>
      <c r="C32" s="384"/>
    </row>
    <row r="33" spans="1:4" ht="20.100000000000001" customHeight="1">
      <c r="A33" s="384"/>
      <c r="B33" s="384"/>
      <c r="C33" s="384"/>
    </row>
    <row r="34" spans="1:4" ht="20.100000000000001" customHeight="1">
      <c r="A34" s="384"/>
      <c r="B34" s="384"/>
      <c r="C34" s="384"/>
    </row>
    <row r="35" spans="1:4" ht="20.100000000000001" customHeight="1">
      <c r="A35" s="384"/>
      <c r="B35" s="384"/>
      <c r="C35" s="384"/>
    </row>
    <row r="36" spans="1:4" ht="20.100000000000001" customHeight="1">
      <c r="A36" s="384"/>
      <c r="B36" s="384"/>
      <c r="C36" s="384"/>
    </row>
    <row r="37" spans="1:4" ht="20.100000000000001" customHeight="1">
      <c r="A37" s="384"/>
      <c r="B37" s="384"/>
      <c r="C37" s="384"/>
    </row>
    <row r="38" spans="1:4" ht="20.100000000000001" customHeight="1">
      <c r="A38" s="384"/>
      <c r="B38" s="384"/>
      <c r="C38" s="384"/>
    </row>
    <row r="39" spans="1:4" ht="20.100000000000001" customHeight="1">
      <c r="A39" s="384"/>
      <c r="B39" s="384"/>
      <c r="C39" s="384"/>
    </row>
    <row r="40" spans="1:4" ht="20.100000000000001" customHeight="1">
      <c r="A40" s="384"/>
      <c r="B40" s="384"/>
      <c r="C40" s="384"/>
    </row>
    <row r="41" spans="1:4" ht="20.100000000000001" customHeight="1">
      <c r="A41" s="384"/>
      <c r="B41" s="384"/>
      <c r="C41" s="384"/>
    </row>
    <row r="42" spans="1:4" ht="20.100000000000001" customHeight="1">
      <c r="A42" s="384"/>
      <c r="B42" s="384"/>
      <c r="C42" s="384"/>
    </row>
    <row r="43" spans="1:4" ht="20.100000000000001" customHeight="1">
      <c r="A43" s="384"/>
      <c r="B43" s="384"/>
      <c r="C43" s="384"/>
    </row>
    <row r="44" spans="1:4" ht="20.100000000000001" customHeight="1">
      <c r="A44" s="384"/>
      <c r="B44" s="384"/>
      <c r="C44" s="384"/>
      <c r="D44" s="384"/>
    </row>
    <row r="45" spans="1:4" ht="20.100000000000001" customHeight="1">
      <c r="A45" s="384"/>
      <c r="B45" s="384"/>
      <c r="C45" s="384"/>
      <c r="D45" s="384"/>
    </row>
    <row r="46" spans="1:4" ht="20.100000000000001" customHeight="1">
      <c r="A46" s="384"/>
      <c r="B46" s="384"/>
      <c r="C46" s="384"/>
      <c r="D46" s="384"/>
    </row>
    <row r="47" spans="1:4" ht="20.100000000000001" customHeight="1">
      <c r="A47" s="384"/>
      <c r="B47" s="384"/>
      <c r="C47" s="384"/>
      <c r="D47" s="384"/>
    </row>
    <row r="48" spans="1:4" ht="20.100000000000001" customHeight="1">
      <c r="A48" s="384"/>
      <c r="B48" s="384"/>
      <c r="C48" s="384"/>
      <c r="D48" s="384"/>
    </row>
    <row r="49" spans="1:4" ht="20.100000000000001" customHeight="1">
      <c r="A49" s="384"/>
      <c r="B49" s="384"/>
      <c r="C49" s="384"/>
      <c r="D49" s="384"/>
    </row>
    <row r="50" spans="1:4" ht="20.100000000000001" customHeight="1">
      <c r="A50" s="384"/>
      <c r="B50" s="384"/>
      <c r="C50" s="384"/>
      <c r="D50" s="384"/>
    </row>
    <row r="51" spans="1:4" ht="20.100000000000001" customHeight="1">
      <c r="A51" s="384"/>
      <c r="B51" s="384"/>
      <c r="C51" s="384"/>
      <c r="D51" s="384"/>
    </row>
    <row r="52" spans="1:4" ht="20.100000000000001" customHeight="1">
      <c r="A52" s="384"/>
      <c r="B52" s="384"/>
      <c r="C52" s="384"/>
      <c r="D52" s="384"/>
    </row>
    <row r="53" spans="1:4" ht="20.100000000000001" customHeight="1">
      <c r="A53" s="384"/>
      <c r="B53" s="384"/>
      <c r="C53" s="384"/>
      <c r="D53" s="384"/>
    </row>
    <row r="54" spans="1:4" ht="20.100000000000001" customHeight="1">
      <c r="A54" s="384"/>
      <c r="B54" s="384"/>
      <c r="C54" s="384"/>
      <c r="D54" s="384"/>
    </row>
    <row r="55" spans="1:4" ht="20.100000000000001" customHeight="1">
      <c r="A55" s="384"/>
      <c r="B55" s="384"/>
      <c r="C55" s="384"/>
      <c r="D55" s="384"/>
    </row>
    <row r="56" spans="1:4" ht="20.100000000000001" customHeight="1">
      <c r="A56" s="384"/>
      <c r="B56" s="384"/>
      <c r="C56" s="384"/>
      <c r="D56" s="384"/>
    </row>
    <row r="57" spans="1:4" ht="20.100000000000001" customHeight="1">
      <c r="A57" s="384"/>
      <c r="B57" s="384"/>
      <c r="C57" s="384"/>
      <c r="D57" s="384"/>
    </row>
    <row r="58" spans="1:4" ht="20.100000000000001" customHeight="1">
      <c r="A58" s="384"/>
    </row>
    <row r="59" spans="1:4" ht="20.100000000000001" customHeight="1"/>
    <row r="60" spans="1:4" ht="20.100000000000001" customHeight="1"/>
    <row r="61" spans="1:4" ht="20.100000000000001" customHeight="1"/>
    <row r="62" spans="1:4" ht="20.100000000000001" customHeight="1"/>
    <row r="63" spans="1:4" ht="20.100000000000001" customHeight="1"/>
    <row r="64" spans="1: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</sheetData>
  <pageMargins left="0.78740157480314998" right="0.47244094488188998" top="0.74803149606299202" bottom="0.47244094488188998" header="0.43307086614173201" footer="0.31496062992126"/>
  <pageSetup paperSize="9" firstPageNumber="27" fitToHeight="0" orientation="portrait" r:id="rId1"/>
  <headerFooter alignWithMargins="0">
    <oddHeader>&amp;C&amp;"Times New Roman,Regular"&amp;13&amp;P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CAB2D-6943-4263-9C3E-A7407E394782}">
  <sheetPr>
    <pageSetUpPr fitToPage="1"/>
  </sheetPr>
  <dimension ref="A1:H74"/>
  <sheetViews>
    <sheetView topLeftCell="A3" workbookViewId="0">
      <selection activeCell="D28" sqref="D28"/>
    </sheetView>
  </sheetViews>
  <sheetFormatPr defaultColWidth="9" defaultRowHeight="15"/>
  <cols>
    <col min="1" max="1" width="2" style="35" customWidth="1"/>
    <col min="2" max="2" width="31.42578125" style="35" customWidth="1"/>
    <col min="3" max="3" width="10.42578125" style="35" customWidth="1"/>
    <col min="4" max="4" width="10.140625" style="35" customWidth="1"/>
    <col min="5" max="5" width="9.85546875" style="35" customWidth="1"/>
    <col min="6" max="6" width="12.85546875" style="35" customWidth="1"/>
    <col min="7" max="7" width="13" style="35" customWidth="1"/>
    <col min="8" max="16384" width="9" style="35"/>
  </cols>
  <sheetData>
    <row r="1" spans="1:8" ht="20.100000000000001" customHeight="1">
      <c r="A1" s="34" t="s">
        <v>22</v>
      </c>
    </row>
    <row r="2" spans="1:8" ht="18" customHeight="1">
      <c r="A2" s="36"/>
      <c r="B2" s="36"/>
      <c r="C2" s="36"/>
      <c r="D2" s="36"/>
      <c r="E2" s="36"/>
      <c r="F2" s="36"/>
    </row>
    <row r="3" spans="1:8" ht="18" customHeight="1">
      <c r="A3" s="37"/>
      <c r="B3" s="37"/>
      <c r="C3" s="37"/>
      <c r="D3" s="37"/>
      <c r="E3" s="37"/>
      <c r="G3" s="38" t="s">
        <v>23</v>
      </c>
    </row>
    <row r="4" spans="1:8" ht="15.95" customHeight="1">
      <c r="A4" s="39"/>
      <c r="B4" s="39"/>
      <c r="C4" s="40" t="s">
        <v>24</v>
      </c>
      <c r="D4" s="40" t="s">
        <v>25</v>
      </c>
      <c r="E4" s="40" t="s">
        <v>26</v>
      </c>
      <c r="F4" s="41" t="s">
        <v>356</v>
      </c>
      <c r="G4" s="41" t="s">
        <v>356</v>
      </c>
    </row>
    <row r="5" spans="1:8" ht="15.95" customHeight="1">
      <c r="A5" s="42"/>
      <c r="B5" s="42"/>
      <c r="C5" s="43" t="s">
        <v>231</v>
      </c>
      <c r="D5" s="43" t="s">
        <v>70</v>
      </c>
      <c r="E5" s="43" t="s">
        <v>71</v>
      </c>
      <c r="F5" s="43" t="s">
        <v>27</v>
      </c>
      <c r="G5" s="43" t="s">
        <v>27</v>
      </c>
    </row>
    <row r="6" spans="1:8" ht="15.95" customHeight="1">
      <c r="A6" s="42"/>
      <c r="B6" s="42"/>
      <c r="C6" s="43" t="s">
        <v>28</v>
      </c>
      <c r="D6" s="43" t="s">
        <v>28</v>
      </c>
      <c r="E6" s="43" t="s">
        <v>28</v>
      </c>
      <c r="F6" s="43" t="s">
        <v>29</v>
      </c>
      <c r="G6" s="43" t="s">
        <v>30</v>
      </c>
    </row>
    <row r="7" spans="1:8" ht="15.95" customHeight="1">
      <c r="A7" s="42"/>
      <c r="B7" s="42"/>
      <c r="C7" s="44">
        <v>2025</v>
      </c>
      <c r="D7" s="44">
        <v>2025</v>
      </c>
      <c r="E7" s="44">
        <v>2025</v>
      </c>
      <c r="F7" s="44" t="s">
        <v>31</v>
      </c>
      <c r="G7" s="44" t="s">
        <v>7</v>
      </c>
    </row>
    <row r="8" spans="1:8" ht="15.95" customHeight="1">
      <c r="A8" s="42"/>
      <c r="B8" s="42"/>
      <c r="E8" s="43"/>
      <c r="F8" s="43"/>
      <c r="G8" s="43"/>
    </row>
    <row r="9" spans="1:8" ht="12" customHeight="1">
      <c r="A9" s="45" t="s">
        <v>32</v>
      </c>
      <c r="B9" s="46"/>
      <c r="C9" s="47">
        <v>43970.574999999997</v>
      </c>
      <c r="D9" s="47">
        <v>48709.689999999995</v>
      </c>
      <c r="E9" s="47">
        <v>165574.44619999998</v>
      </c>
      <c r="F9" s="48">
        <v>18.552652759829524</v>
      </c>
      <c r="G9" s="48">
        <v>117.6729041192085</v>
      </c>
    </row>
    <row r="10" spans="1:8" ht="15.6" customHeight="1">
      <c r="A10" s="49"/>
      <c r="B10" s="50" t="s">
        <v>33</v>
      </c>
      <c r="C10" s="51">
        <v>6788.3</v>
      </c>
      <c r="D10" s="51">
        <v>7998.4</v>
      </c>
      <c r="E10" s="51">
        <v>24884.06</v>
      </c>
      <c r="F10" s="52">
        <v>17.519509557424211</v>
      </c>
      <c r="G10" s="52">
        <v>106.91467856285091</v>
      </c>
      <c r="H10" s="53"/>
    </row>
    <row r="11" spans="1:8" ht="15.6" customHeight="1">
      <c r="A11" s="49"/>
      <c r="B11" s="54" t="s">
        <v>34</v>
      </c>
      <c r="D11" s="51"/>
      <c r="E11" s="51"/>
      <c r="F11" s="52"/>
      <c r="G11" s="52"/>
      <c r="H11" s="53"/>
    </row>
    <row r="12" spans="1:8" ht="15.6" customHeight="1">
      <c r="A12" s="49"/>
      <c r="B12" s="55" t="s">
        <v>35</v>
      </c>
      <c r="C12" s="56">
        <v>4394.7</v>
      </c>
      <c r="D12" s="56">
        <v>5216.24</v>
      </c>
      <c r="E12" s="56">
        <v>15699.57</v>
      </c>
      <c r="F12" s="57">
        <v>18.879837689558311</v>
      </c>
      <c r="G12" s="57">
        <v>102.55405792046028</v>
      </c>
      <c r="H12" s="53"/>
    </row>
    <row r="13" spans="1:8" ht="15.6" customHeight="1">
      <c r="A13" s="49"/>
      <c r="B13" s="55" t="s">
        <v>36</v>
      </c>
      <c r="C13" s="56">
        <v>897.64</v>
      </c>
      <c r="D13" s="56">
        <v>1048.33</v>
      </c>
      <c r="E13" s="56">
        <v>3484.5299999999997</v>
      </c>
      <c r="F13" s="57">
        <v>14.902999820370036</v>
      </c>
      <c r="G13" s="57">
        <v>148.31889671611293</v>
      </c>
      <c r="H13" s="53"/>
    </row>
    <row r="14" spans="1:8" ht="15.6" customHeight="1">
      <c r="A14" s="49"/>
      <c r="B14" s="55" t="s">
        <v>37</v>
      </c>
      <c r="C14" s="56">
        <v>168.21</v>
      </c>
      <c r="D14" s="56">
        <v>227.62099999999998</v>
      </c>
      <c r="E14" s="56">
        <v>652.89100000000008</v>
      </c>
      <c r="F14" s="57">
        <v>11.338909372574015</v>
      </c>
      <c r="G14" s="57">
        <v>317.13751396512367</v>
      </c>
      <c r="H14" s="53"/>
    </row>
    <row r="15" spans="1:8" ht="15.6" customHeight="1">
      <c r="A15" s="49"/>
      <c r="B15" s="55" t="s">
        <v>487</v>
      </c>
      <c r="C15" s="56">
        <v>93.809999999999988</v>
      </c>
      <c r="D15" s="56">
        <v>107.11</v>
      </c>
      <c r="E15" s="56">
        <v>328.53</v>
      </c>
      <c r="F15" s="57">
        <v>11.234867656111073</v>
      </c>
      <c r="G15" s="57">
        <v>153.38967223830423</v>
      </c>
      <c r="H15" s="53"/>
    </row>
    <row r="16" spans="1:8" ht="15.6" customHeight="1">
      <c r="A16" s="49"/>
      <c r="B16" s="55" t="s">
        <v>38</v>
      </c>
      <c r="C16" s="56">
        <v>48.110000000000007</v>
      </c>
      <c r="D16" s="56">
        <v>55.71</v>
      </c>
      <c r="E16" s="56">
        <v>176.76</v>
      </c>
      <c r="F16" s="58">
        <v>10.843320279143724</v>
      </c>
      <c r="G16" s="57">
        <v>125.25510204081631</v>
      </c>
      <c r="H16" s="53"/>
    </row>
    <row r="17" spans="1:8" ht="15.6" customHeight="1">
      <c r="A17" s="49"/>
      <c r="B17" s="55" t="s">
        <v>39</v>
      </c>
      <c r="C17" s="59">
        <v>26.509999999999998</v>
      </c>
      <c r="D17" s="59">
        <v>33.520000000000003</v>
      </c>
      <c r="E17" s="59">
        <v>110.09</v>
      </c>
      <c r="F17" s="58">
        <v>11.922992780573178</v>
      </c>
      <c r="G17" s="58">
        <v>110.83369408732597</v>
      </c>
      <c r="H17" s="53"/>
    </row>
    <row r="18" spans="1:8" ht="15.6" customHeight="1">
      <c r="A18" s="49"/>
      <c r="B18" s="55" t="s">
        <v>488</v>
      </c>
      <c r="C18" s="59">
        <v>16.009999999999998</v>
      </c>
      <c r="D18" s="59">
        <v>19.731999999999999</v>
      </c>
      <c r="E18" s="59">
        <v>60.201999999999998</v>
      </c>
      <c r="F18" s="58">
        <v>14.215146892842132</v>
      </c>
      <c r="G18" s="58">
        <v>44.759851301115241</v>
      </c>
      <c r="H18" s="53"/>
    </row>
    <row r="19" spans="1:8" ht="15.6" customHeight="1">
      <c r="A19" s="49"/>
      <c r="B19" s="50" t="s">
        <v>40</v>
      </c>
      <c r="C19" s="51">
        <v>37182.274999999994</v>
      </c>
      <c r="D19" s="51">
        <v>40711.289999999994</v>
      </c>
      <c r="E19" s="51">
        <v>140690.38619999998</v>
      </c>
      <c r="F19" s="52">
        <v>18.748201493858826</v>
      </c>
      <c r="G19" s="52">
        <v>119.80514166247789</v>
      </c>
      <c r="H19" s="53"/>
    </row>
    <row r="20" spans="1:8" ht="15.6" customHeight="1">
      <c r="A20" s="49"/>
      <c r="B20" s="60" t="s">
        <v>41</v>
      </c>
      <c r="C20" s="56">
        <v>25559.004000000001</v>
      </c>
      <c r="D20" s="56">
        <v>28268.046999999999</v>
      </c>
      <c r="E20" s="56">
        <v>94996.376300000004</v>
      </c>
      <c r="F20" s="57">
        <v>17.518263144816586</v>
      </c>
      <c r="G20" s="57">
        <v>122.4644304436985</v>
      </c>
      <c r="H20" s="53"/>
    </row>
    <row r="21" spans="1:8" ht="15.6" customHeight="1">
      <c r="A21" s="49"/>
      <c r="B21" s="60" t="s">
        <v>42</v>
      </c>
      <c r="C21" s="56">
        <v>10083.441999999999</v>
      </c>
      <c r="D21" s="56">
        <v>10812.861000000001</v>
      </c>
      <c r="E21" s="56">
        <v>39609.516799999998</v>
      </c>
      <c r="F21" s="57">
        <v>21.623220541050145</v>
      </c>
      <c r="G21" s="57">
        <v>115.64843358256589</v>
      </c>
      <c r="H21" s="53"/>
    </row>
    <row r="22" spans="1:8" ht="15.6" customHeight="1">
      <c r="A22" s="49"/>
      <c r="B22" s="60" t="s">
        <v>43</v>
      </c>
      <c r="C22" s="56">
        <v>1539.829</v>
      </c>
      <c r="D22" s="56">
        <v>1630.3820000000001</v>
      </c>
      <c r="E22" s="56">
        <v>6084.4930999999997</v>
      </c>
      <c r="F22" s="57">
        <v>24.36748629940584</v>
      </c>
      <c r="G22" s="57">
        <v>108.41636027806791</v>
      </c>
      <c r="H22" s="53"/>
    </row>
    <row r="23" spans="1:8" ht="15.6" customHeight="1">
      <c r="B23" s="61" t="s">
        <v>44</v>
      </c>
      <c r="C23" s="62"/>
      <c r="D23" s="62"/>
      <c r="E23" s="62"/>
      <c r="F23" s="63"/>
      <c r="G23" s="63"/>
      <c r="H23" s="53"/>
    </row>
    <row r="24" spans="1:8" ht="15.6" customHeight="1">
      <c r="A24" s="64"/>
      <c r="B24" s="65" t="s">
        <v>45</v>
      </c>
      <c r="C24" s="66">
        <v>5142.1760000000004</v>
      </c>
      <c r="D24" s="66">
        <v>5685.7330000000002</v>
      </c>
      <c r="E24" s="66">
        <v>19890.566999999999</v>
      </c>
      <c r="F24" s="63">
        <v>19.021235116582741</v>
      </c>
      <c r="G24" s="63">
        <v>142.11933253689708</v>
      </c>
      <c r="H24" s="53"/>
    </row>
    <row r="25" spans="1:8" ht="15.6" customHeight="1">
      <c r="A25" s="64"/>
      <c r="B25" s="65" t="s">
        <v>46</v>
      </c>
      <c r="C25" s="66">
        <v>3471.5479999999998</v>
      </c>
      <c r="D25" s="66">
        <v>3871.096</v>
      </c>
      <c r="E25" s="66">
        <v>11775.154</v>
      </c>
      <c r="F25" s="63">
        <v>13.966001492012015</v>
      </c>
      <c r="G25" s="63">
        <v>112.92277037025814</v>
      </c>
      <c r="H25" s="53"/>
    </row>
    <row r="26" spans="1:8" ht="15.6" customHeight="1">
      <c r="A26" s="64"/>
      <c r="B26" s="65" t="s">
        <v>47</v>
      </c>
      <c r="C26" s="66">
        <v>1444.3</v>
      </c>
      <c r="D26" s="66">
        <v>1536.924</v>
      </c>
      <c r="E26" s="66">
        <v>5865.598</v>
      </c>
      <c r="F26" s="63">
        <v>20.369087745771917</v>
      </c>
      <c r="G26" s="63">
        <v>160.20192397507168</v>
      </c>
      <c r="H26" s="53"/>
    </row>
    <row r="27" spans="1:8" ht="15.6" customHeight="1">
      <c r="A27" s="64"/>
      <c r="B27" s="65" t="s">
        <v>48</v>
      </c>
      <c r="C27" s="66">
        <v>1485.4670000000001</v>
      </c>
      <c r="D27" s="66">
        <v>1742.4459999999999</v>
      </c>
      <c r="E27" s="66">
        <v>5322.5069999999996</v>
      </c>
      <c r="F27" s="63">
        <v>14.784741666666665</v>
      </c>
      <c r="G27" s="63">
        <v>140.62150263091985</v>
      </c>
      <c r="H27" s="53"/>
    </row>
    <row r="28" spans="1:8" ht="15.6" customHeight="1">
      <c r="A28" s="64"/>
      <c r="B28" s="65" t="s">
        <v>49</v>
      </c>
      <c r="C28" s="66">
        <v>1150.6500000000001</v>
      </c>
      <c r="D28" s="66">
        <v>1261.3699999999999</v>
      </c>
      <c r="E28" s="66">
        <v>4358.5839999999998</v>
      </c>
      <c r="F28" s="63">
        <v>17.13239130909033</v>
      </c>
      <c r="G28" s="63">
        <v>125.37690733333619</v>
      </c>
      <c r="H28" s="53"/>
    </row>
    <row r="29" spans="1:8" ht="15.6" customHeight="1">
      <c r="A29" s="64"/>
      <c r="B29" s="65" t="s">
        <v>50</v>
      </c>
      <c r="C29" s="66">
        <v>1126.55</v>
      </c>
      <c r="D29" s="66">
        <v>1297.2</v>
      </c>
      <c r="E29" s="66">
        <v>4279.6809999999996</v>
      </c>
      <c r="F29" s="63">
        <v>16.692836328191579</v>
      </c>
      <c r="G29" s="63">
        <v>110.4861218093357</v>
      </c>
      <c r="H29" s="53"/>
    </row>
    <row r="30" spans="1:8">
      <c r="A30" s="64"/>
      <c r="B30" s="65" t="s">
        <v>51</v>
      </c>
      <c r="C30" s="66">
        <v>833.971</v>
      </c>
      <c r="D30" s="66">
        <v>861.88300000000004</v>
      </c>
      <c r="E30" s="66">
        <v>3163.5740000000001</v>
      </c>
      <c r="F30" s="63">
        <v>22.250098763933419</v>
      </c>
      <c r="G30" s="63">
        <v>116.11746914984988</v>
      </c>
      <c r="H30" s="53"/>
    </row>
    <row r="31" spans="1:8">
      <c r="A31" s="64"/>
      <c r="B31" s="65" t="s">
        <v>52</v>
      </c>
      <c r="C31" s="66">
        <v>852.43</v>
      </c>
      <c r="D31" s="66">
        <v>976.34799999999996</v>
      </c>
      <c r="E31" s="66">
        <v>3085.18</v>
      </c>
      <c r="F31" s="63">
        <v>17.748790736419657</v>
      </c>
      <c r="G31" s="63">
        <v>225.91045388144235</v>
      </c>
      <c r="H31" s="53"/>
    </row>
    <row r="32" spans="1:8">
      <c r="A32" s="64"/>
      <c r="B32" s="65" t="s">
        <v>53</v>
      </c>
      <c r="C32" s="66">
        <v>789.48400000000004</v>
      </c>
      <c r="D32" s="66">
        <v>836.32399999999996</v>
      </c>
      <c r="E32" s="66">
        <v>3007.3222000000001</v>
      </c>
      <c r="F32" s="63">
        <v>20.929848257110429</v>
      </c>
      <c r="G32" s="63">
        <v>141.90107247220675</v>
      </c>
      <c r="H32" s="53"/>
    </row>
    <row r="33" spans="1:8">
      <c r="A33" s="64"/>
      <c r="B33" s="65" t="s">
        <v>54</v>
      </c>
      <c r="C33" s="66">
        <v>760.86500000000001</v>
      </c>
      <c r="D33" s="66">
        <v>803.8</v>
      </c>
      <c r="E33" s="66">
        <v>2963.7150000000001</v>
      </c>
      <c r="F33" s="63">
        <v>18.792906352613176</v>
      </c>
      <c r="G33" s="63">
        <v>101.776486409266</v>
      </c>
      <c r="H33" s="53"/>
    </row>
    <row r="34" spans="1:8">
      <c r="A34" s="64"/>
      <c r="B34" s="65" t="s">
        <v>55</v>
      </c>
      <c r="C34" s="66">
        <v>722.476</v>
      </c>
      <c r="D34" s="66">
        <v>843.12400000000002</v>
      </c>
      <c r="E34" s="66">
        <v>2922.26</v>
      </c>
      <c r="F34" s="63">
        <v>20.741021700403792</v>
      </c>
      <c r="G34" s="63">
        <v>87.723679984149911</v>
      </c>
      <c r="H34" s="53"/>
    </row>
    <row r="35" spans="1:8">
      <c r="A35" s="64"/>
      <c r="B35" s="65" t="s">
        <v>56</v>
      </c>
      <c r="C35" s="66">
        <v>814.01</v>
      </c>
      <c r="D35" s="66">
        <v>710.83100000000002</v>
      </c>
      <c r="E35" s="66">
        <v>2698.7139999999999</v>
      </c>
      <c r="F35" s="63">
        <v>25.602293996142837</v>
      </c>
      <c r="G35" s="63">
        <v>171.17835071621533</v>
      </c>
      <c r="H35" s="53"/>
    </row>
    <row r="36" spans="1:8">
      <c r="A36" s="64"/>
      <c r="B36" s="65" t="s">
        <v>57</v>
      </c>
      <c r="C36" s="66">
        <v>622.64099999999996</v>
      </c>
      <c r="D36" s="66">
        <v>643.12</v>
      </c>
      <c r="E36" s="66">
        <v>2428.1979999999999</v>
      </c>
      <c r="F36" s="63">
        <v>24.272382699880467</v>
      </c>
      <c r="G36" s="63">
        <v>97.115256170595345</v>
      </c>
      <c r="H36" s="53"/>
    </row>
    <row r="37" spans="1:8">
      <c r="A37" s="64"/>
      <c r="B37" s="65" t="s">
        <v>58</v>
      </c>
      <c r="C37" s="66">
        <v>579.35</v>
      </c>
      <c r="D37" s="66">
        <v>610.52</v>
      </c>
      <c r="E37" s="66">
        <v>2389.732</v>
      </c>
      <c r="F37" s="63">
        <v>19.682112241142963</v>
      </c>
      <c r="G37" s="63">
        <v>112.48709077643626</v>
      </c>
      <c r="H37" s="53"/>
    </row>
    <row r="38" spans="1:8">
      <c r="A38" s="64"/>
      <c r="B38" s="65" t="s">
        <v>59</v>
      </c>
      <c r="C38" s="66">
        <v>576.45899999999995</v>
      </c>
      <c r="D38" s="66">
        <v>627.72400000000005</v>
      </c>
      <c r="E38" s="66">
        <v>2344.8850000000002</v>
      </c>
      <c r="F38" s="63">
        <v>23.322746243336905</v>
      </c>
      <c r="G38" s="63">
        <v>130.22884746538355</v>
      </c>
      <c r="H38" s="53"/>
    </row>
    <row r="39" spans="1:8">
      <c r="A39" s="64"/>
      <c r="B39" s="65" t="s">
        <v>60</v>
      </c>
      <c r="C39" s="66">
        <v>531.72299999999996</v>
      </c>
      <c r="D39" s="66">
        <v>574.77700000000004</v>
      </c>
      <c r="E39" s="66">
        <v>2161.6669999999999</v>
      </c>
      <c r="F39" s="63">
        <v>15.227985092027971</v>
      </c>
      <c r="G39" s="63">
        <v>138.82460001502773</v>
      </c>
      <c r="H39" s="53"/>
    </row>
    <row r="40" spans="1:8">
      <c r="A40" s="64"/>
      <c r="B40" s="65" t="s">
        <v>61</v>
      </c>
      <c r="C40" s="66">
        <v>557.21100000000001</v>
      </c>
      <c r="D40" s="66">
        <v>587.99199999999996</v>
      </c>
      <c r="E40" s="66">
        <v>2124.2429999999999</v>
      </c>
      <c r="F40" s="63">
        <v>25.445249918875589</v>
      </c>
      <c r="G40" s="63">
        <v>157.92301464635312</v>
      </c>
      <c r="H40" s="53"/>
    </row>
    <row r="41" spans="1:8">
      <c r="A41" s="64"/>
      <c r="B41" s="65" t="s">
        <v>62</v>
      </c>
      <c r="C41" s="66">
        <v>528.76400000000001</v>
      </c>
      <c r="D41" s="66">
        <v>582.31399999999996</v>
      </c>
      <c r="E41" s="66">
        <v>2102.58</v>
      </c>
      <c r="F41" s="63">
        <v>24.406050148607164</v>
      </c>
      <c r="G41" s="63">
        <v>128.40151840850464</v>
      </c>
      <c r="H41" s="53"/>
    </row>
    <row r="42" spans="1:8">
      <c r="A42" s="64"/>
      <c r="B42" s="65" t="s">
        <v>63</v>
      </c>
      <c r="C42" s="66">
        <v>556.41300000000001</v>
      </c>
      <c r="D42" s="66">
        <v>620.69600000000003</v>
      </c>
      <c r="E42" s="66">
        <v>2074.2890000000002</v>
      </c>
      <c r="F42" s="63">
        <v>21.152583819712095</v>
      </c>
      <c r="G42" s="63">
        <v>105.00336632159761</v>
      </c>
      <c r="H42" s="53"/>
    </row>
    <row r="43" spans="1:8">
      <c r="A43" s="64"/>
      <c r="B43" s="65" t="s">
        <v>64</v>
      </c>
      <c r="C43" s="66">
        <v>514.38199999999995</v>
      </c>
      <c r="D43" s="66">
        <v>581.58100000000002</v>
      </c>
      <c r="E43" s="66">
        <v>2031.55</v>
      </c>
      <c r="F43" s="63">
        <v>25.392911733461361</v>
      </c>
      <c r="G43" s="63">
        <v>102.66435620698525</v>
      </c>
      <c r="H43" s="53"/>
    </row>
    <row r="44" spans="1:8">
      <c r="A44" s="64"/>
      <c r="B44" s="65" t="s">
        <v>65</v>
      </c>
      <c r="C44" s="66">
        <v>495.19499999999999</v>
      </c>
      <c r="D44" s="66">
        <v>699.28700000000003</v>
      </c>
      <c r="E44" s="66">
        <v>1979.424</v>
      </c>
      <c r="F44" s="63">
        <v>21.099049531001125</v>
      </c>
      <c r="G44" s="63">
        <v>98.287365653466011</v>
      </c>
      <c r="H44" s="53"/>
    </row>
    <row r="45" spans="1:8">
      <c r="A45" s="64"/>
      <c r="H45" s="53"/>
    </row>
    <row r="46" spans="1:8">
      <c r="A46" s="64"/>
    </row>
    <row r="47" spans="1:8">
      <c r="A47" s="64"/>
    </row>
    <row r="48" spans="1:8">
      <c r="A48" s="64"/>
    </row>
    <row r="49" spans="1:1">
      <c r="A49" s="64"/>
    </row>
    <row r="50" spans="1:1">
      <c r="A50" s="64"/>
    </row>
    <row r="51" spans="1:1">
      <c r="A51" s="64"/>
    </row>
    <row r="52" spans="1:1">
      <c r="A52" s="64"/>
    </row>
    <row r="53" spans="1:1">
      <c r="A53" s="64"/>
    </row>
    <row r="54" spans="1:1">
      <c r="A54" s="64"/>
    </row>
    <row r="55" spans="1:1">
      <c r="A55" s="64"/>
    </row>
    <row r="56" spans="1:1">
      <c r="A56" s="64"/>
    </row>
    <row r="57" spans="1:1">
      <c r="A57" s="64"/>
    </row>
    <row r="58" spans="1:1">
      <c r="A58" s="64"/>
    </row>
    <row r="59" spans="1:1">
      <c r="A59" s="64"/>
    </row>
    <row r="60" spans="1:1">
      <c r="A60" s="64"/>
    </row>
    <row r="61" spans="1:1">
      <c r="A61" s="64"/>
    </row>
    <row r="62" spans="1:1">
      <c r="A62" s="64"/>
    </row>
    <row r="63" spans="1:1">
      <c r="A63" s="64"/>
    </row>
    <row r="64" spans="1:1">
      <c r="A64" s="64"/>
    </row>
    <row r="65" spans="1:6">
      <c r="A65" s="64"/>
    </row>
    <row r="66" spans="1:6">
      <c r="A66" s="64"/>
    </row>
    <row r="67" spans="1:6">
      <c r="A67" s="64"/>
    </row>
    <row r="68" spans="1:6">
      <c r="A68" s="67"/>
      <c r="B68" s="67"/>
      <c r="C68" s="67"/>
      <c r="D68" s="67"/>
      <c r="E68" s="67"/>
      <c r="F68" s="67"/>
    </row>
    <row r="69" spans="1:6">
      <c r="A69" s="67"/>
      <c r="B69" s="67"/>
      <c r="C69" s="67"/>
      <c r="D69" s="67"/>
      <c r="E69" s="67"/>
      <c r="F69" s="67"/>
    </row>
    <row r="70" spans="1:6">
      <c r="A70" s="67"/>
      <c r="B70" s="67"/>
      <c r="C70" s="67"/>
      <c r="D70" s="67"/>
      <c r="E70" s="67"/>
      <c r="F70" s="67"/>
    </row>
    <row r="71" spans="1:6">
      <c r="A71" s="67"/>
      <c r="B71" s="67"/>
      <c r="C71" s="67"/>
      <c r="D71" s="67"/>
      <c r="E71" s="67"/>
      <c r="F71" s="67"/>
    </row>
    <row r="72" spans="1:6">
      <c r="A72" s="67"/>
      <c r="B72" s="67"/>
      <c r="C72" s="67"/>
      <c r="D72" s="67"/>
      <c r="E72" s="67"/>
      <c r="F72" s="67"/>
    </row>
    <row r="73" spans="1:6">
      <c r="A73" s="67"/>
      <c r="B73" s="67"/>
      <c r="C73" s="67"/>
      <c r="D73" s="67"/>
      <c r="E73" s="67"/>
      <c r="F73" s="67"/>
    </row>
    <row r="74" spans="1:6">
      <c r="A74" s="67"/>
      <c r="B74" s="67"/>
      <c r="C74" s="67"/>
      <c r="D74" s="67"/>
      <c r="E74" s="67"/>
      <c r="F74" s="67"/>
    </row>
  </sheetData>
  <pageMargins left="0.78740157480314998" right="0.47244094488188998" top="0.74803149606299202" bottom="0.47244094488188998" header="0.43307086614173201" footer="0.31496062992126"/>
  <pageSetup paperSize="9" scale="99" fitToHeight="0" orientation="portrait" r:id="rId1"/>
  <headerFooter alignWithMargins="0">
    <oddHeader>&amp;C&amp;"Times New Roman,Regular"&amp;13&amp;P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E47BC-5C8B-4D96-8DCA-A8A81A672AB8}">
  <sheetPr>
    <pageSetUpPr fitToPage="1"/>
  </sheetPr>
  <dimension ref="A1:F67"/>
  <sheetViews>
    <sheetView workbookViewId="0">
      <selection activeCell="D28" sqref="D28"/>
    </sheetView>
  </sheetViews>
  <sheetFormatPr defaultRowHeight="15"/>
  <cols>
    <col min="1" max="1" width="4.28515625" style="448" customWidth="1"/>
    <col min="2" max="2" width="46.42578125" style="448" customWidth="1"/>
    <col min="3" max="3" width="13.28515625" style="448" customWidth="1"/>
    <col min="4" max="4" width="12.85546875" style="448" customWidth="1"/>
    <col min="5" max="5" width="12.140625" style="448" customWidth="1"/>
    <col min="6" max="167" width="9.140625" style="448"/>
    <col min="168" max="168" width="4.28515625" style="448" customWidth="1"/>
    <col min="169" max="169" width="45.42578125" style="448" customWidth="1"/>
    <col min="170" max="171" width="20.7109375" style="448" customWidth="1"/>
    <col min="172" max="172" width="21.42578125" style="448" bestFit="1" customWidth="1"/>
    <col min="173" max="423" width="9.140625" style="448"/>
    <col min="424" max="424" width="4.28515625" style="448" customWidth="1"/>
    <col min="425" max="425" width="45.42578125" style="448" customWidth="1"/>
    <col min="426" max="427" width="20.7109375" style="448" customWidth="1"/>
    <col min="428" max="428" width="21.42578125" style="448" bestFit="1" customWidth="1"/>
    <col min="429" max="679" width="9.140625" style="448"/>
    <col min="680" max="680" width="4.28515625" style="448" customWidth="1"/>
    <col min="681" max="681" width="45.42578125" style="448" customWidth="1"/>
    <col min="682" max="683" width="20.7109375" style="448" customWidth="1"/>
    <col min="684" max="684" width="21.42578125" style="448" bestFit="1" customWidth="1"/>
    <col min="685" max="935" width="9.140625" style="448"/>
    <col min="936" max="936" width="4.28515625" style="448" customWidth="1"/>
    <col min="937" max="937" width="45.42578125" style="448" customWidth="1"/>
    <col min="938" max="939" width="20.7109375" style="448" customWidth="1"/>
    <col min="940" max="940" width="21.42578125" style="448" bestFit="1" customWidth="1"/>
    <col min="941" max="1191" width="9.140625" style="448"/>
    <col min="1192" max="1192" width="4.28515625" style="448" customWidth="1"/>
    <col min="1193" max="1193" width="45.42578125" style="448" customWidth="1"/>
    <col min="1194" max="1195" width="20.7109375" style="448" customWidth="1"/>
    <col min="1196" max="1196" width="21.42578125" style="448" bestFit="1" customWidth="1"/>
    <col min="1197" max="1447" width="9.140625" style="448"/>
    <col min="1448" max="1448" width="4.28515625" style="448" customWidth="1"/>
    <col min="1449" max="1449" width="45.42578125" style="448" customWidth="1"/>
    <col min="1450" max="1451" width="20.7109375" style="448" customWidth="1"/>
    <col min="1452" max="1452" width="21.42578125" style="448" bestFit="1" customWidth="1"/>
    <col min="1453" max="1703" width="9.140625" style="448"/>
    <col min="1704" max="1704" width="4.28515625" style="448" customWidth="1"/>
    <col min="1705" max="1705" width="45.42578125" style="448" customWidth="1"/>
    <col min="1706" max="1707" width="20.7109375" style="448" customWidth="1"/>
    <col min="1708" max="1708" width="21.42578125" style="448" bestFit="1" customWidth="1"/>
    <col min="1709" max="1959" width="9.140625" style="448"/>
    <col min="1960" max="1960" width="4.28515625" style="448" customWidth="1"/>
    <col min="1961" max="1961" width="45.42578125" style="448" customWidth="1"/>
    <col min="1962" max="1963" width="20.7109375" style="448" customWidth="1"/>
    <col min="1964" max="1964" width="21.42578125" style="448" bestFit="1" customWidth="1"/>
    <col min="1965" max="2215" width="9.140625" style="448"/>
    <col min="2216" max="2216" width="4.28515625" style="448" customWidth="1"/>
    <col min="2217" max="2217" width="45.42578125" style="448" customWidth="1"/>
    <col min="2218" max="2219" width="20.7109375" style="448" customWidth="1"/>
    <col min="2220" max="2220" width="21.42578125" style="448" bestFit="1" customWidth="1"/>
    <col min="2221" max="2471" width="9.140625" style="448"/>
    <col min="2472" max="2472" width="4.28515625" style="448" customWidth="1"/>
    <col min="2473" max="2473" width="45.42578125" style="448" customWidth="1"/>
    <col min="2474" max="2475" width="20.7109375" style="448" customWidth="1"/>
    <col min="2476" max="2476" width="21.42578125" style="448" bestFit="1" customWidth="1"/>
    <col min="2477" max="2727" width="9.140625" style="448"/>
    <col min="2728" max="2728" width="4.28515625" style="448" customWidth="1"/>
    <col min="2729" max="2729" width="45.42578125" style="448" customWidth="1"/>
    <col min="2730" max="2731" width="20.7109375" style="448" customWidth="1"/>
    <col min="2732" max="2732" width="21.42578125" style="448" bestFit="1" customWidth="1"/>
    <col min="2733" max="2983" width="9.140625" style="448"/>
    <col min="2984" max="2984" width="4.28515625" style="448" customWidth="1"/>
    <col min="2985" max="2985" width="45.42578125" style="448" customWidth="1"/>
    <col min="2986" max="2987" width="20.7109375" style="448" customWidth="1"/>
    <col min="2988" max="2988" width="21.42578125" style="448" bestFit="1" customWidth="1"/>
    <col min="2989" max="3239" width="9.140625" style="448"/>
    <col min="3240" max="3240" width="4.28515625" style="448" customWidth="1"/>
    <col min="3241" max="3241" width="45.42578125" style="448" customWidth="1"/>
    <col min="3242" max="3243" width="20.7109375" style="448" customWidth="1"/>
    <col min="3244" max="3244" width="21.42578125" style="448" bestFit="1" customWidth="1"/>
    <col min="3245" max="3495" width="9.140625" style="448"/>
    <col min="3496" max="3496" width="4.28515625" style="448" customWidth="1"/>
    <col min="3497" max="3497" width="45.42578125" style="448" customWidth="1"/>
    <col min="3498" max="3499" width="20.7109375" style="448" customWidth="1"/>
    <col min="3500" max="3500" width="21.42578125" style="448" bestFit="1" customWidth="1"/>
    <col min="3501" max="3751" width="9.140625" style="448"/>
    <col min="3752" max="3752" width="4.28515625" style="448" customWidth="1"/>
    <col min="3753" max="3753" width="45.42578125" style="448" customWidth="1"/>
    <col min="3754" max="3755" width="20.7109375" style="448" customWidth="1"/>
    <col min="3756" max="3756" width="21.42578125" style="448" bestFit="1" customWidth="1"/>
    <col min="3757" max="4007" width="9.140625" style="448"/>
    <col min="4008" max="4008" width="4.28515625" style="448" customWidth="1"/>
    <col min="4009" max="4009" width="45.42578125" style="448" customWidth="1"/>
    <col min="4010" max="4011" width="20.7109375" style="448" customWidth="1"/>
    <col min="4012" max="4012" width="21.42578125" style="448" bestFit="1" customWidth="1"/>
    <col min="4013" max="4263" width="9.140625" style="448"/>
    <col min="4264" max="4264" width="4.28515625" style="448" customWidth="1"/>
    <col min="4265" max="4265" width="45.42578125" style="448" customWidth="1"/>
    <col min="4266" max="4267" width="20.7109375" style="448" customWidth="1"/>
    <col min="4268" max="4268" width="21.42578125" style="448" bestFit="1" customWidth="1"/>
    <col min="4269" max="4519" width="9.140625" style="448"/>
    <col min="4520" max="4520" width="4.28515625" style="448" customWidth="1"/>
    <col min="4521" max="4521" width="45.42578125" style="448" customWidth="1"/>
    <col min="4522" max="4523" width="20.7109375" style="448" customWidth="1"/>
    <col min="4524" max="4524" width="21.42578125" style="448" bestFit="1" customWidth="1"/>
    <col min="4525" max="4775" width="9.140625" style="448"/>
    <col min="4776" max="4776" width="4.28515625" style="448" customWidth="1"/>
    <col min="4777" max="4777" width="45.42578125" style="448" customWidth="1"/>
    <col min="4778" max="4779" width="20.7109375" style="448" customWidth="1"/>
    <col min="4780" max="4780" width="21.42578125" style="448" bestFit="1" customWidth="1"/>
    <col min="4781" max="5031" width="9.140625" style="448"/>
    <col min="5032" max="5032" width="4.28515625" style="448" customWidth="1"/>
    <col min="5033" max="5033" width="45.42578125" style="448" customWidth="1"/>
    <col min="5034" max="5035" width="20.7109375" style="448" customWidth="1"/>
    <col min="5036" max="5036" width="21.42578125" style="448" bestFit="1" customWidth="1"/>
    <col min="5037" max="5287" width="9.140625" style="448"/>
    <col min="5288" max="5288" width="4.28515625" style="448" customWidth="1"/>
    <col min="5289" max="5289" width="45.42578125" style="448" customWidth="1"/>
    <col min="5290" max="5291" width="20.7109375" style="448" customWidth="1"/>
    <col min="5292" max="5292" width="21.42578125" style="448" bestFit="1" customWidth="1"/>
    <col min="5293" max="5543" width="9.140625" style="448"/>
    <col min="5544" max="5544" width="4.28515625" style="448" customWidth="1"/>
    <col min="5545" max="5545" width="45.42578125" style="448" customWidth="1"/>
    <col min="5546" max="5547" width="20.7109375" style="448" customWidth="1"/>
    <col min="5548" max="5548" width="21.42578125" style="448" bestFit="1" customWidth="1"/>
    <col min="5549" max="5799" width="9.140625" style="448"/>
    <col min="5800" max="5800" width="4.28515625" style="448" customWidth="1"/>
    <col min="5801" max="5801" width="45.42578125" style="448" customWidth="1"/>
    <col min="5802" max="5803" width="20.7109375" style="448" customWidth="1"/>
    <col min="5804" max="5804" width="21.42578125" style="448" bestFit="1" customWidth="1"/>
    <col min="5805" max="6055" width="9.140625" style="448"/>
    <col min="6056" max="6056" width="4.28515625" style="448" customWidth="1"/>
    <col min="6057" max="6057" width="45.42578125" style="448" customWidth="1"/>
    <col min="6058" max="6059" width="20.7109375" style="448" customWidth="1"/>
    <col min="6060" max="6060" width="21.42578125" style="448" bestFit="1" customWidth="1"/>
    <col min="6061" max="6311" width="9.140625" style="448"/>
    <col min="6312" max="6312" width="4.28515625" style="448" customWidth="1"/>
    <col min="6313" max="6313" width="45.42578125" style="448" customWidth="1"/>
    <col min="6314" max="6315" width="20.7109375" style="448" customWidth="1"/>
    <col min="6316" max="6316" width="21.42578125" style="448" bestFit="1" customWidth="1"/>
    <col min="6317" max="6567" width="9.140625" style="448"/>
    <col min="6568" max="6568" width="4.28515625" style="448" customWidth="1"/>
    <col min="6569" max="6569" width="45.42578125" style="448" customWidth="1"/>
    <col min="6570" max="6571" width="20.7109375" style="448" customWidth="1"/>
    <col min="6572" max="6572" width="21.42578125" style="448" bestFit="1" customWidth="1"/>
    <col min="6573" max="6823" width="9.140625" style="448"/>
    <col min="6824" max="6824" width="4.28515625" style="448" customWidth="1"/>
    <col min="6825" max="6825" width="45.42578125" style="448" customWidth="1"/>
    <col min="6826" max="6827" width="20.7109375" style="448" customWidth="1"/>
    <col min="6828" max="6828" width="21.42578125" style="448" bestFit="1" customWidth="1"/>
    <col min="6829" max="7079" width="9.140625" style="448"/>
    <col min="7080" max="7080" width="4.28515625" style="448" customWidth="1"/>
    <col min="7081" max="7081" width="45.42578125" style="448" customWidth="1"/>
    <col min="7082" max="7083" width="20.7109375" style="448" customWidth="1"/>
    <col min="7084" max="7084" width="21.42578125" style="448" bestFit="1" customWidth="1"/>
    <col min="7085" max="7335" width="9.140625" style="448"/>
    <col min="7336" max="7336" width="4.28515625" style="448" customWidth="1"/>
    <col min="7337" max="7337" width="45.42578125" style="448" customWidth="1"/>
    <col min="7338" max="7339" width="20.7109375" style="448" customWidth="1"/>
    <col min="7340" max="7340" width="21.42578125" style="448" bestFit="1" customWidth="1"/>
    <col min="7341" max="7591" width="9.140625" style="448"/>
    <col min="7592" max="7592" width="4.28515625" style="448" customWidth="1"/>
    <col min="7593" max="7593" width="45.42578125" style="448" customWidth="1"/>
    <col min="7594" max="7595" width="20.7109375" style="448" customWidth="1"/>
    <col min="7596" max="7596" width="21.42578125" style="448" bestFit="1" customWidth="1"/>
    <col min="7597" max="7847" width="9.140625" style="448"/>
    <col min="7848" max="7848" width="4.28515625" style="448" customWidth="1"/>
    <col min="7849" max="7849" width="45.42578125" style="448" customWidth="1"/>
    <col min="7850" max="7851" width="20.7109375" style="448" customWidth="1"/>
    <col min="7852" max="7852" width="21.42578125" style="448" bestFit="1" customWidth="1"/>
    <col min="7853" max="8103" width="9.140625" style="448"/>
    <col min="8104" max="8104" width="4.28515625" style="448" customWidth="1"/>
    <col min="8105" max="8105" width="45.42578125" style="448" customWidth="1"/>
    <col min="8106" max="8107" width="20.7109375" style="448" customWidth="1"/>
    <col min="8108" max="8108" width="21.42578125" style="448" bestFit="1" customWidth="1"/>
    <col min="8109" max="8359" width="9.140625" style="448"/>
    <col min="8360" max="8360" width="4.28515625" style="448" customWidth="1"/>
    <col min="8361" max="8361" width="45.42578125" style="448" customWidth="1"/>
    <col min="8362" max="8363" width="20.7109375" style="448" customWidth="1"/>
    <col min="8364" max="8364" width="21.42578125" style="448" bestFit="1" customWidth="1"/>
    <col min="8365" max="8615" width="9.140625" style="448"/>
    <col min="8616" max="8616" width="4.28515625" style="448" customWidth="1"/>
    <col min="8617" max="8617" width="45.42578125" style="448" customWidth="1"/>
    <col min="8618" max="8619" width="20.7109375" style="448" customWidth="1"/>
    <col min="8620" max="8620" width="21.42578125" style="448" bestFit="1" customWidth="1"/>
    <col min="8621" max="8871" width="9.140625" style="448"/>
    <col min="8872" max="8872" width="4.28515625" style="448" customWidth="1"/>
    <col min="8873" max="8873" width="45.42578125" style="448" customWidth="1"/>
    <col min="8874" max="8875" width="20.7109375" style="448" customWidth="1"/>
    <col min="8876" max="8876" width="21.42578125" style="448" bestFit="1" customWidth="1"/>
    <col min="8877" max="9127" width="9.140625" style="448"/>
    <col min="9128" max="9128" width="4.28515625" style="448" customWidth="1"/>
    <col min="9129" max="9129" width="45.42578125" style="448" customWidth="1"/>
    <col min="9130" max="9131" width="20.7109375" style="448" customWidth="1"/>
    <col min="9132" max="9132" width="21.42578125" style="448" bestFit="1" customWidth="1"/>
    <col min="9133" max="9383" width="9.140625" style="448"/>
    <col min="9384" max="9384" width="4.28515625" style="448" customWidth="1"/>
    <col min="9385" max="9385" width="45.42578125" style="448" customWidth="1"/>
    <col min="9386" max="9387" width="20.7109375" style="448" customWidth="1"/>
    <col min="9388" max="9388" width="21.42578125" style="448" bestFit="1" customWidth="1"/>
    <col min="9389" max="9639" width="9.140625" style="448"/>
    <col min="9640" max="9640" width="4.28515625" style="448" customWidth="1"/>
    <col min="9641" max="9641" width="45.42578125" style="448" customWidth="1"/>
    <col min="9642" max="9643" width="20.7109375" style="448" customWidth="1"/>
    <col min="9644" max="9644" width="21.42578125" style="448" bestFit="1" customWidth="1"/>
    <col min="9645" max="9895" width="9.140625" style="448"/>
    <col min="9896" max="9896" width="4.28515625" style="448" customWidth="1"/>
    <col min="9897" max="9897" width="45.42578125" style="448" customWidth="1"/>
    <col min="9898" max="9899" width="20.7109375" style="448" customWidth="1"/>
    <col min="9900" max="9900" width="21.42578125" style="448" bestFit="1" customWidth="1"/>
    <col min="9901" max="10151" width="9.140625" style="448"/>
    <col min="10152" max="10152" width="4.28515625" style="448" customWidth="1"/>
    <col min="10153" max="10153" width="45.42578125" style="448" customWidth="1"/>
    <col min="10154" max="10155" width="20.7109375" style="448" customWidth="1"/>
    <col min="10156" max="10156" width="21.42578125" style="448" bestFit="1" customWidth="1"/>
    <col min="10157" max="10407" width="9.140625" style="448"/>
    <col min="10408" max="10408" width="4.28515625" style="448" customWidth="1"/>
    <col min="10409" max="10409" width="45.42578125" style="448" customWidth="1"/>
    <col min="10410" max="10411" width="20.7109375" style="448" customWidth="1"/>
    <col min="10412" max="10412" width="21.42578125" style="448" bestFit="1" customWidth="1"/>
    <col min="10413" max="10663" width="9.140625" style="448"/>
    <col min="10664" max="10664" width="4.28515625" style="448" customWidth="1"/>
    <col min="10665" max="10665" width="45.42578125" style="448" customWidth="1"/>
    <col min="10666" max="10667" width="20.7109375" style="448" customWidth="1"/>
    <col min="10668" max="10668" width="21.42578125" style="448" bestFit="1" customWidth="1"/>
    <col min="10669" max="10919" width="9.140625" style="448"/>
    <col min="10920" max="10920" width="4.28515625" style="448" customWidth="1"/>
    <col min="10921" max="10921" width="45.42578125" style="448" customWidth="1"/>
    <col min="10922" max="10923" width="20.7109375" style="448" customWidth="1"/>
    <col min="10924" max="10924" width="21.42578125" style="448" bestFit="1" customWidth="1"/>
    <col min="10925" max="11175" width="9.140625" style="448"/>
    <col min="11176" max="11176" width="4.28515625" style="448" customWidth="1"/>
    <col min="11177" max="11177" width="45.42578125" style="448" customWidth="1"/>
    <col min="11178" max="11179" width="20.7109375" style="448" customWidth="1"/>
    <col min="11180" max="11180" width="21.42578125" style="448" bestFit="1" customWidth="1"/>
    <col min="11181" max="11431" width="9.140625" style="448"/>
    <col min="11432" max="11432" width="4.28515625" style="448" customWidth="1"/>
    <col min="11433" max="11433" width="45.42578125" style="448" customWidth="1"/>
    <col min="11434" max="11435" width="20.7109375" style="448" customWidth="1"/>
    <col min="11436" max="11436" width="21.42578125" style="448" bestFit="1" customWidth="1"/>
    <col min="11437" max="11687" width="9.140625" style="448"/>
    <col min="11688" max="11688" width="4.28515625" style="448" customWidth="1"/>
    <col min="11689" max="11689" width="45.42578125" style="448" customWidth="1"/>
    <col min="11690" max="11691" width="20.7109375" style="448" customWidth="1"/>
    <col min="11692" max="11692" width="21.42578125" style="448" bestFit="1" customWidth="1"/>
    <col min="11693" max="11943" width="9.140625" style="448"/>
    <col min="11944" max="11944" width="4.28515625" style="448" customWidth="1"/>
    <col min="11945" max="11945" width="45.42578125" style="448" customWidth="1"/>
    <col min="11946" max="11947" width="20.7109375" style="448" customWidth="1"/>
    <col min="11948" max="11948" width="21.42578125" style="448" bestFit="1" customWidth="1"/>
    <col min="11949" max="12199" width="9.140625" style="448"/>
    <col min="12200" max="12200" width="4.28515625" style="448" customWidth="1"/>
    <col min="12201" max="12201" width="45.42578125" style="448" customWidth="1"/>
    <col min="12202" max="12203" width="20.7109375" style="448" customWidth="1"/>
    <col min="12204" max="12204" width="21.42578125" style="448" bestFit="1" customWidth="1"/>
    <col min="12205" max="12455" width="9.140625" style="448"/>
    <col min="12456" max="12456" width="4.28515625" style="448" customWidth="1"/>
    <col min="12457" max="12457" width="45.42578125" style="448" customWidth="1"/>
    <col min="12458" max="12459" width="20.7109375" style="448" customWidth="1"/>
    <col min="12460" max="12460" width="21.42578125" style="448" bestFit="1" customWidth="1"/>
    <col min="12461" max="12711" width="9.140625" style="448"/>
    <col min="12712" max="12712" width="4.28515625" style="448" customWidth="1"/>
    <col min="12713" max="12713" width="45.42578125" style="448" customWidth="1"/>
    <col min="12714" max="12715" width="20.7109375" style="448" customWidth="1"/>
    <col min="12716" max="12716" width="21.42578125" style="448" bestFit="1" customWidth="1"/>
    <col min="12717" max="12967" width="9.140625" style="448"/>
    <col min="12968" max="12968" width="4.28515625" style="448" customWidth="1"/>
    <col min="12969" max="12969" width="45.42578125" style="448" customWidth="1"/>
    <col min="12970" max="12971" width="20.7109375" style="448" customWidth="1"/>
    <col min="12972" max="12972" width="21.42578125" style="448" bestFit="1" customWidth="1"/>
    <col min="12973" max="13223" width="9.140625" style="448"/>
    <col min="13224" max="13224" width="4.28515625" style="448" customWidth="1"/>
    <col min="13225" max="13225" width="45.42578125" style="448" customWidth="1"/>
    <col min="13226" max="13227" width="20.7109375" style="448" customWidth="1"/>
    <col min="13228" max="13228" width="21.42578125" style="448" bestFit="1" customWidth="1"/>
    <col min="13229" max="13479" width="9.140625" style="448"/>
    <col min="13480" max="13480" width="4.28515625" style="448" customWidth="1"/>
    <col min="13481" max="13481" width="45.42578125" style="448" customWidth="1"/>
    <col min="13482" max="13483" width="20.7109375" style="448" customWidth="1"/>
    <col min="13484" max="13484" width="21.42578125" style="448" bestFit="1" customWidth="1"/>
    <col min="13485" max="13735" width="9.140625" style="448"/>
    <col min="13736" max="13736" width="4.28515625" style="448" customWidth="1"/>
    <col min="13737" max="13737" width="45.42578125" style="448" customWidth="1"/>
    <col min="13738" max="13739" width="20.7109375" style="448" customWidth="1"/>
    <col min="13740" max="13740" width="21.42578125" style="448" bestFit="1" customWidth="1"/>
    <col min="13741" max="13991" width="9.140625" style="448"/>
    <col min="13992" max="13992" width="4.28515625" style="448" customWidth="1"/>
    <col min="13993" max="13993" width="45.42578125" style="448" customWidth="1"/>
    <col min="13994" max="13995" width="20.7109375" style="448" customWidth="1"/>
    <col min="13996" max="13996" width="21.42578125" style="448" bestFit="1" customWidth="1"/>
    <col min="13997" max="14247" width="9.140625" style="448"/>
    <col min="14248" max="14248" width="4.28515625" style="448" customWidth="1"/>
    <col min="14249" max="14249" width="45.42578125" style="448" customWidth="1"/>
    <col min="14250" max="14251" width="20.7109375" style="448" customWidth="1"/>
    <col min="14252" max="14252" width="21.42578125" style="448" bestFit="1" customWidth="1"/>
    <col min="14253" max="14503" width="9.140625" style="448"/>
    <col min="14504" max="14504" width="4.28515625" style="448" customWidth="1"/>
    <col min="14505" max="14505" width="45.42578125" style="448" customWidth="1"/>
    <col min="14506" max="14507" width="20.7109375" style="448" customWidth="1"/>
    <col min="14508" max="14508" width="21.42578125" style="448" bestFit="1" customWidth="1"/>
    <col min="14509" max="14759" width="9.140625" style="448"/>
    <col min="14760" max="14760" width="4.28515625" style="448" customWidth="1"/>
    <col min="14761" max="14761" width="45.42578125" style="448" customWidth="1"/>
    <col min="14762" max="14763" width="20.7109375" style="448" customWidth="1"/>
    <col min="14764" max="14764" width="21.42578125" style="448" bestFit="1" customWidth="1"/>
    <col min="14765" max="15015" width="9.140625" style="448"/>
    <col min="15016" max="15016" width="4.28515625" style="448" customWidth="1"/>
    <col min="15017" max="15017" width="45.42578125" style="448" customWidth="1"/>
    <col min="15018" max="15019" width="20.7109375" style="448" customWidth="1"/>
    <col min="15020" max="15020" width="21.42578125" style="448" bestFit="1" customWidth="1"/>
    <col min="15021" max="15271" width="9.140625" style="448"/>
    <col min="15272" max="15272" width="4.28515625" style="448" customWidth="1"/>
    <col min="15273" max="15273" width="45.42578125" style="448" customWidth="1"/>
    <col min="15274" max="15275" width="20.7109375" style="448" customWidth="1"/>
    <col min="15276" max="15276" width="21.42578125" style="448" bestFit="1" customWidth="1"/>
    <col min="15277" max="15527" width="9.140625" style="448"/>
    <col min="15528" max="15528" width="4.28515625" style="448" customWidth="1"/>
    <col min="15529" max="15529" width="45.42578125" style="448" customWidth="1"/>
    <col min="15530" max="15531" width="20.7109375" style="448" customWidth="1"/>
    <col min="15532" max="15532" width="21.42578125" style="448" bestFit="1" customWidth="1"/>
    <col min="15533" max="15783" width="9.140625" style="448"/>
    <col min="15784" max="15784" width="4.28515625" style="448" customWidth="1"/>
    <col min="15785" max="15785" width="45.42578125" style="448" customWidth="1"/>
    <col min="15786" max="15787" width="20.7109375" style="448" customWidth="1"/>
    <col min="15788" max="15788" width="21.42578125" style="448" bestFit="1" customWidth="1"/>
    <col min="15789" max="16039" width="9.140625" style="448"/>
    <col min="16040" max="16040" width="4.28515625" style="448" customWidth="1"/>
    <col min="16041" max="16041" width="45.42578125" style="448" customWidth="1"/>
    <col min="16042" max="16043" width="20.7109375" style="448" customWidth="1"/>
    <col min="16044" max="16044" width="21.42578125" style="448" bestFit="1" customWidth="1"/>
    <col min="16045" max="16384" width="9.140625" style="448"/>
  </cols>
  <sheetData>
    <row r="1" spans="1:6" ht="15.75">
      <c r="A1" s="445" t="s">
        <v>471</v>
      </c>
      <c r="B1" s="446"/>
      <c r="C1" s="447"/>
      <c r="D1" s="447"/>
      <c r="E1" s="447"/>
    </row>
    <row r="2" spans="1:6">
      <c r="A2" s="449"/>
      <c r="B2" s="449"/>
      <c r="C2" s="447"/>
      <c r="D2" s="447"/>
      <c r="E2" s="447"/>
    </row>
    <row r="3" spans="1:6">
      <c r="A3" s="450"/>
      <c r="B3" s="450"/>
      <c r="C3" s="451"/>
      <c r="D3" s="451"/>
      <c r="E3" s="452" t="s">
        <v>472</v>
      </c>
    </row>
    <row r="4" spans="1:6">
      <c r="A4" s="453"/>
      <c r="B4" s="454"/>
      <c r="C4" s="455" t="s">
        <v>473</v>
      </c>
      <c r="D4" s="455" t="s">
        <v>474</v>
      </c>
      <c r="E4" s="455" t="s">
        <v>474</v>
      </c>
    </row>
    <row r="5" spans="1:6">
      <c r="A5" s="450"/>
      <c r="B5" s="456"/>
      <c r="C5" s="457" t="s">
        <v>475</v>
      </c>
      <c r="D5" s="457" t="s">
        <v>476</v>
      </c>
      <c r="E5" s="457" t="s">
        <v>477</v>
      </c>
    </row>
    <row r="6" spans="1:6">
      <c r="A6" s="450"/>
      <c r="B6" s="450"/>
      <c r="C6" s="451"/>
      <c r="D6" s="451"/>
      <c r="E6" s="451"/>
    </row>
    <row r="7" spans="1:6">
      <c r="A7" s="458" t="s">
        <v>32</v>
      </c>
      <c r="B7" s="459"/>
      <c r="C7" s="460">
        <v>1204</v>
      </c>
      <c r="D7" s="461">
        <v>5592.1135948700021</v>
      </c>
      <c r="E7" s="461">
        <v>6397.3596266982413</v>
      </c>
    </row>
    <row r="8" spans="1:6" ht="15.75">
      <c r="A8" s="458" t="s">
        <v>478</v>
      </c>
      <c r="B8" s="450"/>
      <c r="C8" s="462"/>
      <c r="D8" s="463"/>
      <c r="E8" s="463"/>
    </row>
    <row r="9" spans="1:6" ht="18.75">
      <c r="A9" s="458"/>
      <c r="B9" s="459" t="s">
        <v>61</v>
      </c>
      <c r="C9" s="462">
        <v>100</v>
      </c>
      <c r="D9" s="464">
        <v>619.16089099999999</v>
      </c>
      <c r="E9" s="464">
        <v>2059.06621825</v>
      </c>
      <c r="F9" s="465"/>
    </row>
    <row r="10" spans="1:6" ht="18.75">
      <c r="A10" s="458"/>
      <c r="B10" s="459" t="s">
        <v>49</v>
      </c>
      <c r="C10" s="462">
        <v>59</v>
      </c>
      <c r="D10" s="464">
        <v>587.14985437999997</v>
      </c>
      <c r="E10" s="464">
        <v>67.745047</v>
      </c>
      <c r="F10" s="465"/>
    </row>
    <row r="11" spans="1:6">
      <c r="A11" s="458"/>
      <c r="B11" s="459" t="s">
        <v>52</v>
      </c>
      <c r="C11" s="462">
        <v>25</v>
      </c>
      <c r="D11" s="464">
        <v>470.64537300000001</v>
      </c>
      <c r="E11" s="464">
        <v>289.69329599999998</v>
      </c>
    </row>
    <row r="12" spans="1:6">
      <c r="A12" s="458"/>
      <c r="B12" s="459" t="s">
        <v>54</v>
      </c>
      <c r="C12" s="462">
        <v>43</v>
      </c>
      <c r="D12" s="464">
        <v>462.09728899999999</v>
      </c>
      <c r="E12" s="464">
        <v>907.97750387500002</v>
      </c>
    </row>
    <row r="13" spans="1:6" ht="18.75">
      <c r="A13" s="458"/>
      <c r="B13" s="459" t="s">
        <v>46</v>
      </c>
      <c r="C13" s="462">
        <v>475</v>
      </c>
      <c r="D13" s="464">
        <v>442.54340501999985</v>
      </c>
      <c r="E13" s="464">
        <v>164.5966911015625</v>
      </c>
      <c r="F13" s="465"/>
    </row>
    <row r="14" spans="1:6" ht="18.75">
      <c r="A14" s="458"/>
      <c r="B14" s="459" t="s">
        <v>50</v>
      </c>
      <c r="C14" s="462">
        <v>17</v>
      </c>
      <c r="D14" s="464">
        <v>380.9</v>
      </c>
      <c r="E14" s="464">
        <v>535.20045200000004</v>
      </c>
      <c r="F14" s="465"/>
    </row>
    <row r="15" spans="1:6">
      <c r="A15" s="458"/>
      <c r="B15" s="459" t="s">
        <v>326</v>
      </c>
      <c r="C15" s="462">
        <v>8</v>
      </c>
      <c r="D15" s="464">
        <v>263.64398199999999</v>
      </c>
      <c r="E15" s="464">
        <v>109.82419</v>
      </c>
    </row>
    <row r="16" spans="1:6">
      <c r="A16" s="458"/>
      <c r="B16" s="459" t="s">
        <v>53</v>
      </c>
      <c r="C16" s="462">
        <v>31</v>
      </c>
      <c r="D16" s="464">
        <v>255.74739600000001</v>
      </c>
      <c r="E16" s="464">
        <v>9.4278949999999995</v>
      </c>
    </row>
    <row r="17" spans="1:5">
      <c r="A17" s="458"/>
      <c r="B17" s="459" t="s">
        <v>335</v>
      </c>
      <c r="C17" s="462">
        <v>1</v>
      </c>
      <c r="D17" s="464">
        <v>216.12967800000001</v>
      </c>
      <c r="E17" s="464">
        <v>5.5588280000000001</v>
      </c>
    </row>
    <row r="18" spans="1:5">
      <c r="A18" s="458"/>
      <c r="B18" s="459" t="s">
        <v>325</v>
      </c>
      <c r="C18" s="462">
        <v>18</v>
      </c>
      <c r="D18" s="464">
        <v>177.97814500000001</v>
      </c>
      <c r="E18" s="464">
        <v>33.906196000000001</v>
      </c>
    </row>
    <row r="19" spans="1:5">
      <c r="A19" s="458"/>
      <c r="B19" s="459" t="s">
        <v>47</v>
      </c>
      <c r="C19" s="462">
        <v>22</v>
      </c>
      <c r="D19" s="464">
        <v>144.66012000000001</v>
      </c>
      <c r="E19" s="464">
        <v>43.953761999999998</v>
      </c>
    </row>
    <row r="20" spans="1:5">
      <c r="A20" s="458"/>
      <c r="B20" s="459" t="s">
        <v>293</v>
      </c>
      <c r="C20" s="462">
        <v>21</v>
      </c>
      <c r="D20" s="464">
        <v>142.25620000000001</v>
      </c>
      <c r="E20" s="464">
        <v>129.57693592187499</v>
      </c>
    </row>
    <row r="21" spans="1:5">
      <c r="A21" s="458"/>
      <c r="B21" s="459" t="s">
        <v>48</v>
      </c>
      <c r="C21" s="462">
        <v>85</v>
      </c>
      <c r="D21" s="464">
        <v>141.8886014</v>
      </c>
      <c r="E21" s="464">
        <v>46.769147609374997</v>
      </c>
    </row>
    <row r="22" spans="1:5">
      <c r="A22" s="458"/>
      <c r="B22" s="459" t="s">
        <v>298</v>
      </c>
      <c r="C22" s="462">
        <v>2</v>
      </c>
      <c r="D22" s="464">
        <v>135.28536</v>
      </c>
      <c r="E22" s="464">
        <v>0</v>
      </c>
    </row>
    <row r="23" spans="1:5">
      <c r="A23" s="458"/>
      <c r="B23" s="459" t="s">
        <v>327</v>
      </c>
      <c r="C23" s="462">
        <v>49</v>
      </c>
      <c r="D23" s="464">
        <v>127.0793321</v>
      </c>
      <c r="E23" s="464">
        <v>105.91436023828125</v>
      </c>
    </row>
    <row r="24" spans="1:5">
      <c r="A24" s="458"/>
      <c r="B24" s="459" t="s">
        <v>58</v>
      </c>
      <c r="C24" s="462">
        <v>8</v>
      </c>
      <c r="D24" s="464">
        <v>122.178037</v>
      </c>
      <c r="E24" s="464">
        <v>93.23451</v>
      </c>
    </row>
    <row r="25" spans="1:5">
      <c r="A25" s="458"/>
      <c r="B25" s="459" t="s">
        <v>55</v>
      </c>
      <c r="C25" s="462">
        <v>7</v>
      </c>
      <c r="D25" s="464">
        <v>119.919303</v>
      </c>
      <c r="E25" s="464">
        <v>51.837685999999998</v>
      </c>
    </row>
    <row r="26" spans="1:5">
      <c r="A26" s="458"/>
      <c r="B26" s="459" t="s">
        <v>301</v>
      </c>
      <c r="C26" s="462">
        <v>6</v>
      </c>
      <c r="D26" s="464">
        <v>108.93926500000001</v>
      </c>
      <c r="E26" s="464">
        <v>129.11798200000001</v>
      </c>
    </row>
    <row r="27" spans="1:5">
      <c r="A27" s="458"/>
      <c r="B27" s="459" t="s">
        <v>315</v>
      </c>
      <c r="C27" s="462">
        <v>8</v>
      </c>
      <c r="D27" s="464">
        <v>89.692873400000011</v>
      </c>
      <c r="E27" s="464"/>
    </row>
    <row r="28" spans="1:5">
      <c r="A28" s="458"/>
      <c r="B28" s="459" t="s">
        <v>65</v>
      </c>
      <c r="C28" s="466">
        <v>6</v>
      </c>
      <c r="D28" s="464">
        <v>67.132968000000005</v>
      </c>
      <c r="E28" s="464"/>
    </row>
    <row r="29" spans="1:5">
      <c r="A29" s="458" t="s">
        <v>376</v>
      </c>
      <c r="B29" s="467"/>
      <c r="C29" s="468"/>
      <c r="D29" s="469"/>
      <c r="E29" s="469"/>
    </row>
    <row r="30" spans="1:5">
      <c r="A30" s="458"/>
      <c r="B30" s="470" t="s">
        <v>384</v>
      </c>
      <c r="C30" s="462">
        <v>168</v>
      </c>
      <c r="D30" s="464">
        <v>1598.5401164500001</v>
      </c>
      <c r="E30" s="464">
        <v>869.25297159374998</v>
      </c>
    </row>
    <row r="31" spans="1:5">
      <c r="A31" s="458"/>
      <c r="B31" s="470" t="s">
        <v>479</v>
      </c>
      <c r="C31" s="462">
        <v>346</v>
      </c>
      <c r="D31" s="464">
        <v>1517.9222442000003</v>
      </c>
      <c r="E31" s="464">
        <v>251.629919</v>
      </c>
    </row>
    <row r="32" spans="1:5">
      <c r="A32" s="458"/>
      <c r="B32" s="470" t="s">
        <v>380</v>
      </c>
      <c r="C32" s="462">
        <v>96</v>
      </c>
      <c r="D32" s="464">
        <v>573.23963112999991</v>
      </c>
      <c r="E32" s="464">
        <v>935.85505991796879</v>
      </c>
    </row>
    <row r="33" spans="1:5">
      <c r="A33" s="458"/>
      <c r="B33" s="470" t="s">
        <v>480</v>
      </c>
      <c r="C33" s="462">
        <v>150</v>
      </c>
      <c r="D33" s="464">
        <v>499.85163899999998</v>
      </c>
      <c r="E33" s="464">
        <v>383.11929187499999</v>
      </c>
    </row>
    <row r="34" spans="1:5">
      <c r="A34" s="458"/>
      <c r="B34" s="470" t="s">
        <v>381</v>
      </c>
      <c r="C34" s="462">
        <v>64</v>
      </c>
      <c r="D34" s="464">
        <v>389.59773300000001</v>
      </c>
      <c r="E34" s="464">
        <v>335.49295492187503</v>
      </c>
    </row>
    <row r="35" spans="1:5">
      <c r="A35" s="458"/>
      <c r="B35" s="470" t="s">
        <v>481</v>
      </c>
      <c r="C35" s="462">
        <v>11</v>
      </c>
      <c r="D35" s="464">
        <v>232.74781400000001</v>
      </c>
      <c r="E35" s="464">
        <v>187.78728649999999</v>
      </c>
    </row>
    <row r="36" spans="1:5">
      <c r="A36" s="458"/>
      <c r="B36" s="470" t="s">
        <v>379</v>
      </c>
      <c r="C36" s="462">
        <v>115</v>
      </c>
      <c r="D36" s="464">
        <v>147.99854314999999</v>
      </c>
      <c r="E36" s="464">
        <v>2425.3259457880858</v>
      </c>
    </row>
    <row r="37" spans="1:5">
      <c r="A37" s="458"/>
      <c r="B37" s="470" t="s">
        <v>392</v>
      </c>
      <c r="C37" s="462">
        <v>42</v>
      </c>
      <c r="D37" s="464">
        <v>144.51705140000001</v>
      </c>
      <c r="E37" s="464">
        <v>-98.215468000000001</v>
      </c>
    </row>
    <row r="38" spans="1:5">
      <c r="A38" s="458"/>
      <c r="B38" s="470" t="s">
        <v>482</v>
      </c>
      <c r="C38" s="462">
        <v>17</v>
      </c>
      <c r="D38" s="464">
        <v>90.572464999999994</v>
      </c>
      <c r="E38" s="464">
        <v>35.799999999999997</v>
      </c>
    </row>
    <row r="39" spans="1:5">
      <c r="A39" s="458"/>
      <c r="B39" s="470" t="s">
        <v>404</v>
      </c>
      <c r="C39" s="462">
        <v>2</v>
      </c>
      <c r="D39" s="464">
        <v>71</v>
      </c>
      <c r="E39" s="464"/>
    </row>
    <row r="40" spans="1:5">
      <c r="A40" s="458"/>
      <c r="B40" s="470" t="s">
        <v>401</v>
      </c>
      <c r="C40" s="462">
        <v>7</v>
      </c>
      <c r="D40" s="464">
        <v>51.563242340000002</v>
      </c>
      <c r="E40" s="464">
        <v>16.290462999999999</v>
      </c>
    </row>
    <row r="41" spans="1:5">
      <c r="A41" s="458"/>
      <c r="B41" s="470" t="s">
        <v>383</v>
      </c>
      <c r="C41" s="462">
        <v>14</v>
      </c>
      <c r="D41" s="464">
        <v>46.358260200000004</v>
      </c>
      <c r="E41" s="464">
        <v>452.36695300000002</v>
      </c>
    </row>
    <row r="42" spans="1:5">
      <c r="A42" s="458"/>
      <c r="B42" s="470" t="s">
        <v>483</v>
      </c>
      <c r="C42" s="462">
        <v>3</v>
      </c>
      <c r="D42" s="464">
        <v>40.4</v>
      </c>
      <c r="E42" s="464">
        <v>309.80416000000002</v>
      </c>
    </row>
    <row r="43" spans="1:5">
      <c r="A43" s="458"/>
      <c r="B43" s="470" t="s">
        <v>397</v>
      </c>
      <c r="C43" s="462">
        <v>15</v>
      </c>
      <c r="D43" s="464">
        <v>32.636975999999997</v>
      </c>
      <c r="E43" s="464">
        <v>-4.1929119999999998</v>
      </c>
    </row>
    <row r="44" spans="1:5">
      <c r="A44" s="458"/>
      <c r="B44" s="470" t="s">
        <v>387</v>
      </c>
      <c r="C44" s="462">
        <v>1</v>
      </c>
      <c r="D44" s="464">
        <v>30.295262999999998</v>
      </c>
      <c r="E44" s="464"/>
    </row>
    <row r="45" spans="1:5">
      <c r="A45" s="458"/>
      <c r="B45" s="470" t="s">
        <v>484</v>
      </c>
      <c r="C45" s="462">
        <v>12</v>
      </c>
      <c r="D45" s="464">
        <v>28.1708</v>
      </c>
      <c r="E45" s="464"/>
    </row>
    <row r="46" spans="1:5">
      <c r="A46" s="458"/>
      <c r="B46" s="470" t="s">
        <v>485</v>
      </c>
      <c r="C46" s="462">
        <v>7</v>
      </c>
      <c r="D46" s="464">
        <v>19.482583999999999</v>
      </c>
      <c r="E46" s="464">
        <v>21.55</v>
      </c>
    </row>
    <row r="47" spans="1:5">
      <c r="B47" s="470" t="s">
        <v>486</v>
      </c>
      <c r="C47" s="462">
        <v>15</v>
      </c>
      <c r="D47" s="464">
        <v>19.33610118</v>
      </c>
      <c r="E47" s="464">
        <v>10.309144999999999</v>
      </c>
    </row>
    <row r="48" spans="1:5">
      <c r="B48" s="470" t="s">
        <v>399</v>
      </c>
      <c r="C48" s="462">
        <v>9</v>
      </c>
      <c r="D48" s="464">
        <v>17.568589729999999</v>
      </c>
      <c r="E48" s="464">
        <v>5.3368099999999998</v>
      </c>
    </row>
    <row r="49" spans="2:5">
      <c r="B49" s="470" t="s">
        <v>400</v>
      </c>
      <c r="C49" s="462">
        <v>4</v>
      </c>
      <c r="D49" s="464">
        <v>14.244999999999999</v>
      </c>
      <c r="E49" s="464"/>
    </row>
    <row r="50" spans="2:5">
      <c r="B50" s="470" t="s">
        <v>382</v>
      </c>
      <c r="C50" s="462">
        <v>14</v>
      </c>
      <c r="D50" s="464">
        <v>5.8691820000000003</v>
      </c>
      <c r="E50" s="464">
        <v>61.855193101562499</v>
      </c>
    </row>
    <row r="51" spans="2:5">
      <c r="E51" s="464"/>
    </row>
    <row r="52" spans="2:5">
      <c r="E52" s="464"/>
    </row>
    <row r="53" spans="2:5">
      <c r="E53" s="464"/>
    </row>
    <row r="54" spans="2:5">
      <c r="E54" s="464"/>
    </row>
    <row r="55" spans="2:5">
      <c r="E55" s="464"/>
    </row>
    <row r="56" spans="2:5">
      <c r="E56" s="464"/>
    </row>
    <row r="57" spans="2:5">
      <c r="E57" s="464"/>
    </row>
    <row r="58" spans="2:5">
      <c r="E58" s="464"/>
    </row>
    <row r="59" spans="2:5">
      <c r="E59" s="464"/>
    </row>
    <row r="60" spans="2:5">
      <c r="E60" s="471"/>
    </row>
    <row r="61" spans="2:5">
      <c r="E61" s="471"/>
    </row>
    <row r="62" spans="2:5">
      <c r="E62" s="471"/>
    </row>
    <row r="63" spans="2:5">
      <c r="E63" s="471"/>
    </row>
    <row r="64" spans="2:5">
      <c r="E64" s="471"/>
    </row>
    <row r="65" spans="5:5">
      <c r="E65" s="471"/>
    </row>
    <row r="66" spans="5:5">
      <c r="E66" s="471"/>
    </row>
    <row r="67" spans="5:5">
      <c r="E67" s="471"/>
    </row>
  </sheetData>
  <pageMargins left="0.7" right="0.7" top="0.75" bottom="0.75" header="0.3" footer="0.3"/>
  <pageSetup paperSize="9" scale="98" fitToHeight="0" orientation="portrait" r:id="rId1"/>
  <headerFooter>
    <oddHeader>&amp;C&amp;"Times New Roman,Regular"&amp;13&amp;P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9725E-9C9C-49E2-B96D-8B82DD255B3D}">
  <sheetPr>
    <pageSetUpPr fitToPage="1"/>
  </sheetPr>
  <dimension ref="A1:M63"/>
  <sheetViews>
    <sheetView workbookViewId="0">
      <selection activeCell="D28" sqref="D28"/>
    </sheetView>
  </sheetViews>
  <sheetFormatPr defaultColWidth="8" defaultRowHeight="12.75"/>
  <cols>
    <col min="1" max="1" width="24" style="251" customWidth="1"/>
    <col min="2" max="3" width="10.5703125" style="251" customWidth="1"/>
    <col min="4" max="4" width="9.5703125" style="251" customWidth="1"/>
    <col min="5" max="5" width="9.42578125" style="251" customWidth="1"/>
    <col min="6" max="6" width="10.85546875" style="251" customWidth="1"/>
    <col min="7" max="7" width="10.5703125" style="251" customWidth="1"/>
    <col min="8" max="16384" width="8" style="251"/>
  </cols>
  <sheetData>
    <row r="1" spans="1:13" ht="20.100000000000001" customHeight="1">
      <c r="A1" s="250" t="s">
        <v>340</v>
      </c>
      <c r="B1" s="250"/>
      <c r="C1" s="250"/>
      <c r="D1" s="250"/>
      <c r="E1" s="250"/>
      <c r="F1" s="250"/>
      <c r="G1" s="250"/>
    </row>
    <row r="2" spans="1:13" ht="20.100000000000001" customHeight="1">
      <c r="A2" s="250"/>
      <c r="B2" s="250"/>
      <c r="C2" s="250"/>
      <c r="D2" s="250"/>
      <c r="E2" s="250"/>
      <c r="F2" s="250"/>
      <c r="G2" s="250"/>
    </row>
    <row r="3" spans="1:13" ht="20.100000000000001" customHeight="1">
      <c r="A3" s="252"/>
      <c r="B3" s="252"/>
      <c r="C3" s="252"/>
      <c r="D3" s="252"/>
      <c r="E3" s="253"/>
      <c r="F3" s="253"/>
      <c r="G3" s="253"/>
    </row>
    <row r="4" spans="1:13" ht="20.100000000000001" customHeight="1">
      <c r="A4" s="254"/>
      <c r="B4" s="255"/>
      <c r="C4" s="255"/>
      <c r="D4" s="255"/>
      <c r="E4" s="255"/>
      <c r="F4" s="255"/>
      <c r="G4" s="256"/>
    </row>
    <row r="5" spans="1:13" ht="17.25" customHeight="1">
      <c r="B5" s="257" t="s">
        <v>67</v>
      </c>
      <c r="C5" s="257" t="s">
        <v>229</v>
      </c>
      <c r="D5" s="485" t="s">
        <v>341</v>
      </c>
      <c r="E5" s="485"/>
      <c r="F5" s="258" t="s">
        <v>159</v>
      </c>
      <c r="G5" s="258" t="s">
        <v>71</v>
      </c>
    </row>
    <row r="6" spans="1:13" ht="17.25" customHeight="1">
      <c r="B6" s="259" t="s">
        <v>231</v>
      </c>
      <c r="C6" s="259" t="s">
        <v>70</v>
      </c>
      <c r="D6" s="486" t="s">
        <v>73</v>
      </c>
      <c r="E6" s="486"/>
      <c r="F6" s="260" t="s">
        <v>73</v>
      </c>
      <c r="G6" s="260" t="s">
        <v>73</v>
      </c>
    </row>
    <row r="7" spans="1:13" ht="17.25" customHeight="1">
      <c r="B7" s="259" t="s">
        <v>28</v>
      </c>
      <c r="C7" s="259" t="s">
        <v>28</v>
      </c>
      <c r="D7" s="259" t="s">
        <v>342</v>
      </c>
      <c r="E7" s="259" t="s">
        <v>343</v>
      </c>
      <c r="F7" s="261" t="s">
        <v>186</v>
      </c>
      <c r="G7" s="261" t="s">
        <v>186</v>
      </c>
    </row>
    <row r="8" spans="1:13" ht="17.25" customHeight="1">
      <c r="B8" s="259">
        <v>2025</v>
      </c>
      <c r="C8" s="259">
        <v>2025</v>
      </c>
      <c r="D8" s="259" t="s">
        <v>344</v>
      </c>
      <c r="E8" s="259" t="s">
        <v>345</v>
      </c>
      <c r="F8" s="262" t="s">
        <v>30</v>
      </c>
      <c r="G8" s="262" t="s">
        <v>30</v>
      </c>
    </row>
    <row r="9" spans="1:13" ht="17.25" customHeight="1">
      <c r="B9" s="259" t="s">
        <v>346</v>
      </c>
      <c r="C9" s="259" t="s">
        <v>346</v>
      </c>
      <c r="D9" s="259" t="s">
        <v>346</v>
      </c>
      <c r="E9" s="259" t="s">
        <v>347</v>
      </c>
      <c r="F9" s="262" t="s">
        <v>28</v>
      </c>
      <c r="G9" s="262" t="s">
        <v>28</v>
      </c>
    </row>
    <row r="10" spans="1:13" ht="17.25" customHeight="1">
      <c r="B10" s="263"/>
      <c r="C10" s="263"/>
      <c r="D10" s="254"/>
      <c r="E10" s="254"/>
      <c r="F10" s="264" t="s">
        <v>348</v>
      </c>
      <c r="G10" s="264" t="s">
        <v>348</v>
      </c>
    </row>
    <row r="11" spans="1:13" s="266" customFormat="1" ht="6.75" customHeight="1">
      <c r="A11" s="251"/>
      <c r="B11" s="265"/>
      <c r="C11" s="265"/>
      <c r="D11" s="251"/>
      <c r="E11" s="251"/>
      <c r="F11" s="262"/>
      <c r="G11" s="262"/>
    </row>
    <row r="12" spans="1:13" s="266" customFormat="1" ht="22.35" customHeight="1">
      <c r="A12" s="266" t="s">
        <v>32</v>
      </c>
      <c r="B12" s="267">
        <v>565610.65926699829</v>
      </c>
      <c r="C12" s="267">
        <v>582064.08221964317</v>
      </c>
      <c r="D12" s="268">
        <v>2285513.7477101772</v>
      </c>
      <c r="E12" s="269">
        <v>100</v>
      </c>
      <c r="F12" s="269">
        <v>111.14938171255631</v>
      </c>
      <c r="G12" s="269">
        <v>109.94947112311861</v>
      </c>
      <c r="H12" s="270"/>
      <c r="I12" s="270"/>
    </row>
    <row r="13" spans="1:13" ht="22.35" customHeight="1">
      <c r="A13" s="271" t="s">
        <v>349</v>
      </c>
      <c r="B13" s="272">
        <v>432359.6910489552</v>
      </c>
      <c r="C13" s="272">
        <v>442819.99500207789</v>
      </c>
      <c r="D13" s="273">
        <v>1752459.5</v>
      </c>
      <c r="E13" s="274">
        <v>76.676820225293625</v>
      </c>
      <c r="F13" s="274">
        <v>108.7741494069766</v>
      </c>
      <c r="G13" s="274">
        <v>108.65876997698365</v>
      </c>
      <c r="H13" s="270"/>
      <c r="I13" s="270"/>
      <c r="K13" s="266"/>
      <c r="L13" s="266"/>
      <c r="M13" s="266"/>
    </row>
    <row r="14" spans="1:13" s="275" customFormat="1" ht="22.35" customHeight="1">
      <c r="A14" s="271" t="s">
        <v>350</v>
      </c>
      <c r="B14" s="272">
        <v>67718.228605425655</v>
      </c>
      <c r="C14" s="272">
        <v>71070.056072397114</v>
      </c>
      <c r="D14" s="273">
        <v>270642.09189388703</v>
      </c>
      <c r="E14" s="274">
        <v>11.841630450267008</v>
      </c>
      <c r="F14" s="274">
        <v>118.76130780043206</v>
      </c>
      <c r="G14" s="274">
        <v>114.94647431057132</v>
      </c>
      <c r="H14" s="270"/>
      <c r="I14" s="270"/>
      <c r="K14" s="266"/>
      <c r="L14" s="266"/>
      <c r="M14" s="266"/>
    </row>
    <row r="15" spans="1:13" ht="22.35" customHeight="1">
      <c r="A15" s="271" t="s">
        <v>351</v>
      </c>
      <c r="B15" s="272">
        <v>7323.0640701705761</v>
      </c>
      <c r="C15" s="272">
        <v>9118.0794516647711</v>
      </c>
      <c r="D15" s="273">
        <v>30401.203069278257</v>
      </c>
      <c r="E15" s="274">
        <v>1.3301693371889265</v>
      </c>
      <c r="F15" s="274">
        <v>146.13228530237512</v>
      </c>
      <c r="G15" s="274">
        <v>124.53160479616578</v>
      </c>
      <c r="H15" s="270"/>
      <c r="I15" s="270"/>
      <c r="K15" s="266"/>
      <c r="L15" s="266"/>
      <c r="M15" s="266"/>
    </row>
    <row r="16" spans="1:13" ht="22.35" customHeight="1">
      <c r="A16" s="271" t="s">
        <v>352</v>
      </c>
      <c r="B16" s="272">
        <v>58209.675542446872</v>
      </c>
      <c r="C16" s="272">
        <v>59055.951693503441</v>
      </c>
      <c r="D16" s="273">
        <v>232011.18519090835</v>
      </c>
      <c r="E16" s="274">
        <v>10.151379987250436</v>
      </c>
      <c r="F16" s="274">
        <v>116.95515402321</v>
      </c>
      <c r="G16" s="274">
        <v>112.61483321178083</v>
      </c>
      <c r="H16" s="270"/>
      <c r="I16" s="270"/>
      <c r="K16" s="266"/>
      <c r="L16" s="266"/>
      <c r="M16" s="266"/>
    </row>
    <row r="17" spans="1:7" ht="22.35" customHeight="1">
      <c r="B17" s="276"/>
      <c r="C17" s="276"/>
      <c r="D17" s="276"/>
      <c r="E17" s="277"/>
    </row>
    <row r="18" spans="1:7" ht="22.35" customHeight="1">
      <c r="B18" s="276"/>
      <c r="C18" s="276"/>
      <c r="D18" s="277"/>
      <c r="E18" s="277"/>
    </row>
    <row r="19" spans="1:7" ht="22.35" customHeight="1">
      <c r="A19" s="278"/>
      <c r="B19" s="276"/>
      <c r="C19" s="276"/>
      <c r="D19" s="277"/>
      <c r="E19" s="278"/>
      <c r="F19" s="278"/>
      <c r="G19" s="278"/>
    </row>
    <row r="20" spans="1:7" ht="22.35" customHeight="1">
      <c r="A20" s="278"/>
      <c r="B20" s="276"/>
      <c r="C20" s="276"/>
      <c r="D20" s="277"/>
      <c r="E20" s="278"/>
      <c r="F20" s="278"/>
      <c r="G20" s="278"/>
    </row>
    <row r="21" spans="1:7">
      <c r="A21" s="278"/>
      <c r="B21" s="276"/>
      <c r="C21" s="276"/>
      <c r="D21" s="277"/>
      <c r="E21" s="278"/>
      <c r="F21" s="278"/>
      <c r="G21" s="278"/>
    </row>
    <row r="22" spans="1:7">
      <c r="B22" s="276"/>
      <c r="C22" s="276"/>
      <c r="D22" s="276"/>
    </row>
    <row r="23" spans="1:7">
      <c r="B23" s="276"/>
    </row>
    <row r="27" spans="1:7">
      <c r="A27" s="278"/>
      <c r="B27" s="279"/>
      <c r="C27" s="279"/>
      <c r="D27" s="279"/>
      <c r="E27" s="279"/>
      <c r="F27" s="278"/>
      <c r="G27" s="278"/>
    </row>
    <row r="28" spans="1:7">
      <c r="A28" s="278"/>
      <c r="B28" s="279"/>
      <c r="C28" s="279"/>
      <c r="D28" s="279"/>
      <c r="E28" s="279"/>
      <c r="F28" s="278"/>
      <c r="G28" s="278"/>
    </row>
    <row r="29" spans="1:7">
      <c r="A29" s="278"/>
      <c r="B29" s="279"/>
      <c r="C29" s="279"/>
      <c r="D29" s="279"/>
      <c r="E29" s="279"/>
      <c r="F29" s="278"/>
      <c r="G29" s="278"/>
    </row>
    <row r="30" spans="1:7">
      <c r="A30" s="278"/>
      <c r="B30" s="278"/>
      <c r="C30" s="278"/>
      <c r="D30" s="278"/>
      <c r="E30" s="278"/>
      <c r="F30" s="278"/>
      <c r="G30" s="278"/>
    </row>
    <row r="31" spans="1:7">
      <c r="A31" s="278"/>
      <c r="B31" s="278"/>
      <c r="C31" s="278"/>
      <c r="D31" s="278"/>
      <c r="E31" s="278"/>
      <c r="F31" s="278"/>
      <c r="G31" s="278"/>
    </row>
    <row r="32" spans="1:7">
      <c r="A32" s="278"/>
      <c r="B32" s="278"/>
      <c r="C32" s="278"/>
      <c r="D32" s="278"/>
      <c r="E32" s="278"/>
      <c r="F32" s="278"/>
      <c r="G32" s="278"/>
    </row>
    <row r="33" spans="1:7">
      <c r="A33" s="278"/>
      <c r="B33" s="278"/>
      <c r="C33" s="278"/>
      <c r="D33" s="278"/>
      <c r="E33" s="278"/>
      <c r="F33" s="278"/>
      <c r="G33" s="278"/>
    </row>
    <row r="34" spans="1:7">
      <c r="A34" s="278"/>
      <c r="B34" s="278"/>
      <c r="C34" s="278"/>
      <c r="D34" s="278"/>
      <c r="E34" s="278"/>
      <c r="F34" s="278"/>
      <c r="G34" s="278"/>
    </row>
    <row r="35" spans="1:7">
      <c r="A35" s="278"/>
      <c r="B35" s="278"/>
      <c r="C35" s="278"/>
      <c r="D35" s="278"/>
      <c r="E35" s="278"/>
      <c r="F35" s="278"/>
      <c r="G35" s="278"/>
    </row>
    <row r="36" spans="1:7">
      <c r="A36" s="278"/>
      <c r="B36" s="278"/>
      <c r="C36" s="278"/>
      <c r="D36" s="278"/>
      <c r="E36" s="278"/>
      <c r="F36" s="278"/>
      <c r="G36" s="278"/>
    </row>
    <row r="37" spans="1:7">
      <c r="A37" s="278"/>
      <c r="B37" s="278"/>
      <c r="C37" s="278"/>
      <c r="D37" s="278"/>
      <c r="E37" s="278"/>
      <c r="F37" s="278"/>
      <c r="G37" s="278"/>
    </row>
    <row r="38" spans="1:7">
      <c r="A38" s="278"/>
      <c r="B38" s="278"/>
      <c r="C38" s="278"/>
      <c r="D38" s="278"/>
      <c r="E38" s="278"/>
      <c r="F38" s="278"/>
      <c r="G38" s="278"/>
    </row>
    <row r="39" spans="1:7">
      <c r="A39" s="278"/>
      <c r="B39" s="278"/>
      <c r="C39" s="278"/>
      <c r="D39" s="278"/>
      <c r="E39" s="278"/>
      <c r="F39" s="278"/>
      <c r="G39" s="278"/>
    </row>
    <row r="40" spans="1:7">
      <c r="A40" s="278"/>
      <c r="B40" s="278"/>
      <c r="C40" s="278"/>
      <c r="D40" s="278"/>
      <c r="E40" s="278"/>
      <c r="F40" s="278"/>
      <c r="G40" s="278"/>
    </row>
    <row r="41" spans="1:7">
      <c r="A41" s="278"/>
      <c r="B41" s="278"/>
      <c r="C41" s="278"/>
      <c r="D41" s="278"/>
      <c r="E41" s="278"/>
      <c r="F41" s="278"/>
      <c r="G41" s="278"/>
    </row>
    <row r="42" spans="1:7">
      <c r="A42" s="278"/>
      <c r="B42" s="278"/>
      <c r="C42" s="278"/>
      <c r="D42" s="278"/>
      <c r="E42" s="278"/>
      <c r="F42" s="278"/>
      <c r="G42" s="278"/>
    </row>
    <row r="43" spans="1:7">
      <c r="A43" s="278"/>
      <c r="B43" s="278"/>
      <c r="C43" s="278"/>
      <c r="D43" s="278"/>
      <c r="E43" s="278"/>
      <c r="F43" s="278"/>
      <c r="G43" s="278"/>
    </row>
    <row r="44" spans="1:7">
      <c r="A44" s="278"/>
      <c r="B44" s="278"/>
      <c r="C44" s="278"/>
      <c r="D44" s="278"/>
      <c r="E44" s="278"/>
      <c r="F44" s="278"/>
      <c r="G44" s="278"/>
    </row>
    <row r="45" spans="1:7">
      <c r="A45" s="278"/>
      <c r="B45" s="278"/>
      <c r="C45" s="278"/>
      <c r="D45" s="278"/>
      <c r="E45" s="278"/>
      <c r="F45" s="278"/>
      <c r="G45" s="278"/>
    </row>
    <row r="46" spans="1:7">
      <c r="A46" s="278"/>
      <c r="B46" s="278"/>
      <c r="C46" s="278"/>
      <c r="D46" s="278"/>
      <c r="E46" s="278"/>
      <c r="F46" s="278"/>
      <c r="G46" s="278"/>
    </row>
    <row r="47" spans="1:7">
      <c r="A47" s="278"/>
      <c r="B47" s="278"/>
      <c r="C47" s="278"/>
      <c r="D47" s="278"/>
      <c r="E47" s="278"/>
      <c r="F47" s="278"/>
      <c r="G47" s="278"/>
    </row>
    <row r="48" spans="1:7">
      <c r="A48" s="278"/>
      <c r="B48" s="278"/>
      <c r="C48" s="278"/>
      <c r="D48" s="278"/>
      <c r="E48" s="278"/>
      <c r="F48" s="278"/>
      <c r="G48" s="278"/>
    </row>
    <row r="49" spans="1:7">
      <c r="A49" s="278"/>
      <c r="B49" s="278"/>
      <c r="C49" s="278"/>
      <c r="D49" s="278"/>
      <c r="E49" s="278"/>
      <c r="F49" s="278"/>
      <c r="G49" s="278"/>
    </row>
    <row r="50" spans="1:7">
      <c r="A50" s="278"/>
      <c r="B50" s="278"/>
      <c r="C50" s="278"/>
      <c r="D50" s="278"/>
      <c r="E50" s="278"/>
      <c r="F50" s="278"/>
      <c r="G50" s="278"/>
    </row>
    <row r="51" spans="1:7">
      <c r="A51" s="278"/>
      <c r="B51" s="278"/>
      <c r="C51" s="278"/>
      <c r="D51" s="278"/>
      <c r="E51" s="278"/>
      <c r="F51" s="278"/>
      <c r="G51" s="278"/>
    </row>
    <row r="52" spans="1:7">
      <c r="A52" s="278"/>
      <c r="B52" s="278"/>
      <c r="C52" s="278"/>
      <c r="D52" s="278"/>
      <c r="E52" s="278"/>
      <c r="F52" s="278"/>
      <c r="G52" s="278"/>
    </row>
    <row r="53" spans="1:7">
      <c r="A53" s="278"/>
      <c r="B53" s="278"/>
      <c r="C53" s="278"/>
      <c r="D53" s="278"/>
      <c r="E53" s="278"/>
      <c r="F53" s="278"/>
      <c r="G53" s="278"/>
    </row>
    <row r="54" spans="1:7">
      <c r="A54" s="278"/>
      <c r="B54" s="278"/>
      <c r="C54" s="278"/>
      <c r="D54" s="278"/>
      <c r="E54" s="278"/>
      <c r="F54" s="278"/>
      <c r="G54" s="278"/>
    </row>
    <row r="55" spans="1:7">
      <c r="A55" s="278"/>
      <c r="B55" s="278"/>
      <c r="C55" s="278"/>
      <c r="D55" s="278"/>
      <c r="E55" s="278"/>
      <c r="F55" s="278"/>
      <c r="G55" s="278"/>
    </row>
    <row r="56" spans="1:7">
      <c r="A56" s="278"/>
      <c r="B56" s="278"/>
      <c r="C56" s="278"/>
      <c r="D56" s="278"/>
      <c r="E56" s="278"/>
      <c r="F56" s="278"/>
      <c r="G56" s="278"/>
    </row>
    <row r="57" spans="1:7">
      <c r="A57" s="278"/>
      <c r="B57" s="278"/>
      <c r="C57" s="278"/>
      <c r="D57" s="278"/>
      <c r="E57" s="278"/>
      <c r="F57" s="278"/>
      <c r="G57" s="278"/>
    </row>
    <row r="58" spans="1:7">
      <c r="A58" s="278"/>
      <c r="B58" s="278"/>
      <c r="C58" s="278"/>
      <c r="D58" s="278"/>
      <c r="E58" s="278"/>
      <c r="F58" s="278"/>
      <c r="G58" s="278"/>
    </row>
    <row r="59" spans="1:7">
      <c r="A59" s="278"/>
      <c r="B59" s="278"/>
      <c r="C59" s="278"/>
      <c r="D59" s="278"/>
      <c r="E59" s="278"/>
      <c r="F59" s="278"/>
      <c r="G59" s="278"/>
    </row>
    <row r="60" spans="1:7">
      <c r="A60" s="278"/>
      <c r="B60" s="278"/>
      <c r="C60" s="278"/>
      <c r="D60" s="278"/>
      <c r="E60" s="278"/>
      <c r="F60" s="278"/>
      <c r="G60" s="278"/>
    </row>
    <row r="61" spans="1:7">
      <c r="A61" s="278"/>
      <c r="B61" s="278"/>
      <c r="C61" s="278"/>
      <c r="D61" s="278"/>
      <c r="E61" s="278"/>
      <c r="F61" s="278"/>
      <c r="G61" s="278"/>
    </row>
    <row r="62" spans="1:7">
      <c r="A62" s="278"/>
      <c r="B62" s="278"/>
      <c r="C62" s="278"/>
      <c r="D62" s="278"/>
      <c r="E62" s="278"/>
      <c r="F62" s="278"/>
      <c r="G62" s="278"/>
    </row>
    <row r="63" spans="1:7">
      <c r="A63" s="278"/>
      <c r="B63" s="278"/>
      <c r="C63" s="278"/>
      <c r="D63" s="278"/>
      <c r="E63" s="278"/>
      <c r="F63" s="278"/>
      <c r="G63" s="278"/>
    </row>
  </sheetData>
  <mergeCells count="2">
    <mergeCell ref="D5:E5"/>
    <mergeCell ref="D6:E6"/>
  </mergeCells>
  <pageMargins left="0.78740157480314998" right="0.47244094488188998" top="0.74803149606299202" bottom="0.47244094488188998" header="0.43307086614173201" footer="0.31496062992126"/>
  <pageSetup paperSize="9" firstPageNumber="29" fitToHeight="0" orientation="portrait" r:id="rId1"/>
  <headerFooter alignWithMargins="0">
    <oddHeader>&amp;C&amp;"Times New Roman,Regular"&amp;13&amp;P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C602-9803-4936-B758-6090B7E1AE14}">
  <sheetPr>
    <pageSetUpPr fitToPage="1"/>
  </sheetPr>
  <dimension ref="A1:O68"/>
  <sheetViews>
    <sheetView workbookViewId="0">
      <selection activeCell="D28" sqref="D28"/>
    </sheetView>
  </sheetViews>
  <sheetFormatPr defaultColWidth="9.140625" defaultRowHeight="15" customHeight="1"/>
  <cols>
    <col min="1" max="1" width="0.85546875" style="70" customWidth="1"/>
    <col min="2" max="2" width="33.140625" style="69" customWidth="1"/>
    <col min="3" max="4" width="8.28515625" style="70" customWidth="1"/>
    <col min="5" max="5" width="1.140625" style="70" customWidth="1"/>
    <col min="6" max="7" width="8.28515625" style="70" customWidth="1"/>
    <col min="8" max="8" width="1" style="70" customWidth="1"/>
    <col min="9" max="10" width="8.28515625" style="70" customWidth="1"/>
    <col min="11" max="11" width="0.85546875" style="70" customWidth="1"/>
    <col min="12" max="13" width="8.28515625" style="70" customWidth="1"/>
    <col min="14" max="14" width="8.7109375" style="70" customWidth="1"/>
    <col min="15" max="16384" width="9.140625" style="70"/>
  </cols>
  <sheetData>
    <row r="1" spans="1:15" ht="16.5">
      <c r="A1" s="68" t="s">
        <v>151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5" ht="15" customHeight="1"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5" ht="15" customHeight="1">
      <c r="B3" s="72"/>
      <c r="C3" s="73"/>
      <c r="D3" s="73"/>
      <c r="E3" s="73"/>
      <c r="F3" s="73"/>
      <c r="G3" s="74"/>
      <c r="H3" s="74"/>
      <c r="I3" s="74"/>
      <c r="J3" s="75"/>
      <c r="K3" s="75"/>
      <c r="L3" s="75"/>
      <c r="M3" s="76" t="s">
        <v>66</v>
      </c>
    </row>
    <row r="4" spans="1:15" ht="15" customHeight="1">
      <c r="A4" s="77"/>
      <c r="B4" s="78"/>
      <c r="C4" s="488" t="s">
        <v>67</v>
      </c>
      <c r="D4" s="488"/>
      <c r="E4" s="79"/>
      <c r="F4" s="488" t="s">
        <v>67</v>
      </c>
      <c r="G4" s="488"/>
      <c r="H4" s="79"/>
      <c r="I4" s="488" t="s">
        <v>68</v>
      </c>
      <c r="J4" s="488"/>
      <c r="K4" s="79"/>
      <c r="L4" s="488" t="s">
        <v>69</v>
      </c>
      <c r="M4" s="488"/>
    </row>
    <row r="5" spans="1:15" ht="15" customHeight="1">
      <c r="B5" s="80"/>
      <c r="C5" s="489" t="s">
        <v>70</v>
      </c>
      <c r="D5" s="489"/>
      <c r="E5" s="81"/>
      <c r="F5" s="489" t="s">
        <v>71</v>
      </c>
      <c r="G5" s="489"/>
      <c r="H5" s="81"/>
      <c r="I5" s="489" t="s">
        <v>6</v>
      </c>
      <c r="J5" s="489"/>
      <c r="K5" s="81"/>
      <c r="L5" s="489" t="s">
        <v>72</v>
      </c>
      <c r="M5" s="489"/>
    </row>
    <row r="6" spans="1:15" ht="15" customHeight="1">
      <c r="B6" s="80"/>
      <c r="C6" s="487" t="s">
        <v>73</v>
      </c>
      <c r="D6" s="487"/>
      <c r="E6" s="82"/>
      <c r="F6" s="487" t="s">
        <v>73</v>
      </c>
      <c r="G6" s="487"/>
      <c r="H6" s="82"/>
      <c r="I6" s="487" t="s">
        <v>7</v>
      </c>
      <c r="J6" s="487"/>
      <c r="K6" s="82"/>
      <c r="L6" s="487" t="s">
        <v>7</v>
      </c>
      <c r="M6" s="487"/>
    </row>
    <row r="7" spans="1:15" ht="15" customHeight="1">
      <c r="B7" s="80"/>
      <c r="C7" s="83" t="s">
        <v>74</v>
      </c>
      <c r="D7" s="83" t="s">
        <v>75</v>
      </c>
      <c r="E7" s="83"/>
      <c r="F7" s="84" t="s">
        <v>74</v>
      </c>
      <c r="G7" s="83" t="s">
        <v>75</v>
      </c>
      <c r="H7" s="83"/>
      <c r="I7" s="84" t="s">
        <v>74</v>
      </c>
      <c r="J7" s="83" t="s">
        <v>75</v>
      </c>
      <c r="K7" s="83"/>
      <c r="L7" s="85" t="s">
        <v>74</v>
      </c>
      <c r="M7" s="85" t="s">
        <v>75</v>
      </c>
    </row>
    <row r="8" spans="1:15" ht="15" customHeight="1">
      <c r="B8" s="86"/>
      <c r="C8" s="73"/>
      <c r="D8" s="73"/>
      <c r="E8" s="73"/>
      <c r="F8" s="73"/>
      <c r="G8" s="73"/>
      <c r="H8" s="73"/>
      <c r="I8" s="87"/>
      <c r="J8" s="87"/>
      <c r="K8" s="87"/>
      <c r="L8" s="87"/>
      <c r="M8" s="87"/>
    </row>
    <row r="9" spans="1:15" s="92" customFormat="1" ht="15" customHeight="1">
      <c r="A9" s="88" t="s">
        <v>76</v>
      </c>
      <c r="B9" s="89"/>
      <c r="C9" s="89"/>
      <c r="D9" s="90">
        <v>37445.441758000001</v>
      </c>
      <c r="E9" s="90"/>
      <c r="F9" s="89"/>
      <c r="G9" s="90">
        <v>140339.12869000001</v>
      </c>
      <c r="H9" s="90"/>
      <c r="I9" s="91"/>
      <c r="J9" s="91">
        <v>119.75134853931708</v>
      </c>
      <c r="K9" s="91"/>
      <c r="L9" s="91"/>
      <c r="M9" s="91">
        <v>112.97753617764951</v>
      </c>
      <c r="O9" s="93"/>
    </row>
    <row r="10" spans="1:15" ht="15" customHeight="1">
      <c r="B10" s="94" t="s">
        <v>77</v>
      </c>
      <c r="C10" s="73"/>
      <c r="D10" s="90">
        <v>11655.178675000003</v>
      </c>
      <c r="E10" s="90"/>
      <c r="F10" s="89"/>
      <c r="G10" s="90">
        <v>40740.601048000011</v>
      </c>
      <c r="H10" s="90"/>
      <c r="I10" s="91"/>
      <c r="J10" s="91">
        <v>125.71069767549751</v>
      </c>
      <c r="K10" s="91"/>
      <c r="L10" s="91"/>
      <c r="M10" s="91">
        <v>118.09056036871326</v>
      </c>
    </row>
    <row r="11" spans="1:15" ht="15" customHeight="1">
      <c r="B11" s="94" t="s">
        <v>78</v>
      </c>
      <c r="C11" s="73"/>
      <c r="D11" s="90">
        <v>25790.263082999998</v>
      </c>
      <c r="E11" s="90"/>
      <c r="F11" s="90"/>
      <c r="G11" s="90">
        <v>99598</v>
      </c>
      <c r="H11" s="90"/>
      <c r="I11" s="91"/>
      <c r="J11" s="91">
        <v>117.23966836335723</v>
      </c>
      <c r="K11" s="91"/>
      <c r="L11" s="91"/>
      <c r="M11" s="91">
        <v>111.01143931080155</v>
      </c>
    </row>
    <row r="12" spans="1:15" ht="15" customHeight="1">
      <c r="B12" s="95" t="s">
        <v>79</v>
      </c>
      <c r="C12" s="73"/>
      <c r="D12" s="96">
        <v>154.417823</v>
      </c>
      <c r="E12" s="96"/>
      <c r="F12" s="73"/>
      <c r="G12" s="96">
        <v>512.43031800000006</v>
      </c>
      <c r="H12" s="96"/>
      <c r="I12" s="91"/>
      <c r="J12" s="87">
        <v>88.682523346827537</v>
      </c>
      <c r="K12" s="87"/>
      <c r="L12" s="91"/>
      <c r="M12" s="87">
        <v>63.319903989474248</v>
      </c>
    </row>
    <row r="13" spans="1:15" ht="15" customHeight="1">
      <c r="B13" s="97" t="s">
        <v>80</v>
      </c>
      <c r="C13" s="73"/>
      <c r="D13" s="96">
        <v>25635.845259999998</v>
      </c>
      <c r="E13" s="96"/>
      <c r="F13" s="96"/>
      <c r="G13" s="96">
        <v>99086.097324000002</v>
      </c>
      <c r="H13" s="96"/>
      <c r="I13" s="91"/>
      <c r="J13" s="87">
        <v>117.46751588746366</v>
      </c>
      <c r="K13" s="87"/>
      <c r="L13" s="91"/>
      <c r="M13" s="87">
        <v>111.44553535124663</v>
      </c>
    </row>
    <row r="14" spans="1:15" ht="15" customHeight="1">
      <c r="A14" s="98" t="s">
        <v>81</v>
      </c>
      <c r="B14" s="72"/>
      <c r="C14" s="73"/>
      <c r="D14" s="73"/>
      <c r="E14" s="73"/>
      <c r="F14" s="73"/>
      <c r="G14" s="73"/>
      <c r="H14" s="73"/>
      <c r="I14" s="87"/>
      <c r="J14" s="87"/>
      <c r="K14" s="87"/>
      <c r="L14" s="87"/>
      <c r="M14" s="87"/>
    </row>
    <row r="15" spans="1:15" ht="15" customHeight="1">
      <c r="B15" s="97" t="s">
        <v>82</v>
      </c>
      <c r="C15" s="96"/>
      <c r="D15" s="96">
        <v>900.87661300000002</v>
      </c>
      <c r="E15" s="96"/>
      <c r="F15" s="96"/>
      <c r="G15" s="96">
        <v>3211.0147059999999</v>
      </c>
      <c r="H15" s="96"/>
      <c r="I15" s="87"/>
      <c r="J15" s="87">
        <v>116.25450979261713</v>
      </c>
      <c r="K15" s="87"/>
      <c r="L15" s="87"/>
      <c r="M15" s="87">
        <v>118.32539454826065</v>
      </c>
      <c r="N15" s="99"/>
    </row>
    <row r="16" spans="1:15" ht="15" customHeight="1">
      <c r="B16" s="97" t="s">
        <v>83</v>
      </c>
      <c r="C16" s="96"/>
      <c r="D16" s="96">
        <v>523.51905599999998</v>
      </c>
      <c r="E16" s="96"/>
      <c r="F16" s="96"/>
      <c r="G16" s="96">
        <v>1686.636434</v>
      </c>
      <c r="H16" s="96"/>
      <c r="I16" s="87"/>
      <c r="J16" s="87">
        <v>86.94127894356032</v>
      </c>
      <c r="K16" s="87"/>
      <c r="L16" s="87"/>
      <c r="M16" s="87">
        <v>89.522872372889069</v>
      </c>
      <c r="N16" s="99"/>
    </row>
    <row r="17" spans="2:14" ht="15" customHeight="1">
      <c r="B17" s="97" t="s">
        <v>84</v>
      </c>
      <c r="C17" s="96">
        <v>73.949161237701745</v>
      </c>
      <c r="D17" s="96">
        <v>494.05692399999998</v>
      </c>
      <c r="E17" s="96"/>
      <c r="F17" s="96">
        <v>196.12016123770175</v>
      </c>
      <c r="G17" s="96">
        <v>1333.434186</v>
      </c>
      <c r="H17" s="96"/>
      <c r="I17" s="87">
        <v>110.43616618285532</v>
      </c>
      <c r="J17" s="87">
        <v>137.8708820908993</v>
      </c>
      <c r="K17" s="87"/>
      <c r="L17" s="87">
        <v>90.251934505138792</v>
      </c>
      <c r="M17" s="87">
        <v>114.44017935936395</v>
      </c>
      <c r="N17" s="99"/>
    </row>
    <row r="18" spans="2:14" ht="15" customHeight="1">
      <c r="B18" s="97" t="s">
        <v>85</v>
      </c>
      <c r="C18" s="96">
        <v>167.12282321535687</v>
      </c>
      <c r="D18" s="96">
        <v>965.82932400000004</v>
      </c>
      <c r="E18" s="96"/>
      <c r="F18" s="96">
        <v>662.90282321535688</v>
      </c>
      <c r="G18" s="96">
        <v>3795.6885390000002</v>
      </c>
      <c r="H18" s="96"/>
      <c r="I18" s="87">
        <v>111.36473013257782</v>
      </c>
      <c r="J18" s="87">
        <v>168.59154686772177</v>
      </c>
      <c r="K18" s="87"/>
      <c r="L18" s="87">
        <v>90.159703070688067</v>
      </c>
      <c r="M18" s="87">
        <v>151.81045711477722</v>
      </c>
      <c r="N18" s="99"/>
    </row>
    <row r="19" spans="2:14" ht="15" customHeight="1">
      <c r="B19" s="97" t="s">
        <v>86</v>
      </c>
      <c r="C19" s="96">
        <v>9.0771532125760572</v>
      </c>
      <c r="D19" s="96">
        <v>14.807236</v>
      </c>
      <c r="E19" s="96"/>
      <c r="F19" s="96">
        <v>35.96015321257606</v>
      </c>
      <c r="G19" s="96">
        <v>57.839720999999997</v>
      </c>
      <c r="H19" s="96"/>
      <c r="I19" s="87">
        <v>89.597800933531317</v>
      </c>
      <c r="J19" s="87">
        <v>86.389069701921926</v>
      </c>
      <c r="K19" s="87"/>
      <c r="L19" s="87">
        <v>98.040167977796727</v>
      </c>
      <c r="M19" s="87">
        <v>95.90720495408867</v>
      </c>
      <c r="N19" s="99"/>
    </row>
    <row r="20" spans="2:14" ht="15" customHeight="1">
      <c r="B20" s="97" t="s">
        <v>87</v>
      </c>
      <c r="C20" s="96">
        <v>26.50763884503635</v>
      </c>
      <c r="D20" s="96">
        <v>184.13770199999999</v>
      </c>
      <c r="E20" s="96"/>
      <c r="F20" s="96">
        <v>73.776638845036345</v>
      </c>
      <c r="G20" s="96">
        <v>508.36717399999998</v>
      </c>
      <c r="H20" s="96"/>
      <c r="I20" s="87">
        <v>101.04306947105417</v>
      </c>
      <c r="J20" s="87">
        <v>158.27216656043856</v>
      </c>
      <c r="K20" s="87"/>
      <c r="L20" s="87">
        <v>88.900369746272162</v>
      </c>
      <c r="M20" s="87">
        <v>144.43092787220226</v>
      </c>
      <c r="N20" s="99"/>
    </row>
    <row r="21" spans="2:14" ht="15" customHeight="1">
      <c r="B21" s="100" t="s">
        <v>88</v>
      </c>
      <c r="C21" s="96">
        <v>1125.2495985474677</v>
      </c>
      <c r="D21" s="96">
        <v>560.22610399999996</v>
      </c>
      <c r="E21" s="96"/>
      <c r="F21" s="96">
        <v>3434.3185985474674</v>
      </c>
      <c r="G21" s="96">
        <v>1765.2531329999999</v>
      </c>
      <c r="H21" s="96"/>
      <c r="I21" s="87">
        <v>112.3204243619836</v>
      </c>
      <c r="J21" s="87">
        <v>90.406243132604587</v>
      </c>
      <c r="K21" s="87"/>
      <c r="L21" s="87">
        <v>108.35207176657018</v>
      </c>
      <c r="M21" s="87">
        <v>86.660191376948887</v>
      </c>
      <c r="N21" s="101"/>
    </row>
    <row r="22" spans="2:14" ht="15" customHeight="1">
      <c r="B22" s="97" t="s">
        <v>89</v>
      </c>
      <c r="C22" s="96">
        <v>397.24595766217527</v>
      </c>
      <c r="D22" s="96">
        <v>112.881934</v>
      </c>
      <c r="E22" s="96"/>
      <c r="F22" s="96">
        <v>1608.6919576621751</v>
      </c>
      <c r="G22" s="96">
        <v>485.76538699999998</v>
      </c>
      <c r="H22" s="96"/>
      <c r="I22" s="87">
        <v>216.72256374200086</v>
      </c>
      <c r="J22" s="87">
        <v>139.96412079748126</v>
      </c>
      <c r="K22" s="87"/>
      <c r="L22" s="87">
        <v>142.77186275853401</v>
      </c>
      <c r="M22" s="87">
        <v>95.203447693788974</v>
      </c>
      <c r="N22" s="99"/>
    </row>
    <row r="23" spans="2:14" ht="15" customHeight="1">
      <c r="B23" s="97" t="s">
        <v>90</v>
      </c>
      <c r="C23" s="96"/>
      <c r="D23" s="96">
        <v>97.485844999999998</v>
      </c>
      <c r="E23" s="96"/>
      <c r="F23" s="96"/>
      <c r="G23" s="96">
        <v>390.37588099999999</v>
      </c>
      <c r="H23" s="96"/>
      <c r="I23" s="87"/>
      <c r="J23" s="87">
        <v>102.39063599037523</v>
      </c>
      <c r="K23" s="87"/>
      <c r="L23" s="87"/>
      <c r="M23" s="87">
        <v>110.02768449540015</v>
      </c>
      <c r="N23" s="99"/>
    </row>
    <row r="24" spans="2:14" ht="15" customHeight="1">
      <c r="B24" s="97" t="s">
        <v>91</v>
      </c>
      <c r="C24" s="96"/>
      <c r="D24" s="96">
        <v>121.39491700000001</v>
      </c>
      <c r="E24" s="96"/>
      <c r="F24" s="96"/>
      <c r="G24" s="96">
        <v>388.11377299999998</v>
      </c>
      <c r="H24" s="96"/>
      <c r="I24" s="87"/>
      <c r="J24" s="87">
        <v>136.06751226340188</v>
      </c>
      <c r="K24" s="87"/>
      <c r="L24" s="87"/>
      <c r="M24" s="87">
        <v>124.65653437396938</v>
      </c>
      <c r="N24" s="99"/>
    </row>
    <row r="25" spans="2:14" ht="15" customHeight="1">
      <c r="B25" s="97" t="s">
        <v>92</v>
      </c>
      <c r="C25" s="96">
        <v>2970.9599724014111</v>
      </c>
      <c r="D25" s="96">
        <v>112.454386</v>
      </c>
      <c r="E25" s="96"/>
      <c r="F25" s="96">
        <v>11201.965972401411</v>
      </c>
      <c r="G25" s="96">
        <v>410.860094</v>
      </c>
      <c r="H25" s="96"/>
      <c r="I25" s="87">
        <v>105.09789951364279</v>
      </c>
      <c r="J25" s="87">
        <v>102.77167645203131</v>
      </c>
      <c r="K25" s="87"/>
      <c r="L25" s="87">
        <v>103.21170683770337</v>
      </c>
      <c r="M25" s="87">
        <v>99.66965530577518</v>
      </c>
      <c r="N25" s="99"/>
    </row>
    <row r="26" spans="2:14" ht="15" customHeight="1">
      <c r="B26" s="97" t="s">
        <v>93</v>
      </c>
      <c r="C26" s="96">
        <v>243.24999328409669</v>
      </c>
      <c r="D26" s="96">
        <v>154.417823</v>
      </c>
      <c r="E26" s="96"/>
      <c r="F26" s="96">
        <v>829.8949932840967</v>
      </c>
      <c r="G26" s="96">
        <v>512.43031800000006</v>
      </c>
      <c r="H26" s="96"/>
      <c r="I26" s="87">
        <v>100.72672033959158</v>
      </c>
      <c r="J26" s="87">
        <v>88.682523346827537</v>
      </c>
      <c r="K26" s="87"/>
      <c r="L26" s="87">
        <v>71.737786244838048</v>
      </c>
      <c r="M26" s="87">
        <v>63.319903989474248</v>
      </c>
      <c r="N26" s="99"/>
    </row>
    <row r="27" spans="2:14" ht="15" customHeight="1">
      <c r="B27" s="97" t="s">
        <v>94</v>
      </c>
      <c r="C27" s="96">
        <v>146.56719886816509</v>
      </c>
      <c r="D27" s="96">
        <v>91.759359000000003</v>
      </c>
      <c r="E27" s="96"/>
      <c r="F27" s="96">
        <v>517.85619886816505</v>
      </c>
      <c r="G27" s="96">
        <v>355.52456799999999</v>
      </c>
      <c r="H27" s="96"/>
      <c r="I27" s="87">
        <v>73.692222809561571</v>
      </c>
      <c r="J27" s="87">
        <v>55.424778232140781</v>
      </c>
      <c r="K27" s="87"/>
      <c r="L27" s="87">
        <v>62.368117292829176</v>
      </c>
      <c r="M27" s="87">
        <v>51.010050882560677</v>
      </c>
      <c r="N27" s="99"/>
    </row>
    <row r="28" spans="2:14" ht="15" customHeight="1">
      <c r="B28" s="97" t="s">
        <v>95</v>
      </c>
      <c r="C28" s="96"/>
      <c r="D28" s="96">
        <v>240.731345</v>
      </c>
      <c r="E28" s="96"/>
      <c r="F28" s="96"/>
      <c r="G28" s="96">
        <v>918.16379199999994</v>
      </c>
      <c r="H28" s="96"/>
      <c r="I28" s="87"/>
      <c r="J28" s="87">
        <v>99.655598336291931</v>
      </c>
      <c r="K28" s="87"/>
      <c r="L28" s="87"/>
      <c r="M28" s="87">
        <v>99.329086373958347</v>
      </c>
      <c r="N28" s="99"/>
    </row>
    <row r="29" spans="2:14" ht="15" customHeight="1">
      <c r="B29" s="97" t="s">
        <v>96</v>
      </c>
      <c r="C29" s="96"/>
      <c r="D29" s="96">
        <v>261.60217999999998</v>
      </c>
      <c r="E29" s="96"/>
      <c r="F29" s="96"/>
      <c r="G29" s="96">
        <v>971.33816200000001</v>
      </c>
      <c r="H29" s="96"/>
      <c r="I29" s="87"/>
      <c r="J29" s="87">
        <v>128.87074097019084</v>
      </c>
      <c r="K29" s="87"/>
      <c r="L29" s="87"/>
      <c r="M29" s="87">
        <v>113.11768527411159</v>
      </c>
      <c r="N29" s="99"/>
    </row>
    <row r="30" spans="2:14" ht="15" customHeight="1">
      <c r="B30" s="97" t="s">
        <v>97</v>
      </c>
      <c r="C30" s="96">
        <v>182.86941034991688</v>
      </c>
      <c r="D30" s="96">
        <v>194.37031200000001</v>
      </c>
      <c r="E30" s="96"/>
      <c r="F30" s="96">
        <v>739.0204103499168</v>
      </c>
      <c r="G30" s="96">
        <v>788.41912200000002</v>
      </c>
      <c r="H30" s="96"/>
      <c r="I30" s="87">
        <v>99.490987921937318</v>
      </c>
      <c r="J30" s="87">
        <v>94.564181113162391</v>
      </c>
      <c r="K30" s="87"/>
      <c r="L30" s="87">
        <v>85.564776808292351</v>
      </c>
      <c r="M30" s="87">
        <v>83.724783876705317</v>
      </c>
      <c r="N30" s="99"/>
    </row>
    <row r="31" spans="2:14" ht="15" customHeight="1">
      <c r="B31" s="97" t="s">
        <v>98</v>
      </c>
      <c r="C31" s="96"/>
      <c r="D31" s="96">
        <v>609.31247499999995</v>
      </c>
      <c r="E31" s="96"/>
      <c r="F31" s="96"/>
      <c r="G31" s="96">
        <v>2321.5243559999999</v>
      </c>
      <c r="H31" s="96"/>
      <c r="I31" s="87"/>
      <c r="J31" s="87">
        <v>106.25996703054241</v>
      </c>
      <c r="K31" s="87"/>
      <c r="L31" s="87"/>
      <c r="M31" s="87">
        <v>113.90452142740226</v>
      </c>
      <c r="N31" s="99"/>
    </row>
    <row r="32" spans="2:14" ht="15" customHeight="1">
      <c r="B32" s="97" t="s">
        <v>99</v>
      </c>
      <c r="C32" s="96">
        <v>70.152999861077035</v>
      </c>
      <c r="D32" s="96">
        <v>139.45754700000001</v>
      </c>
      <c r="E32" s="96"/>
      <c r="F32" s="96">
        <v>453.15299986107703</v>
      </c>
      <c r="G32" s="96">
        <v>872.78718700000002</v>
      </c>
      <c r="H32" s="96"/>
      <c r="I32" s="87">
        <v>95.289387350181386</v>
      </c>
      <c r="J32" s="87">
        <v>118.58644730344716</v>
      </c>
      <c r="K32" s="87"/>
      <c r="L32" s="87">
        <v>92.890819389603223</v>
      </c>
      <c r="M32" s="87">
        <v>120.42022033694511</v>
      </c>
      <c r="N32" s="99"/>
    </row>
    <row r="33" spans="2:14" ht="15" customHeight="1">
      <c r="B33" s="97" t="s">
        <v>100</v>
      </c>
      <c r="C33" s="96"/>
      <c r="D33" s="96">
        <v>130.061384</v>
      </c>
      <c r="E33" s="96"/>
      <c r="F33" s="96"/>
      <c r="G33" s="96">
        <v>456.816643</v>
      </c>
      <c r="H33" s="96"/>
      <c r="I33" s="87"/>
      <c r="J33" s="87">
        <v>127.01251959415332</v>
      </c>
      <c r="K33" s="87"/>
      <c r="L33" s="87"/>
      <c r="M33" s="87">
        <v>118.22120529120306</v>
      </c>
      <c r="N33" s="99"/>
    </row>
    <row r="34" spans="2:14" ht="15" customHeight="1">
      <c r="B34" s="97" t="s">
        <v>101</v>
      </c>
      <c r="C34" s="96"/>
      <c r="D34" s="96">
        <v>393.51919700000002</v>
      </c>
      <c r="E34" s="96"/>
      <c r="F34" s="96"/>
      <c r="G34" s="96">
        <v>1387.250227</v>
      </c>
      <c r="H34" s="96"/>
      <c r="I34" s="87"/>
      <c r="J34" s="87">
        <v>116.79650450546582</v>
      </c>
      <c r="K34" s="87"/>
      <c r="L34" s="87"/>
      <c r="M34" s="87">
        <v>112.51005098410477</v>
      </c>
      <c r="N34" s="99"/>
    </row>
    <row r="35" spans="2:14" ht="15" customHeight="1">
      <c r="B35" s="97" t="s">
        <v>102</v>
      </c>
      <c r="C35" s="96"/>
      <c r="D35" s="96">
        <v>1446.9519969999999</v>
      </c>
      <c r="E35" s="96"/>
      <c r="F35" s="96"/>
      <c r="G35" s="96">
        <v>5388.1002559999997</v>
      </c>
      <c r="H35" s="96"/>
      <c r="I35" s="87"/>
      <c r="J35" s="87">
        <v>105.43149824410219</v>
      </c>
      <c r="K35" s="87"/>
      <c r="L35" s="87"/>
      <c r="M35" s="87">
        <v>109.67380348152088</v>
      </c>
      <c r="N35" s="99"/>
    </row>
    <row r="36" spans="2:14" ht="15" customHeight="1">
      <c r="B36" s="97" t="s">
        <v>103</v>
      </c>
      <c r="C36" s="96"/>
      <c r="D36" s="96">
        <v>194.47439</v>
      </c>
      <c r="E36" s="96"/>
      <c r="F36" s="96"/>
      <c r="G36" s="96">
        <v>682.99778900000001</v>
      </c>
      <c r="H36" s="96"/>
      <c r="I36" s="87"/>
      <c r="J36" s="87">
        <v>102.91730882250158</v>
      </c>
      <c r="K36" s="87"/>
      <c r="L36" s="87"/>
      <c r="M36" s="87">
        <v>100.96673880982789</v>
      </c>
      <c r="N36" s="99"/>
    </row>
    <row r="37" spans="2:14" ht="15" customHeight="1">
      <c r="B37" s="97" t="s">
        <v>104</v>
      </c>
      <c r="C37" s="96">
        <v>164.48924530207509</v>
      </c>
      <c r="D37" s="96">
        <v>361.42331200000001</v>
      </c>
      <c r="E37" s="96"/>
      <c r="F37" s="96">
        <v>623.09724530207507</v>
      </c>
      <c r="G37" s="96">
        <v>1394.205322</v>
      </c>
      <c r="H37" s="96"/>
      <c r="I37" s="87">
        <v>108.70937691382323</v>
      </c>
      <c r="J37" s="87">
        <v>198.98549797485072</v>
      </c>
      <c r="K37" s="87"/>
      <c r="L37" s="87">
        <v>105.4981249156951</v>
      </c>
      <c r="M37" s="87">
        <v>98.801165114280252</v>
      </c>
      <c r="N37" s="99"/>
    </row>
    <row r="38" spans="2:14" ht="15" customHeight="1">
      <c r="B38" s="97" t="s">
        <v>105</v>
      </c>
      <c r="C38" s="96"/>
      <c r="D38" s="96">
        <v>3067.4817849999999</v>
      </c>
      <c r="E38" s="96"/>
      <c r="F38" s="96"/>
      <c r="G38" s="96">
        <v>11764.451440000001</v>
      </c>
      <c r="H38" s="96"/>
      <c r="I38" s="87"/>
      <c r="J38" s="87">
        <v>117.65973373847278</v>
      </c>
      <c r="K38" s="87"/>
      <c r="L38" s="87"/>
      <c r="M38" s="87">
        <v>112.79732595262774</v>
      </c>
      <c r="N38" s="99"/>
    </row>
    <row r="39" spans="2:14" ht="15" customHeight="1">
      <c r="B39" s="97" t="s">
        <v>106</v>
      </c>
      <c r="C39" s="96"/>
      <c r="D39" s="96">
        <v>2225.978196</v>
      </c>
      <c r="E39" s="96"/>
      <c r="F39" s="96"/>
      <c r="G39" s="96">
        <v>7601.4088270000002</v>
      </c>
      <c r="H39" s="96"/>
      <c r="I39" s="87"/>
      <c r="J39" s="87">
        <v>120.47161312238761</v>
      </c>
      <c r="K39" s="87"/>
      <c r="L39" s="87"/>
      <c r="M39" s="87">
        <v>114.48504306383917</v>
      </c>
      <c r="N39" s="99"/>
    </row>
    <row r="40" spans="2:14" ht="15" customHeight="1">
      <c r="B40" s="97" t="s">
        <v>107</v>
      </c>
      <c r="C40" s="96"/>
      <c r="D40" s="96">
        <v>204.111422</v>
      </c>
      <c r="E40" s="96"/>
      <c r="F40" s="96"/>
      <c r="G40" s="96">
        <v>762.81140100000005</v>
      </c>
      <c r="H40" s="96"/>
      <c r="I40" s="87"/>
      <c r="J40" s="87">
        <v>106.80057820198485</v>
      </c>
      <c r="K40" s="87"/>
      <c r="L40" s="87"/>
      <c r="M40" s="87">
        <v>110.83742253570914</v>
      </c>
      <c r="N40" s="99"/>
    </row>
    <row r="41" spans="2:14" ht="15" customHeight="1">
      <c r="B41" s="97" t="s">
        <v>108</v>
      </c>
      <c r="C41" s="96"/>
      <c r="D41" s="96">
        <v>111.07440800000001</v>
      </c>
      <c r="E41" s="96"/>
      <c r="F41" s="96"/>
      <c r="G41" s="96">
        <v>416.23829799999999</v>
      </c>
      <c r="H41" s="96"/>
      <c r="I41" s="87"/>
      <c r="J41" s="87">
        <v>115.09415897371792</v>
      </c>
      <c r="K41" s="87"/>
      <c r="L41" s="87"/>
      <c r="M41" s="87">
        <v>130.24693664126193</v>
      </c>
      <c r="N41" s="99"/>
    </row>
    <row r="42" spans="2:14" ht="15" customHeight="1">
      <c r="B42" s="97" t="s">
        <v>109</v>
      </c>
      <c r="C42" s="96">
        <v>1102.3164090102018</v>
      </c>
      <c r="D42" s="96">
        <v>709.98786199999995</v>
      </c>
      <c r="E42" s="96"/>
      <c r="F42" s="96">
        <v>3856.8434090102019</v>
      </c>
      <c r="G42" s="96">
        <v>2493.2025739999999</v>
      </c>
      <c r="H42" s="96"/>
      <c r="I42" s="87">
        <v>95.356833142317015</v>
      </c>
      <c r="J42" s="87">
        <v>82.844774024273846</v>
      </c>
      <c r="K42" s="87"/>
      <c r="L42" s="87">
        <v>87.898651702782516</v>
      </c>
      <c r="M42" s="87">
        <v>76.874574646691244</v>
      </c>
      <c r="N42" s="99"/>
    </row>
    <row r="43" spans="2:14" ht="15" customHeight="1">
      <c r="B43" s="97" t="s">
        <v>110</v>
      </c>
      <c r="C43" s="96"/>
      <c r="D43" s="96">
        <v>486.45084900000001</v>
      </c>
      <c r="E43" s="96"/>
      <c r="F43" s="96"/>
      <c r="G43" s="96">
        <v>1858.3810900000001</v>
      </c>
      <c r="H43" s="96"/>
      <c r="I43" s="87"/>
      <c r="J43" s="87">
        <v>137.41857317548707</v>
      </c>
      <c r="K43" s="87"/>
      <c r="L43" s="87"/>
      <c r="M43" s="87">
        <v>132.0135257615708</v>
      </c>
      <c r="N43" s="99"/>
    </row>
    <row r="44" spans="2:14" ht="15" customHeight="1">
      <c r="B44" s="102" t="s">
        <v>111</v>
      </c>
      <c r="C44" s="96"/>
      <c r="D44" s="96">
        <v>421.315966</v>
      </c>
      <c r="E44" s="96"/>
      <c r="F44" s="96"/>
      <c r="G44" s="96">
        <v>1509.855495</v>
      </c>
      <c r="H44" s="96"/>
      <c r="I44" s="87"/>
      <c r="J44" s="87">
        <v>117.59947015533176</v>
      </c>
      <c r="K44" s="87"/>
      <c r="L44" s="87"/>
      <c r="M44" s="87">
        <v>111.40936946044597</v>
      </c>
    </row>
    <row r="45" spans="2:14" ht="15" customHeight="1">
      <c r="B45" s="102" t="s">
        <v>112</v>
      </c>
      <c r="C45" s="96"/>
      <c r="D45" s="96">
        <v>8146.0717139999997</v>
      </c>
      <c r="E45" s="96"/>
      <c r="F45" s="96"/>
      <c r="G45" s="96">
        <v>29259.155714</v>
      </c>
      <c r="H45" s="96"/>
      <c r="I45" s="87"/>
      <c r="J45" s="87">
        <v>158.69143236085711</v>
      </c>
      <c r="K45" s="87"/>
      <c r="L45" s="87"/>
      <c r="M45" s="87">
        <v>136.24272951392865</v>
      </c>
    </row>
    <row r="46" spans="2:14" ht="15" customHeight="1">
      <c r="B46" s="102" t="s">
        <v>113</v>
      </c>
      <c r="C46" s="96"/>
      <c r="D46" s="96">
        <v>3761.176254</v>
      </c>
      <c r="E46" s="96"/>
      <c r="F46" s="96"/>
      <c r="G46" s="96">
        <v>17799.309514</v>
      </c>
      <c r="H46" s="96"/>
      <c r="I46" s="87"/>
      <c r="J46" s="87">
        <v>94.770554352705389</v>
      </c>
      <c r="K46" s="87"/>
      <c r="L46" s="87"/>
      <c r="M46" s="87">
        <v>98.144378387431615</v>
      </c>
    </row>
    <row r="47" spans="2:14" ht="15" customHeight="1">
      <c r="B47" s="102" t="s">
        <v>114</v>
      </c>
      <c r="C47" s="96"/>
      <c r="D47" s="96">
        <v>646.49508400000002</v>
      </c>
      <c r="E47" s="96"/>
      <c r="F47" s="96"/>
      <c r="G47" s="96">
        <v>2374.492553</v>
      </c>
      <c r="H47" s="96"/>
      <c r="I47" s="87"/>
      <c r="J47" s="87">
        <v>87.661856017261243</v>
      </c>
      <c r="K47" s="87"/>
      <c r="L47" s="87"/>
      <c r="M47" s="87">
        <v>80.967335831589764</v>
      </c>
    </row>
    <row r="48" spans="2:14" ht="15" customHeight="1">
      <c r="B48" s="102" t="s">
        <v>115</v>
      </c>
      <c r="C48" s="96"/>
      <c r="D48" s="96">
        <v>4710.4631010000003</v>
      </c>
      <c r="E48" s="96"/>
      <c r="F48" s="96"/>
      <c r="G48" s="96">
        <v>17086.13077</v>
      </c>
      <c r="H48" s="96"/>
      <c r="I48" s="87"/>
      <c r="J48" s="87">
        <v>122.8849528616398</v>
      </c>
      <c r="K48" s="87"/>
      <c r="L48" s="87"/>
      <c r="M48" s="87">
        <v>116.07017881490805</v>
      </c>
    </row>
    <row r="49" spans="2:13" ht="15" customHeight="1">
      <c r="B49" s="102" t="s">
        <v>116</v>
      </c>
      <c r="C49" s="96"/>
      <c r="D49" s="96">
        <v>366.18199499999997</v>
      </c>
      <c r="E49" s="96"/>
      <c r="F49" s="96"/>
      <c r="G49" s="96">
        <v>1314.2708950000001</v>
      </c>
      <c r="H49" s="96"/>
      <c r="I49" s="87"/>
      <c r="J49" s="87">
        <v>130.92652483358873</v>
      </c>
      <c r="K49" s="87"/>
      <c r="L49" s="87"/>
      <c r="M49" s="87">
        <v>125.23510557878606</v>
      </c>
    </row>
    <row r="50" spans="2:13" ht="15" customHeight="1">
      <c r="B50" s="102" t="s">
        <v>117</v>
      </c>
      <c r="C50" s="96"/>
      <c r="D50" s="96">
        <v>1348.393272</v>
      </c>
      <c r="E50" s="96"/>
      <c r="F50" s="96"/>
      <c r="G50" s="96">
        <v>5284.5354189999998</v>
      </c>
      <c r="H50" s="96"/>
      <c r="I50" s="87"/>
      <c r="J50" s="87">
        <v>115.90713673638217</v>
      </c>
      <c r="K50" s="87"/>
      <c r="L50" s="87"/>
      <c r="M50" s="87">
        <v>109.44275424226898</v>
      </c>
    </row>
    <row r="51" spans="2:13" ht="15" customHeight="1">
      <c r="B51" s="102" t="s">
        <v>118</v>
      </c>
      <c r="C51" s="96"/>
      <c r="D51" s="96">
        <v>303.14714199999997</v>
      </c>
      <c r="E51" s="96"/>
      <c r="F51" s="96"/>
      <c r="G51" s="96">
        <v>1198.1010739999999</v>
      </c>
      <c r="H51" s="96"/>
      <c r="I51" s="87"/>
      <c r="J51" s="87">
        <v>102.87982293168585</v>
      </c>
      <c r="K51" s="87"/>
      <c r="L51" s="87"/>
      <c r="M51" s="87">
        <v>111.22126271331183</v>
      </c>
    </row>
    <row r="52" spans="2:13" ht="15" customHeight="1">
      <c r="B52" s="102" t="s">
        <v>119</v>
      </c>
      <c r="C52" s="96"/>
      <c r="D52" s="96">
        <v>539.25221899999997</v>
      </c>
      <c r="E52" s="96"/>
      <c r="F52" s="96"/>
      <c r="G52" s="96">
        <v>1774.794504</v>
      </c>
      <c r="H52" s="96"/>
      <c r="I52" s="87"/>
      <c r="J52" s="87">
        <v>210.25372574404759</v>
      </c>
      <c r="K52" s="87"/>
      <c r="L52" s="87"/>
      <c r="M52" s="87">
        <v>183.58144255593558</v>
      </c>
    </row>
    <row r="53" spans="2:13" ht="15" customHeight="1"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</row>
    <row r="54" spans="2:13" ht="15" customHeight="1"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</row>
    <row r="55" spans="2:13" ht="15" customHeight="1"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</row>
    <row r="56" spans="2:13" ht="15" customHeight="1"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</row>
    <row r="57" spans="2:13" ht="15" customHeight="1"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</row>
    <row r="58" spans="2:13" ht="15" customHeight="1"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</row>
    <row r="59" spans="2:13" ht="15" customHeight="1"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</row>
    <row r="60" spans="2:13" ht="15" customHeight="1"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</row>
    <row r="61" spans="2:13" ht="15" customHeight="1"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</row>
    <row r="62" spans="2:13" ht="15" customHeight="1"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</row>
    <row r="63" spans="2:13" ht="15" customHeight="1"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</row>
    <row r="64" spans="2:13" ht="15" customHeight="1">
      <c r="B64" s="103"/>
      <c r="C64" s="103"/>
      <c r="D64" s="103"/>
      <c r="E64" s="103"/>
      <c r="F64" s="103"/>
      <c r="G64" s="103"/>
      <c r="H64" s="103"/>
      <c r="L64" s="103"/>
      <c r="M64" s="103"/>
    </row>
    <row r="65" spans="2:2" ht="15" customHeight="1">
      <c r="B65" s="103"/>
    </row>
    <row r="66" spans="2:2" ht="15" customHeight="1">
      <c r="B66" s="103"/>
    </row>
    <row r="67" spans="2:2" ht="15" customHeight="1">
      <c r="B67" s="103"/>
    </row>
    <row r="68" spans="2:2" ht="15" customHeight="1">
      <c r="B68" s="103"/>
    </row>
  </sheetData>
  <mergeCells count="12">
    <mergeCell ref="C6:D6"/>
    <mergeCell ref="F6:G6"/>
    <mergeCell ref="I6:J6"/>
    <mergeCell ref="L6:M6"/>
    <mergeCell ref="C4:D4"/>
    <mergeCell ref="F4:G4"/>
    <mergeCell ref="I4:J4"/>
    <mergeCell ref="L4:M4"/>
    <mergeCell ref="C5:D5"/>
    <mergeCell ref="F5:G5"/>
    <mergeCell ref="I5:J5"/>
    <mergeCell ref="L5:M5"/>
  </mergeCells>
  <pageMargins left="0.5" right="0.4" top="0.6" bottom="0.4" header="0.3" footer="0.3"/>
  <pageSetup paperSize="9" scale="91" fitToHeight="0" orientation="portrait" r:id="rId1"/>
  <headerFooter>
    <oddHeader>&amp;C&amp;"Times New Roman,Regular"&amp;13&amp;P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9182-3233-4C4C-AB2D-23646A3EEB65}">
  <sheetPr>
    <pageSetUpPr fitToPage="1"/>
  </sheetPr>
  <dimension ref="A1:N86"/>
  <sheetViews>
    <sheetView workbookViewId="0">
      <selection activeCell="D28" sqref="D28"/>
    </sheetView>
  </sheetViews>
  <sheetFormatPr defaultColWidth="9.140625" defaultRowHeight="15"/>
  <cols>
    <col min="1" max="1" width="1.42578125" style="118" customWidth="1"/>
    <col min="2" max="2" width="34.140625" style="122" customWidth="1"/>
    <col min="3" max="4" width="8.28515625" style="118" customWidth="1"/>
    <col min="5" max="5" width="1" style="118" customWidth="1"/>
    <col min="6" max="7" width="8.28515625" style="118" customWidth="1"/>
    <col min="8" max="8" width="1" style="118" customWidth="1"/>
    <col min="9" max="10" width="8.28515625" style="118" customWidth="1"/>
    <col min="11" max="11" width="1" style="118" customWidth="1"/>
    <col min="12" max="13" width="8.28515625" style="118" customWidth="1"/>
    <col min="14" max="14" width="8.7109375" style="118" customWidth="1"/>
    <col min="15" max="16384" width="9.140625" style="118"/>
  </cols>
  <sheetData>
    <row r="1" spans="1:14" s="70" customFormat="1" ht="16.5">
      <c r="A1" s="68" t="s">
        <v>152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4" s="70" customFormat="1" ht="6" customHeight="1"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4" s="73" customFormat="1" ht="12.75" customHeight="1">
      <c r="B3" s="72"/>
      <c r="G3" s="74"/>
      <c r="H3" s="74"/>
      <c r="I3" s="74"/>
      <c r="J3" s="74"/>
      <c r="K3" s="74"/>
      <c r="L3" s="75"/>
      <c r="M3" s="76" t="s">
        <v>66</v>
      </c>
    </row>
    <row r="4" spans="1:14" s="73" customFormat="1" ht="13.5" customHeight="1">
      <c r="A4" s="104"/>
      <c r="B4" s="78"/>
      <c r="C4" s="488" t="s">
        <v>67</v>
      </c>
      <c r="D4" s="488"/>
      <c r="E4" s="79"/>
      <c r="F4" s="488" t="s">
        <v>67</v>
      </c>
      <c r="G4" s="488"/>
      <c r="H4" s="79"/>
      <c r="I4" s="488" t="s">
        <v>68</v>
      </c>
      <c r="J4" s="488"/>
      <c r="K4" s="79"/>
      <c r="L4" s="488" t="s">
        <v>69</v>
      </c>
      <c r="M4" s="488"/>
    </row>
    <row r="5" spans="1:14" s="73" customFormat="1" ht="13.5" customHeight="1">
      <c r="B5" s="80"/>
      <c r="C5" s="489" t="s">
        <v>70</v>
      </c>
      <c r="D5" s="489"/>
      <c r="E5" s="81"/>
      <c r="F5" s="489" t="s">
        <v>71</v>
      </c>
      <c r="G5" s="489"/>
      <c r="H5" s="81"/>
      <c r="I5" s="489" t="s">
        <v>6</v>
      </c>
      <c r="J5" s="489"/>
      <c r="K5" s="81"/>
      <c r="L5" s="489" t="s">
        <v>72</v>
      </c>
      <c r="M5" s="489"/>
    </row>
    <row r="6" spans="1:14" s="73" customFormat="1" ht="13.5" customHeight="1">
      <c r="B6" s="80"/>
      <c r="C6" s="487" t="s">
        <v>73</v>
      </c>
      <c r="D6" s="487"/>
      <c r="E6" s="82"/>
      <c r="F6" s="487" t="s">
        <v>73</v>
      </c>
      <c r="G6" s="487"/>
      <c r="H6" s="82"/>
      <c r="I6" s="487" t="s">
        <v>7</v>
      </c>
      <c r="J6" s="487"/>
      <c r="K6" s="82"/>
      <c r="L6" s="487" t="s">
        <v>7</v>
      </c>
      <c r="M6" s="487"/>
    </row>
    <row r="7" spans="1:14" s="73" customFormat="1" ht="13.5" customHeight="1">
      <c r="B7" s="80"/>
      <c r="C7" s="83" t="s">
        <v>74</v>
      </c>
      <c r="D7" s="83" t="s">
        <v>75</v>
      </c>
      <c r="E7" s="83"/>
      <c r="F7" s="84" t="s">
        <v>74</v>
      </c>
      <c r="G7" s="83" t="s">
        <v>75</v>
      </c>
      <c r="H7" s="83"/>
      <c r="I7" s="105" t="s">
        <v>74</v>
      </c>
      <c r="J7" s="106" t="s">
        <v>75</v>
      </c>
      <c r="K7" s="106"/>
      <c r="L7" s="85" t="s">
        <v>74</v>
      </c>
      <c r="M7" s="85" t="s">
        <v>75</v>
      </c>
    </row>
    <row r="8" spans="1:14" s="73" customFormat="1" ht="13.5" customHeight="1">
      <c r="B8" s="80"/>
      <c r="D8" s="87"/>
      <c r="E8" s="87"/>
    </row>
    <row r="9" spans="1:14" s="73" customFormat="1" ht="13.5" customHeight="1">
      <c r="A9" s="107" t="s">
        <v>76</v>
      </c>
      <c r="C9" s="108"/>
      <c r="D9" s="109">
        <v>36868.753346999998</v>
      </c>
      <c r="E9" s="109"/>
      <c r="F9" s="109"/>
      <c r="G9" s="109">
        <v>136550.08963599999</v>
      </c>
      <c r="H9" s="109"/>
      <c r="I9" s="110"/>
      <c r="J9" s="110">
        <v>122.94595617981447</v>
      </c>
      <c r="K9" s="110"/>
      <c r="L9" s="110"/>
      <c r="M9" s="110">
        <v>118.57054178859138</v>
      </c>
      <c r="N9" s="111"/>
    </row>
    <row r="10" spans="1:14" s="73" customFormat="1" ht="13.5" customHeight="1">
      <c r="B10" s="94" t="s">
        <v>77</v>
      </c>
      <c r="C10" s="108"/>
      <c r="D10" s="109">
        <v>14479.655303</v>
      </c>
      <c r="E10" s="109"/>
      <c r="F10" s="109"/>
      <c r="G10" s="109">
        <v>51257.672901999991</v>
      </c>
      <c r="H10" s="109"/>
      <c r="I10" s="110"/>
      <c r="J10" s="110">
        <v>126.04814602921437</v>
      </c>
      <c r="K10" s="110"/>
      <c r="L10" s="110"/>
      <c r="M10" s="110">
        <v>121.10819419438637</v>
      </c>
      <c r="N10" s="112"/>
    </row>
    <row r="11" spans="1:14" s="73" customFormat="1" ht="13.5" customHeight="1">
      <c r="B11" s="94" t="s">
        <v>78</v>
      </c>
      <c r="C11" s="108"/>
      <c r="D11" s="109">
        <v>22389.098043999998</v>
      </c>
      <c r="E11" s="109"/>
      <c r="F11" s="109"/>
      <c r="G11" s="109">
        <v>85292.416733999999</v>
      </c>
      <c r="H11" s="109"/>
      <c r="I11" s="110"/>
      <c r="J11" s="110">
        <v>121.01971937411884</v>
      </c>
      <c r="K11" s="110"/>
      <c r="L11" s="110"/>
      <c r="M11" s="110">
        <v>117.0960266701375</v>
      </c>
      <c r="N11" s="112"/>
    </row>
    <row r="12" spans="1:14" s="73" customFormat="1" ht="13.5" customHeight="1">
      <c r="A12" s="98" t="s">
        <v>81</v>
      </c>
      <c r="B12" s="72"/>
      <c r="C12" s="108"/>
      <c r="D12" s="108"/>
      <c r="E12" s="108"/>
      <c r="F12" s="108"/>
      <c r="G12" s="108"/>
      <c r="H12" s="108"/>
      <c r="I12" s="113"/>
      <c r="J12" s="114"/>
      <c r="K12" s="114"/>
      <c r="L12" s="113"/>
      <c r="M12" s="114"/>
    </row>
    <row r="13" spans="1:14" s="73" customFormat="1" ht="13.5" customHeight="1">
      <c r="B13" s="97" t="s">
        <v>120</v>
      </c>
      <c r="C13" s="108"/>
      <c r="D13" s="108">
        <v>267.33511700000003</v>
      </c>
      <c r="E13" s="108"/>
      <c r="F13" s="108"/>
      <c r="G13" s="108">
        <v>1027.5820160000001</v>
      </c>
      <c r="H13" s="108"/>
      <c r="I13" s="113"/>
      <c r="J13" s="113">
        <v>155.93740956796438</v>
      </c>
      <c r="K13" s="113"/>
      <c r="L13" s="113"/>
      <c r="M13" s="113">
        <v>130.11999019250896</v>
      </c>
    </row>
    <row r="14" spans="1:14" s="73" customFormat="1" ht="13.5" customHeight="1">
      <c r="B14" s="97" t="s">
        <v>121</v>
      </c>
      <c r="C14" s="108"/>
      <c r="D14" s="108">
        <v>111.37522199999999</v>
      </c>
      <c r="E14" s="108"/>
      <c r="F14" s="108"/>
      <c r="G14" s="108">
        <v>451.94219099999998</v>
      </c>
      <c r="H14" s="108"/>
      <c r="I14" s="113"/>
      <c r="J14" s="113">
        <v>112.0289253431375</v>
      </c>
      <c r="K14" s="113"/>
      <c r="L14" s="113"/>
      <c r="M14" s="113">
        <v>131.56247856650961</v>
      </c>
    </row>
    <row r="15" spans="1:14" s="73" customFormat="1" ht="13.5" customHeight="1">
      <c r="B15" s="97" t="s">
        <v>83</v>
      </c>
      <c r="C15" s="108"/>
      <c r="D15" s="108">
        <v>186.75278399999999</v>
      </c>
      <c r="E15" s="108"/>
      <c r="F15" s="108"/>
      <c r="G15" s="108">
        <v>791.817453</v>
      </c>
      <c r="H15" s="108"/>
      <c r="I15" s="113"/>
      <c r="J15" s="113">
        <v>130.72858395312807</v>
      </c>
      <c r="K15" s="113"/>
      <c r="L15" s="113"/>
      <c r="M15" s="113">
        <v>124.65962406848897</v>
      </c>
    </row>
    <row r="16" spans="1:14" s="73" customFormat="1" ht="13.5" customHeight="1">
      <c r="B16" s="97" t="s">
        <v>84</v>
      </c>
      <c r="C16" s="108">
        <v>478.17284244860059</v>
      </c>
      <c r="D16" s="108">
        <v>732.21605299999999</v>
      </c>
      <c r="E16" s="108"/>
      <c r="F16" s="108">
        <v>1015.8688424486006</v>
      </c>
      <c r="G16" s="108">
        <v>1655.680423</v>
      </c>
      <c r="H16" s="108"/>
      <c r="I16" s="113">
        <v>163.01754445517975</v>
      </c>
      <c r="J16" s="113">
        <v>199.8691311717208</v>
      </c>
      <c r="K16" s="113"/>
      <c r="L16" s="113">
        <v>106.7676791057894</v>
      </c>
      <c r="M16" s="113">
        <v>139.78347241044301</v>
      </c>
    </row>
    <row r="17" spans="2:13" s="73" customFormat="1" ht="13.5" customHeight="1">
      <c r="B17" s="97" t="s">
        <v>122</v>
      </c>
      <c r="C17" s="108">
        <v>785.29708346695372</v>
      </c>
      <c r="D17" s="108">
        <v>207.688661</v>
      </c>
      <c r="E17" s="108"/>
      <c r="F17" s="108">
        <v>2413.5370834669538</v>
      </c>
      <c r="G17" s="108">
        <v>637.93459900000005</v>
      </c>
      <c r="H17" s="108"/>
      <c r="I17" s="113">
        <v>97.198292861778597</v>
      </c>
      <c r="J17" s="113">
        <v>93.959750638832247</v>
      </c>
      <c r="K17" s="113"/>
      <c r="L17" s="113">
        <v>105.02420430068069</v>
      </c>
      <c r="M17" s="113">
        <v>99.925282373273902</v>
      </c>
    </row>
    <row r="18" spans="2:13" s="73" customFormat="1" ht="13.5" customHeight="1">
      <c r="B18" s="97" t="s">
        <v>15</v>
      </c>
      <c r="C18" s="108">
        <v>867.93843257832543</v>
      </c>
      <c r="D18" s="108">
        <v>228.29559699999999</v>
      </c>
      <c r="E18" s="108"/>
      <c r="F18" s="108">
        <v>2998.3614325783251</v>
      </c>
      <c r="G18" s="108">
        <v>775.17220599999996</v>
      </c>
      <c r="H18" s="108"/>
      <c r="I18" s="113">
        <v>123.32034199360129</v>
      </c>
      <c r="J18" s="113">
        <v>128.10636400136133</v>
      </c>
      <c r="K18" s="113"/>
      <c r="L18" s="113">
        <v>86.133797883981742</v>
      </c>
      <c r="M18" s="113">
        <v>88.037086139082277</v>
      </c>
    </row>
    <row r="19" spans="2:13" s="73" customFormat="1" ht="13.5" customHeight="1">
      <c r="B19" s="97" t="s">
        <v>17</v>
      </c>
      <c r="C19" s="108">
        <v>126.82191952450786</v>
      </c>
      <c r="D19" s="108">
        <v>56.254159000000001</v>
      </c>
      <c r="E19" s="108"/>
      <c r="F19" s="108">
        <v>703.29691952450787</v>
      </c>
      <c r="G19" s="108">
        <v>318.073691</v>
      </c>
      <c r="H19" s="108"/>
      <c r="I19" s="113">
        <v>56.970450350167489</v>
      </c>
      <c r="J19" s="113">
        <v>50.575115220249934</v>
      </c>
      <c r="K19" s="113"/>
      <c r="L19" s="113">
        <v>92.217883178522669</v>
      </c>
      <c r="M19" s="113">
        <v>78.004900299897599</v>
      </c>
    </row>
    <row r="20" spans="2:13" s="73" customFormat="1" ht="13.5" customHeight="1">
      <c r="B20" s="97" t="s">
        <v>123</v>
      </c>
      <c r="C20" s="108"/>
      <c r="D20" s="108">
        <v>124.426688</v>
      </c>
      <c r="E20" s="108"/>
      <c r="F20" s="108"/>
      <c r="G20" s="108">
        <v>457.81376599999999</v>
      </c>
      <c r="H20" s="108"/>
      <c r="I20" s="113"/>
      <c r="J20" s="113">
        <v>97.80375250201871</v>
      </c>
      <c r="K20" s="113"/>
      <c r="L20" s="113"/>
      <c r="M20" s="113">
        <v>121.38085571046824</v>
      </c>
    </row>
    <row r="21" spans="2:13" s="73" customFormat="1" ht="13.5" customHeight="1">
      <c r="B21" s="97" t="s">
        <v>124</v>
      </c>
      <c r="C21" s="108"/>
      <c r="D21" s="108">
        <v>113.36022699999999</v>
      </c>
      <c r="E21" s="108"/>
      <c r="F21" s="108"/>
      <c r="G21" s="108">
        <v>457.13854300000003</v>
      </c>
      <c r="H21" s="108"/>
      <c r="I21" s="113"/>
      <c r="J21" s="113">
        <v>109.76758976835259</v>
      </c>
      <c r="K21" s="113"/>
      <c r="L21" s="113"/>
      <c r="M21" s="113">
        <v>122.94082815469152</v>
      </c>
    </row>
    <row r="22" spans="2:13" s="73" customFormat="1" ht="13.5" customHeight="1">
      <c r="B22" s="97" t="s">
        <v>125</v>
      </c>
      <c r="C22" s="108"/>
      <c r="D22" s="108">
        <v>408.35549600000002</v>
      </c>
      <c r="E22" s="108"/>
      <c r="F22" s="108"/>
      <c r="G22" s="108">
        <v>1570.5540350000001</v>
      </c>
      <c r="H22" s="108"/>
      <c r="I22" s="113"/>
      <c r="J22" s="113">
        <v>89.640387843614306</v>
      </c>
      <c r="K22" s="113"/>
      <c r="L22" s="113"/>
      <c r="M22" s="113">
        <v>95.597819291610946</v>
      </c>
    </row>
    <row r="23" spans="2:13" s="73" customFormat="1" ht="13.5" customHeight="1">
      <c r="B23" s="97" t="s">
        <v>126</v>
      </c>
      <c r="C23" s="108">
        <v>2979.1032018348819</v>
      </c>
      <c r="D23" s="108">
        <v>334.545209</v>
      </c>
      <c r="E23" s="108"/>
      <c r="F23" s="108">
        <v>9948.8552018348819</v>
      </c>
      <c r="G23" s="108">
        <v>1078.1808619999999</v>
      </c>
      <c r="H23" s="108"/>
      <c r="I23" s="113">
        <v>134.51643499251728</v>
      </c>
      <c r="J23" s="113">
        <v>143.98303846478785</v>
      </c>
      <c r="K23" s="113"/>
      <c r="L23" s="113">
        <v>122.52004081969159</v>
      </c>
      <c r="M23" s="113">
        <v>115.31188972823645</v>
      </c>
    </row>
    <row r="24" spans="2:13" s="73" customFormat="1" ht="13.5" customHeight="1">
      <c r="B24" s="97" t="s">
        <v>127</v>
      </c>
      <c r="C24" s="108">
        <v>6712.8774072052147</v>
      </c>
      <c r="D24" s="108">
        <v>706.28575899999998</v>
      </c>
      <c r="E24" s="108"/>
      <c r="F24" s="108">
        <v>23991.525407205216</v>
      </c>
      <c r="G24" s="108">
        <v>2523.5079519999999</v>
      </c>
      <c r="H24" s="108"/>
      <c r="I24" s="113">
        <v>113.83274381950872</v>
      </c>
      <c r="J24" s="113">
        <v>94.678182462893119</v>
      </c>
      <c r="K24" s="113"/>
      <c r="L24" s="113">
        <v>115.87229997496378</v>
      </c>
      <c r="M24" s="113">
        <v>92.920893882779083</v>
      </c>
    </row>
    <row r="25" spans="2:13" s="73" customFormat="1" ht="13.5" customHeight="1">
      <c r="B25" s="97" t="s">
        <v>79</v>
      </c>
      <c r="C25" s="108">
        <v>1171.697943809889</v>
      </c>
      <c r="D25" s="108">
        <v>698.04992800000002</v>
      </c>
      <c r="E25" s="108"/>
      <c r="F25" s="108">
        <v>4843.9659438098888</v>
      </c>
      <c r="G25" s="108">
        <v>2882.814507</v>
      </c>
      <c r="H25" s="108"/>
      <c r="I25" s="113">
        <v>107.42288622247852</v>
      </c>
      <c r="J25" s="113">
        <v>99.576554030406427</v>
      </c>
      <c r="K25" s="113"/>
      <c r="L25" s="113">
        <v>109.21088815432051</v>
      </c>
      <c r="M25" s="113">
        <v>104.9940995583343</v>
      </c>
    </row>
    <row r="26" spans="2:13" s="73" customFormat="1" ht="13.5" customHeight="1">
      <c r="B26" s="97" t="s">
        <v>128</v>
      </c>
      <c r="C26" s="108">
        <v>861.55068308007435</v>
      </c>
      <c r="D26" s="108">
        <v>577.94941100000005</v>
      </c>
      <c r="E26" s="108"/>
      <c r="F26" s="108">
        <v>3192.9936830800743</v>
      </c>
      <c r="G26" s="108">
        <v>2225.6484019999998</v>
      </c>
      <c r="H26" s="108"/>
      <c r="I26" s="113">
        <v>74.555241888328126</v>
      </c>
      <c r="J26" s="113">
        <v>59.381588767467299</v>
      </c>
      <c r="K26" s="113"/>
      <c r="L26" s="113">
        <v>86.266047477491867</v>
      </c>
      <c r="M26" s="113">
        <v>72.640805576116492</v>
      </c>
    </row>
    <row r="27" spans="2:13" s="73" customFormat="1" ht="13.5" customHeight="1">
      <c r="B27" s="97" t="s">
        <v>129</v>
      </c>
      <c r="C27" s="108">
        <v>371.10062083543824</v>
      </c>
      <c r="D27" s="108">
        <v>245.76485199999999</v>
      </c>
      <c r="E27" s="108"/>
      <c r="F27" s="108">
        <v>973.84362083543829</v>
      </c>
      <c r="G27" s="108">
        <v>649.49244199999998</v>
      </c>
      <c r="H27" s="108"/>
      <c r="I27" s="113">
        <v>145.45493132368793</v>
      </c>
      <c r="J27" s="113">
        <v>170.80509193453307</v>
      </c>
      <c r="K27" s="113"/>
      <c r="L27" s="113">
        <v>98.988470243845356</v>
      </c>
      <c r="M27" s="113">
        <v>100.69106563033523</v>
      </c>
    </row>
    <row r="28" spans="2:13" s="73" customFormat="1" ht="13.5" customHeight="1">
      <c r="B28" s="97" t="s">
        <v>130</v>
      </c>
      <c r="C28" s="108"/>
      <c r="D28" s="108">
        <v>139.677266</v>
      </c>
      <c r="E28" s="108"/>
      <c r="F28" s="108"/>
      <c r="G28" s="108">
        <v>553.61110900000006</v>
      </c>
      <c r="H28" s="108"/>
      <c r="I28" s="113"/>
      <c r="J28" s="113">
        <v>126.98335694529375</v>
      </c>
      <c r="K28" s="113"/>
      <c r="L28" s="113"/>
      <c r="M28" s="113">
        <v>85.0829354245205</v>
      </c>
    </row>
    <row r="29" spans="2:13" s="73" customFormat="1" ht="13.5" customHeight="1">
      <c r="B29" s="97" t="s">
        <v>131</v>
      </c>
      <c r="C29" s="108"/>
      <c r="D29" s="108">
        <v>711.90963199999999</v>
      </c>
      <c r="E29" s="108"/>
      <c r="F29" s="108"/>
      <c r="G29" s="108">
        <v>2580.2040740000002</v>
      </c>
      <c r="H29" s="108"/>
      <c r="I29" s="113"/>
      <c r="J29" s="113">
        <v>98.676045688439629</v>
      </c>
      <c r="K29" s="113"/>
      <c r="L29" s="113"/>
      <c r="M29" s="113">
        <v>97.104533851284998</v>
      </c>
    </row>
    <row r="30" spans="2:13" s="73" customFormat="1" ht="13.5" customHeight="1">
      <c r="B30" s="97" t="s">
        <v>132</v>
      </c>
      <c r="C30" s="108"/>
      <c r="D30" s="108">
        <v>656.77660600000002</v>
      </c>
      <c r="E30" s="108"/>
      <c r="F30" s="108"/>
      <c r="G30" s="108">
        <v>2465.862725</v>
      </c>
      <c r="H30" s="108"/>
      <c r="I30" s="113"/>
      <c r="J30" s="113">
        <v>104.67778074352366</v>
      </c>
      <c r="K30" s="113"/>
      <c r="L30" s="113"/>
      <c r="M30" s="113">
        <v>102.82564477003126</v>
      </c>
    </row>
    <row r="31" spans="2:13" s="73" customFormat="1" ht="13.5" customHeight="1">
      <c r="B31" s="97" t="s">
        <v>133</v>
      </c>
      <c r="C31" s="108"/>
      <c r="D31" s="108">
        <v>334.73540800000001</v>
      </c>
      <c r="E31" s="108"/>
      <c r="F31" s="108"/>
      <c r="G31" s="108">
        <v>1291.95389</v>
      </c>
      <c r="H31" s="108"/>
      <c r="I31" s="113"/>
      <c r="J31" s="113">
        <v>96.255585648163745</v>
      </c>
      <c r="K31" s="113"/>
      <c r="L31" s="113"/>
      <c r="M31" s="113">
        <v>100.78972339013646</v>
      </c>
    </row>
    <row r="32" spans="2:13" s="73" customFormat="1" ht="13.5" customHeight="1">
      <c r="B32" s="97" t="s">
        <v>134</v>
      </c>
      <c r="C32" s="108">
        <v>498.09695029955736</v>
      </c>
      <c r="D32" s="108">
        <v>158.607866</v>
      </c>
      <c r="E32" s="108"/>
      <c r="F32" s="108">
        <v>1847.5829502995575</v>
      </c>
      <c r="G32" s="108">
        <v>586.61319800000001</v>
      </c>
      <c r="H32" s="108"/>
      <c r="I32" s="113">
        <v>100.6569620244596</v>
      </c>
      <c r="J32" s="113">
        <v>97.202560789066197</v>
      </c>
      <c r="K32" s="113"/>
      <c r="L32" s="113">
        <v>114.44514407668795</v>
      </c>
      <c r="M32" s="113">
        <v>113.99598261621755</v>
      </c>
    </row>
    <row r="33" spans="2:14" s="73" customFormat="1" ht="13.5" customHeight="1">
      <c r="B33" s="97" t="s">
        <v>135</v>
      </c>
      <c r="C33" s="108"/>
      <c r="D33" s="108">
        <v>125.311267</v>
      </c>
      <c r="E33" s="108"/>
      <c r="F33" s="108"/>
      <c r="G33" s="108">
        <v>478.04517600000003</v>
      </c>
      <c r="H33" s="108"/>
      <c r="I33" s="113"/>
      <c r="J33" s="113">
        <v>107.56818712002143</v>
      </c>
      <c r="K33" s="113"/>
      <c r="L33" s="113"/>
      <c r="M33" s="113">
        <v>111.59352656332419</v>
      </c>
    </row>
    <row r="34" spans="2:14" s="73" customFormat="1" ht="13.5" customHeight="1">
      <c r="B34" s="97" t="s">
        <v>136</v>
      </c>
      <c r="C34" s="108">
        <v>792.86378157502577</v>
      </c>
      <c r="D34" s="108">
        <v>1064.3874980000001</v>
      </c>
      <c r="E34" s="108"/>
      <c r="F34" s="108">
        <v>3077.6847815750257</v>
      </c>
      <c r="G34" s="108">
        <v>4093.9141370000002</v>
      </c>
      <c r="H34" s="108"/>
      <c r="I34" s="113">
        <v>119.3468036618557</v>
      </c>
      <c r="J34" s="113">
        <v>115.16217018063459</v>
      </c>
      <c r="K34" s="113"/>
      <c r="L34" s="113">
        <v>123.66979200914182</v>
      </c>
      <c r="M34" s="113">
        <v>119.42164817948355</v>
      </c>
    </row>
    <row r="35" spans="2:14" s="73" customFormat="1" ht="13.5" customHeight="1">
      <c r="B35" s="97" t="s">
        <v>98</v>
      </c>
      <c r="C35" s="108"/>
      <c r="D35" s="108">
        <v>861.53893100000005</v>
      </c>
      <c r="E35" s="108"/>
      <c r="F35" s="108"/>
      <c r="G35" s="108">
        <v>3085.7587039999999</v>
      </c>
      <c r="H35" s="108"/>
      <c r="I35" s="113"/>
      <c r="J35" s="113">
        <v>124.47635834239669</v>
      </c>
      <c r="K35" s="113"/>
      <c r="L35" s="113"/>
      <c r="M35" s="113">
        <v>118.60014341231482</v>
      </c>
    </row>
    <row r="36" spans="2:14" s="73" customFormat="1" ht="13.5" customHeight="1">
      <c r="B36" s="97" t="s">
        <v>99</v>
      </c>
      <c r="C36" s="108">
        <v>111.63322735549873</v>
      </c>
      <c r="D36" s="108">
        <v>203.24049400000001</v>
      </c>
      <c r="E36" s="108"/>
      <c r="F36" s="108">
        <v>541.07722735549874</v>
      </c>
      <c r="G36" s="108">
        <v>945.73059799999999</v>
      </c>
      <c r="H36" s="108"/>
      <c r="I36" s="113">
        <v>107.08325965284916</v>
      </c>
      <c r="J36" s="113">
        <v>120.4858817910694</v>
      </c>
      <c r="K36" s="113"/>
      <c r="L36" s="113">
        <v>107.56318233342984</v>
      </c>
      <c r="M36" s="113">
        <v>129.16992167547534</v>
      </c>
    </row>
    <row r="37" spans="2:14" s="73" customFormat="1" ht="13.5" customHeight="1">
      <c r="B37" s="97" t="s">
        <v>100</v>
      </c>
      <c r="C37" s="108"/>
      <c r="D37" s="108">
        <v>102.13808299999999</v>
      </c>
      <c r="E37" s="108"/>
      <c r="F37" s="108"/>
      <c r="G37" s="108">
        <v>376.726045</v>
      </c>
      <c r="H37" s="108"/>
      <c r="I37" s="113"/>
      <c r="J37" s="113">
        <v>120.94321301704949</v>
      </c>
      <c r="K37" s="113"/>
      <c r="L37" s="113"/>
      <c r="M37" s="113">
        <v>119.44332245306421</v>
      </c>
    </row>
    <row r="38" spans="2:14" s="73" customFormat="1" ht="13.5" customHeight="1">
      <c r="B38" s="97" t="s">
        <v>102</v>
      </c>
      <c r="C38" s="108"/>
      <c r="D38" s="108">
        <v>246.96767500000001</v>
      </c>
      <c r="E38" s="108"/>
      <c r="F38" s="108"/>
      <c r="G38" s="108">
        <v>915.05458599999997</v>
      </c>
      <c r="H38" s="108"/>
      <c r="I38" s="113"/>
      <c r="J38" s="113">
        <v>106.15263307149989</v>
      </c>
      <c r="K38" s="113"/>
      <c r="L38" s="113"/>
      <c r="M38" s="113">
        <v>119.13932283615848</v>
      </c>
    </row>
    <row r="39" spans="2:14" s="73" customFormat="1" ht="13.5" customHeight="1">
      <c r="B39" s="97" t="s">
        <v>137</v>
      </c>
      <c r="C39" s="108">
        <v>242.48255508450447</v>
      </c>
      <c r="D39" s="108">
        <v>201.46489</v>
      </c>
      <c r="E39" s="108"/>
      <c r="F39" s="108">
        <v>938.5835550845045</v>
      </c>
      <c r="G39" s="108">
        <v>758.85783500000002</v>
      </c>
      <c r="H39" s="108"/>
      <c r="I39" s="113">
        <v>125.5215628349231</v>
      </c>
      <c r="J39" s="113">
        <v>117.21532971969093</v>
      </c>
      <c r="K39" s="113"/>
      <c r="L39" s="113">
        <v>127.83358122593607</v>
      </c>
      <c r="M39" s="113">
        <v>115.90729100332695</v>
      </c>
      <c r="N39" s="115"/>
    </row>
    <row r="40" spans="2:14" s="73" customFormat="1" ht="13.5" customHeight="1">
      <c r="B40" s="97" t="s">
        <v>138</v>
      </c>
      <c r="C40" s="108"/>
      <c r="D40" s="108">
        <v>107.636854</v>
      </c>
      <c r="E40" s="108"/>
      <c r="F40" s="108"/>
      <c r="G40" s="108">
        <v>363.528842</v>
      </c>
      <c r="H40" s="108"/>
      <c r="I40" s="113"/>
      <c r="J40" s="113">
        <v>125.55921385316491</v>
      </c>
      <c r="K40" s="113"/>
      <c r="L40" s="113"/>
      <c r="M40" s="113">
        <v>120.87077293872026</v>
      </c>
    </row>
    <row r="41" spans="2:14" s="73" customFormat="1" ht="13.5" customHeight="1">
      <c r="B41" s="97" t="s">
        <v>139</v>
      </c>
      <c r="C41" s="108">
        <v>171.10650356003515</v>
      </c>
      <c r="D41" s="108">
        <v>290.24310300000002</v>
      </c>
      <c r="E41" s="108"/>
      <c r="F41" s="108">
        <v>625.99750356003517</v>
      </c>
      <c r="G41" s="108">
        <v>1077.540696</v>
      </c>
      <c r="H41" s="108"/>
      <c r="I41" s="113">
        <v>128.7880411263333</v>
      </c>
      <c r="J41" s="113">
        <v>107.18713799707523</v>
      </c>
      <c r="K41" s="113"/>
      <c r="L41" s="113">
        <v>124.13221195362974</v>
      </c>
      <c r="M41" s="113">
        <v>107.74035974696257</v>
      </c>
    </row>
    <row r="42" spans="2:14" s="73" customFormat="1" ht="13.5" customHeight="1">
      <c r="B42" s="97" t="s">
        <v>140</v>
      </c>
      <c r="C42" s="108">
        <v>107.0730561766544</v>
      </c>
      <c r="D42" s="108">
        <v>250.43984599999999</v>
      </c>
      <c r="E42" s="108"/>
      <c r="F42" s="108">
        <v>406.14405617665443</v>
      </c>
      <c r="G42" s="108">
        <v>901.29475300000001</v>
      </c>
      <c r="H42" s="108"/>
      <c r="I42" s="113">
        <v>102.36038409301213</v>
      </c>
      <c r="J42" s="113">
        <v>108.02847743533299</v>
      </c>
      <c r="K42" s="113"/>
      <c r="L42" s="113">
        <v>107.48874049264636</v>
      </c>
      <c r="M42" s="113">
        <v>111.82878953595062</v>
      </c>
    </row>
    <row r="43" spans="2:14" s="73" customFormat="1" ht="13.5" customHeight="1">
      <c r="B43" s="97" t="s">
        <v>141</v>
      </c>
      <c r="C43" s="108"/>
      <c r="D43" s="108">
        <v>1418.678594</v>
      </c>
      <c r="E43" s="108"/>
      <c r="F43" s="108"/>
      <c r="G43" s="108">
        <v>4869.8205660000003</v>
      </c>
      <c r="H43" s="108"/>
      <c r="I43" s="113"/>
      <c r="J43" s="113">
        <v>105.82349426284041</v>
      </c>
      <c r="K43" s="113"/>
      <c r="L43" s="113"/>
      <c r="M43" s="113">
        <v>108.47968288906075</v>
      </c>
    </row>
    <row r="44" spans="2:14" s="73" customFormat="1" ht="13.5" customHeight="1">
      <c r="B44" s="97" t="s">
        <v>142</v>
      </c>
      <c r="C44" s="108"/>
      <c r="D44" s="108">
        <v>642.94910000000004</v>
      </c>
      <c r="E44" s="108"/>
      <c r="F44" s="108"/>
      <c r="G44" s="108">
        <v>2339.9374130000001</v>
      </c>
      <c r="H44" s="108"/>
      <c r="I44" s="113"/>
      <c r="J44" s="113">
        <v>102.21930561644068</v>
      </c>
      <c r="K44" s="113"/>
      <c r="L44" s="113"/>
      <c r="M44" s="113">
        <v>107.23942467684888</v>
      </c>
    </row>
    <row r="45" spans="2:14" s="73" customFormat="1" ht="13.5" customHeight="1">
      <c r="B45" s="97" t="s">
        <v>108</v>
      </c>
      <c r="C45" s="108"/>
      <c r="D45" s="108">
        <v>118.854108</v>
      </c>
      <c r="E45" s="108"/>
      <c r="F45" s="108"/>
      <c r="G45" s="108">
        <v>421.51059900000001</v>
      </c>
      <c r="H45" s="108"/>
      <c r="I45" s="113"/>
      <c r="J45" s="113">
        <v>90.636539578243742</v>
      </c>
      <c r="K45" s="113"/>
      <c r="L45" s="113"/>
      <c r="M45" s="113">
        <v>74.967586404760382</v>
      </c>
    </row>
    <row r="46" spans="2:14" s="73" customFormat="1" ht="13.5" customHeight="1">
      <c r="B46" s="97" t="s">
        <v>143</v>
      </c>
      <c r="C46" s="108">
        <v>679.26086094433595</v>
      </c>
      <c r="D46" s="108">
        <v>200.049486</v>
      </c>
      <c r="E46" s="108"/>
      <c r="F46" s="108">
        <v>2064.8448609443358</v>
      </c>
      <c r="G46" s="108">
        <v>644.87681199999997</v>
      </c>
      <c r="H46" s="108"/>
      <c r="I46" s="113">
        <v>166.07926223217129</v>
      </c>
      <c r="J46" s="113">
        <v>132.66331720274553</v>
      </c>
      <c r="K46" s="113"/>
      <c r="L46" s="113">
        <v>122.22066844305427</v>
      </c>
      <c r="M46" s="113">
        <v>99.79761943059971</v>
      </c>
    </row>
    <row r="47" spans="2:14" s="73" customFormat="1" ht="13.5" customHeight="1">
      <c r="B47" s="97" t="s">
        <v>144</v>
      </c>
      <c r="C47" s="108">
        <v>1400.7680339320825</v>
      </c>
      <c r="D47" s="108">
        <v>962.88267900000005</v>
      </c>
      <c r="E47" s="108"/>
      <c r="F47" s="108">
        <v>5144.4640339320822</v>
      </c>
      <c r="G47" s="108">
        <v>3607.1540479999999</v>
      </c>
      <c r="H47" s="108"/>
      <c r="I47" s="113">
        <v>109.26035679937245</v>
      </c>
      <c r="J47" s="113">
        <v>100.51305871633411</v>
      </c>
      <c r="K47" s="113"/>
      <c r="L47" s="113">
        <v>95.809299218045425</v>
      </c>
      <c r="M47" s="113">
        <v>92.870177206763287</v>
      </c>
    </row>
    <row r="48" spans="2:14" s="73" customFormat="1" ht="13.5" customHeight="1">
      <c r="B48" s="97" t="s">
        <v>110</v>
      </c>
      <c r="C48" s="108"/>
      <c r="D48" s="108">
        <v>642.49854500000004</v>
      </c>
      <c r="E48" s="108"/>
      <c r="F48" s="108"/>
      <c r="G48" s="108">
        <v>2278.873951</v>
      </c>
      <c r="H48" s="108"/>
      <c r="I48" s="113"/>
      <c r="J48" s="113">
        <v>119.12852615186806</v>
      </c>
      <c r="K48" s="113"/>
      <c r="L48" s="113"/>
      <c r="M48" s="113">
        <v>121.63676919216331</v>
      </c>
    </row>
    <row r="49" spans="1:13" s="73" customFormat="1" ht="13.5" customHeight="1">
      <c r="B49" s="97" t="s">
        <v>145</v>
      </c>
      <c r="C49" s="108">
        <v>183.03125269246172</v>
      </c>
      <c r="D49" s="108">
        <v>921.68665299999998</v>
      </c>
      <c r="E49" s="108"/>
      <c r="F49" s="108">
        <v>731.59525269246171</v>
      </c>
      <c r="G49" s="108">
        <v>3556.3144320000001</v>
      </c>
      <c r="H49" s="108"/>
      <c r="I49" s="113">
        <v>110.907866868122</v>
      </c>
      <c r="J49" s="113">
        <v>131.72496131796979</v>
      </c>
      <c r="K49" s="113"/>
      <c r="L49" s="113">
        <v>111.77874703285724</v>
      </c>
      <c r="M49" s="113">
        <v>129.7158422253344</v>
      </c>
    </row>
    <row r="50" spans="1:13" s="73" customFormat="1" ht="13.5" customHeight="1">
      <c r="B50" s="97" t="s">
        <v>146</v>
      </c>
      <c r="C50" s="108"/>
      <c r="D50" s="108">
        <v>390.532734</v>
      </c>
      <c r="E50" s="108"/>
      <c r="F50" s="108"/>
      <c r="G50" s="108">
        <v>1310.42893</v>
      </c>
      <c r="H50" s="108"/>
      <c r="I50" s="113"/>
      <c r="J50" s="113">
        <v>165.42683427107804</v>
      </c>
      <c r="K50" s="113"/>
      <c r="L50" s="113"/>
      <c r="M50" s="113">
        <v>143.39530436486044</v>
      </c>
    </row>
    <row r="51" spans="1:13" s="73" customFormat="1" ht="13.5" customHeight="1">
      <c r="B51" s="97" t="s">
        <v>112</v>
      </c>
      <c r="C51" s="108"/>
      <c r="D51" s="108">
        <v>11237.059368</v>
      </c>
      <c r="E51" s="108"/>
      <c r="F51" s="108"/>
      <c r="G51" s="108">
        <v>42879.475382999997</v>
      </c>
      <c r="H51" s="108"/>
      <c r="I51" s="113"/>
      <c r="J51" s="113">
        <v>147.67646811777578</v>
      </c>
      <c r="K51" s="113"/>
      <c r="L51" s="113"/>
      <c r="M51" s="113">
        <v>135.40401685746005</v>
      </c>
    </row>
    <row r="52" spans="1:13" s="73" customFormat="1" ht="13.5" customHeight="1">
      <c r="B52" s="97" t="s">
        <v>147</v>
      </c>
      <c r="C52" s="108"/>
      <c r="D52" s="108">
        <v>238.70371700000001</v>
      </c>
      <c r="E52" s="108"/>
      <c r="F52" s="108"/>
      <c r="G52" s="108">
        <v>1015.33111</v>
      </c>
      <c r="H52" s="108"/>
      <c r="I52" s="113"/>
      <c r="J52" s="113">
        <v>111.84786971735674</v>
      </c>
      <c r="K52" s="113"/>
      <c r="L52" s="113"/>
      <c r="M52" s="113">
        <v>127.26402299613622</v>
      </c>
    </row>
    <row r="53" spans="1:13" s="73" customFormat="1" ht="13.5" customHeight="1">
      <c r="B53" s="97" t="s">
        <v>113</v>
      </c>
      <c r="C53" s="108"/>
      <c r="D53" s="108">
        <v>867.59821699999998</v>
      </c>
      <c r="E53" s="108"/>
      <c r="F53" s="108"/>
      <c r="G53" s="108">
        <v>3417.588186</v>
      </c>
      <c r="H53" s="108"/>
      <c r="I53" s="113"/>
      <c r="J53" s="113">
        <v>109.91918795895306</v>
      </c>
      <c r="K53" s="113"/>
      <c r="L53" s="113"/>
      <c r="M53" s="113">
        <v>111.44774005331057</v>
      </c>
    </row>
    <row r="54" spans="1:13" s="73" customFormat="1" ht="13.5" customHeight="1">
      <c r="B54" s="97" t="s">
        <v>114</v>
      </c>
      <c r="C54" s="108"/>
      <c r="D54" s="108">
        <v>206.37736200000001</v>
      </c>
      <c r="E54" s="108"/>
      <c r="F54" s="108"/>
      <c r="G54" s="108">
        <v>740.04614300000003</v>
      </c>
      <c r="H54" s="108"/>
      <c r="I54" s="113"/>
      <c r="J54" s="113">
        <v>115.12453939484853</v>
      </c>
      <c r="K54" s="113"/>
      <c r="L54" s="113"/>
      <c r="M54" s="113">
        <v>100.71444797011493</v>
      </c>
    </row>
    <row r="55" spans="1:13" s="73" customFormat="1" ht="13.5" customHeight="1">
      <c r="B55" s="102" t="s">
        <v>115</v>
      </c>
      <c r="C55" s="108"/>
      <c r="D55" s="108">
        <v>4934.5671009999996</v>
      </c>
      <c r="E55" s="108"/>
      <c r="F55" s="108"/>
      <c r="G55" s="108">
        <v>17582.014491999998</v>
      </c>
      <c r="H55" s="108"/>
      <c r="I55" s="113"/>
      <c r="J55" s="113">
        <v>130.01474757159801</v>
      </c>
      <c r="K55" s="113"/>
      <c r="L55" s="113"/>
      <c r="M55" s="113">
        <v>124.29966783725199</v>
      </c>
    </row>
    <row r="56" spans="1:13" s="73" customFormat="1" ht="13.5" customHeight="1">
      <c r="B56" s="97" t="s">
        <v>116</v>
      </c>
      <c r="C56" s="108"/>
      <c r="D56" s="108">
        <v>395.67447499999997</v>
      </c>
      <c r="E56" s="108"/>
      <c r="F56" s="108"/>
      <c r="G56" s="108">
        <v>1391.0631109999999</v>
      </c>
      <c r="H56" s="108"/>
      <c r="I56" s="113"/>
      <c r="J56" s="113">
        <v>157.74427944550101</v>
      </c>
      <c r="K56" s="113"/>
      <c r="L56" s="113"/>
      <c r="M56" s="113">
        <v>146.75531880208121</v>
      </c>
    </row>
    <row r="57" spans="1:13" s="73" customFormat="1" ht="13.5" customHeight="1">
      <c r="B57" s="97" t="s">
        <v>148</v>
      </c>
      <c r="C57" s="108"/>
      <c r="D57" s="108">
        <v>856.98052699999994</v>
      </c>
      <c r="E57" s="108"/>
      <c r="F57" s="108"/>
      <c r="G57" s="108">
        <v>3102.3763570000001</v>
      </c>
      <c r="H57" s="108"/>
      <c r="I57" s="113"/>
      <c r="J57" s="113">
        <v>135.01950621658503</v>
      </c>
      <c r="K57" s="113"/>
      <c r="L57" s="113"/>
      <c r="M57" s="113">
        <v>139.18398883992882</v>
      </c>
    </row>
    <row r="58" spans="1:13" s="73" customFormat="1" ht="13.5" customHeight="1">
      <c r="B58" s="97" t="s">
        <v>149</v>
      </c>
      <c r="C58" s="108">
        <v>17062.908295161553</v>
      </c>
      <c r="D58" s="108">
        <v>422.93177500000002</v>
      </c>
      <c r="E58" s="108"/>
      <c r="F58" s="108">
        <v>63519.908295161556</v>
      </c>
      <c r="G58" s="108">
        <v>1400.2415209999999</v>
      </c>
      <c r="H58" s="108"/>
      <c r="I58" s="113">
        <v>147.74359940394453</v>
      </c>
      <c r="J58" s="113">
        <v>165.43130372392582</v>
      </c>
      <c r="K58" s="113"/>
      <c r="L58" s="113">
        <v>145.16845300110054</v>
      </c>
      <c r="M58" s="113">
        <v>150.71231176044745</v>
      </c>
    </row>
    <row r="59" spans="1:13" s="73" customFormat="1" ht="13.5" customHeight="1">
      <c r="B59" s="97" t="s">
        <v>150</v>
      </c>
      <c r="C59" s="108"/>
      <c r="D59" s="108">
        <v>148.44128799999999</v>
      </c>
      <c r="E59" s="108"/>
      <c r="F59" s="108"/>
      <c r="G59" s="108">
        <v>407.26845700000001</v>
      </c>
      <c r="H59" s="108"/>
      <c r="I59" s="113"/>
      <c r="J59" s="113">
        <v>153.64548012486577</v>
      </c>
      <c r="K59" s="113"/>
      <c r="L59" s="113"/>
      <c r="M59" s="113">
        <v>90.273168147121268</v>
      </c>
    </row>
    <row r="60" spans="1:13" s="117" customFormat="1" ht="13.5" customHeight="1">
      <c r="A60" s="73"/>
      <c r="B60" s="116" t="s">
        <v>489</v>
      </c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</row>
    <row r="61" spans="1:13">
      <c r="B61" s="72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</row>
    <row r="62" spans="1:13">
      <c r="B62" s="119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</row>
    <row r="63" spans="1:13">
      <c r="B63" s="121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</row>
    <row r="64" spans="1:13">
      <c r="B64" s="121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</row>
    <row r="65" spans="2:13"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</row>
    <row r="66" spans="2:13"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</row>
    <row r="67" spans="2:13"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</row>
    <row r="68" spans="2:13"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</row>
    <row r="69" spans="2:13"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</row>
    <row r="70" spans="2:13"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</row>
    <row r="71" spans="2:13"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</row>
    <row r="72" spans="2:13"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</row>
    <row r="73" spans="2:13"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</row>
    <row r="74" spans="2:13"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</row>
    <row r="75" spans="2:13"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</row>
    <row r="76" spans="2:13"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</row>
    <row r="77" spans="2:13"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</row>
    <row r="78" spans="2:13"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</row>
    <row r="79" spans="2:13">
      <c r="B79" s="118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</row>
    <row r="80" spans="2:13">
      <c r="B80" s="118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</row>
    <row r="81" spans="2:13">
      <c r="B81" s="118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</row>
    <row r="82" spans="2:13">
      <c r="B82" s="118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</row>
    <row r="83" spans="2:13">
      <c r="B83" s="118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</row>
    <row r="84" spans="2:13">
      <c r="B84" s="118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</row>
    <row r="85" spans="2:13">
      <c r="B85" s="118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</row>
    <row r="86" spans="2:13">
      <c r="B86" s="118"/>
    </row>
  </sheetData>
  <mergeCells count="12">
    <mergeCell ref="C6:D6"/>
    <mergeCell ref="F6:G6"/>
    <mergeCell ref="I6:J6"/>
    <mergeCell ref="L6:M6"/>
    <mergeCell ref="C4:D4"/>
    <mergeCell ref="F4:G4"/>
    <mergeCell ref="I4:J4"/>
    <mergeCell ref="L4:M4"/>
    <mergeCell ref="C5:D5"/>
    <mergeCell ref="F5:G5"/>
    <mergeCell ref="I5:J5"/>
    <mergeCell ref="L5:M5"/>
  </mergeCells>
  <pageMargins left="0.5" right="0.4" top="0.6" bottom="0.4" header="0.3" footer="0.3"/>
  <pageSetup paperSize="9" scale="90" fitToHeight="0" orientation="portrait" r:id="rId1"/>
  <headerFooter>
    <oddHeader>&amp;C&amp;"Times New Roman,Regular"&amp;13&amp;P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A9050-AA7B-4F1D-AFE3-8548FEC90165}">
  <sheetPr>
    <pageSetUpPr fitToPage="1"/>
  </sheetPr>
  <dimension ref="A1:L61"/>
  <sheetViews>
    <sheetView workbookViewId="0">
      <selection activeCell="D28" sqref="D28"/>
    </sheetView>
  </sheetViews>
  <sheetFormatPr defaultColWidth="9.140625" defaultRowHeight="12.75"/>
  <cols>
    <col min="1" max="1" width="2.42578125" style="126" customWidth="1"/>
    <col min="2" max="2" width="11.140625" style="126" customWidth="1"/>
    <col min="3" max="3" width="24" style="126" customWidth="1"/>
    <col min="4" max="4" width="8.5703125" style="126" customWidth="1"/>
    <col min="5" max="5" width="9.140625" style="126" customWidth="1"/>
    <col min="6" max="6" width="9.42578125" style="126" customWidth="1"/>
    <col min="7" max="7" width="9.140625" style="126" customWidth="1"/>
    <col min="8" max="8" width="15.42578125" style="126" customWidth="1"/>
    <col min="9" max="16384" width="9.140625" style="126"/>
  </cols>
  <sheetData>
    <row r="1" spans="1:10" ht="19.5" customHeight="1">
      <c r="A1" s="123" t="s">
        <v>153</v>
      </c>
      <c r="B1" s="124"/>
      <c r="C1" s="124"/>
      <c r="D1" s="124"/>
      <c r="E1" s="124"/>
      <c r="F1" s="125"/>
    </row>
    <row r="2" spans="1:10" ht="18" customHeight="1">
      <c r="A2" s="123" t="s">
        <v>154</v>
      </c>
      <c r="B2" s="124"/>
      <c r="C2" s="124"/>
      <c r="D2" s="124"/>
      <c r="E2" s="124"/>
      <c r="F2" s="125"/>
    </row>
    <row r="3" spans="1:10" ht="15">
      <c r="A3" s="127"/>
      <c r="B3" s="128"/>
      <c r="C3" s="128"/>
      <c r="D3" s="128"/>
      <c r="E3" s="128"/>
      <c r="F3" s="128"/>
      <c r="G3" s="129"/>
    </row>
    <row r="4" spans="1:10" ht="15">
      <c r="A4" s="127"/>
      <c r="B4" s="128"/>
      <c r="C4" s="128"/>
      <c r="D4" s="128"/>
      <c r="E4" s="128"/>
      <c r="F4" s="129"/>
      <c r="G4" s="129"/>
      <c r="H4" s="130" t="s">
        <v>155</v>
      </c>
    </row>
    <row r="5" spans="1:10" ht="19.5" customHeight="1">
      <c r="A5" s="131"/>
      <c r="B5" s="132"/>
      <c r="C5" s="132"/>
      <c r="D5" s="490" t="s">
        <v>156</v>
      </c>
      <c r="E5" s="490"/>
      <c r="F5" s="490"/>
      <c r="G5" s="490"/>
      <c r="H5" s="133" t="s">
        <v>157</v>
      </c>
    </row>
    <row r="6" spans="1:10" ht="18" customHeight="1">
      <c r="A6" s="127"/>
      <c r="B6" s="128"/>
      <c r="C6" s="128"/>
      <c r="D6" s="134" t="s">
        <v>158</v>
      </c>
      <c r="E6" s="134" t="s">
        <v>159</v>
      </c>
      <c r="F6" s="134" t="s">
        <v>160</v>
      </c>
      <c r="G6" s="134" t="s">
        <v>161</v>
      </c>
      <c r="H6" s="135" t="s">
        <v>73</v>
      </c>
    </row>
    <row r="7" spans="1:10" ht="18" customHeight="1">
      <c r="A7" s="127"/>
      <c r="B7" s="128"/>
      <c r="C7" s="128"/>
      <c r="D7" s="136" t="s">
        <v>162</v>
      </c>
      <c r="E7" s="134" t="s">
        <v>28</v>
      </c>
      <c r="F7" s="134" t="s">
        <v>28</v>
      </c>
      <c r="G7" s="134" t="s">
        <v>28</v>
      </c>
      <c r="H7" s="135" t="s">
        <v>6</v>
      </c>
    </row>
    <row r="8" spans="1:10" ht="19.5" customHeight="1">
      <c r="A8" s="127"/>
      <c r="B8" s="128"/>
      <c r="C8" s="128"/>
      <c r="D8" s="137"/>
      <c r="E8" s="138">
        <v>2024</v>
      </c>
      <c r="F8" s="138">
        <v>2024</v>
      </c>
      <c r="G8" s="138">
        <v>2025</v>
      </c>
      <c r="H8" s="139" t="s">
        <v>163</v>
      </c>
    </row>
    <row r="9" spans="1:10" ht="11.25" customHeight="1">
      <c r="A9" s="125"/>
      <c r="B9" s="140"/>
      <c r="C9" s="140"/>
      <c r="D9" s="141"/>
      <c r="E9" s="141"/>
      <c r="F9" s="142"/>
      <c r="G9" s="142"/>
      <c r="H9" s="141"/>
    </row>
    <row r="10" spans="1:10" ht="20.100000000000001" customHeight="1">
      <c r="A10" s="143" t="s">
        <v>164</v>
      </c>
      <c r="B10" s="127"/>
      <c r="C10" s="127"/>
      <c r="D10" s="144">
        <v>118.73945705471007</v>
      </c>
      <c r="E10" s="144">
        <v>103.12348002310104</v>
      </c>
      <c r="F10" s="144">
        <v>101.36829321759339</v>
      </c>
      <c r="G10" s="144">
        <v>100.0705</v>
      </c>
      <c r="H10" s="145">
        <v>103.19775281228782</v>
      </c>
      <c r="I10" s="141"/>
      <c r="J10" s="141"/>
    </row>
    <row r="11" spans="1:10" ht="20.100000000000001" customHeight="1">
      <c r="A11" s="146"/>
      <c r="B11" s="146" t="s">
        <v>165</v>
      </c>
      <c r="C11" s="146"/>
      <c r="D11" s="142">
        <v>124.10380507822993</v>
      </c>
      <c r="E11" s="142">
        <v>104.09014263185956</v>
      </c>
      <c r="F11" s="142">
        <v>101.23740940110683</v>
      </c>
      <c r="G11" s="142">
        <v>100.1221</v>
      </c>
      <c r="H11" s="147">
        <v>103.8597192119252</v>
      </c>
      <c r="I11" s="141"/>
    </row>
    <row r="12" spans="1:10" ht="20.100000000000001" customHeight="1">
      <c r="A12" s="146"/>
      <c r="B12" s="148" t="s">
        <v>34</v>
      </c>
      <c r="C12" s="146" t="s">
        <v>166</v>
      </c>
      <c r="D12" s="142">
        <v>133.31991472394355</v>
      </c>
      <c r="E12" s="142">
        <v>100.66219838822367</v>
      </c>
      <c r="F12" s="142">
        <v>98.596148812152663</v>
      </c>
      <c r="G12" s="142">
        <v>99.354500000000002</v>
      </c>
      <c r="H12" s="147">
        <v>101.38058956259798</v>
      </c>
      <c r="I12" s="141"/>
    </row>
    <row r="13" spans="1:10" ht="20.100000000000001" customHeight="1">
      <c r="A13" s="146"/>
      <c r="B13" s="146"/>
      <c r="C13" s="146" t="s">
        <v>167</v>
      </c>
      <c r="D13" s="142">
        <v>120.95851015813813</v>
      </c>
      <c r="E13" s="142">
        <v>104.90670605778362</v>
      </c>
      <c r="F13" s="142">
        <v>101.64464571754017</v>
      </c>
      <c r="G13" s="142">
        <v>100.1737</v>
      </c>
      <c r="H13" s="147">
        <v>104.37014915982688</v>
      </c>
      <c r="I13" s="141"/>
    </row>
    <row r="14" spans="1:10" ht="20.100000000000001" customHeight="1">
      <c r="A14" s="146"/>
      <c r="B14" s="146"/>
      <c r="C14" s="146" t="s">
        <v>168</v>
      </c>
      <c r="D14" s="142">
        <v>128.25821462436744</v>
      </c>
      <c r="E14" s="142">
        <v>103.56719830252412</v>
      </c>
      <c r="F14" s="142">
        <v>101.3745062813376</v>
      </c>
      <c r="G14" s="142">
        <v>100.3236</v>
      </c>
      <c r="H14" s="147">
        <v>103.67099617593452</v>
      </c>
      <c r="I14" s="141"/>
    </row>
    <row r="15" spans="1:10" ht="20.100000000000001" customHeight="1">
      <c r="A15" s="146"/>
      <c r="B15" s="146" t="s">
        <v>169</v>
      </c>
      <c r="C15" s="146"/>
      <c r="D15" s="142">
        <v>114.95532237476633</v>
      </c>
      <c r="E15" s="142">
        <v>102.07236102032695</v>
      </c>
      <c r="F15" s="142">
        <v>100.88056650925775</v>
      </c>
      <c r="G15" s="142">
        <v>100.1118</v>
      </c>
      <c r="H15" s="147">
        <v>102.21232389628496</v>
      </c>
      <c r="I15" s="141"/>
    </row>
    <row r="16" spans="1:10" ht="20.100000000000001" customHeight="1">
      <c r="A16" s="146"/>
      <c r="B16" s="146" t="s">
        <v>170</v>
      </c>
      <c r="C16" s="146"/>
      <c r="D16" s="142">
        <v>108.91829747832902</v>
      </c>
      <c r="E16" s="142">
        <v>101.09258552225862</v>
      </c>
      <c r="F16" s="142">
        <v>100.37872486449706</v>
      </c>
      <c r="G16" s="142">
        <v>100.0569</v>
      </c>
      <c r="H16" s="147">
        <v>101.15387715259679</v>
      </c>
      <c r="I16" s="141"/>
    </row>
    <row r="17" spans="1:12" ht="20.100000000000001" customHeight="1">
      <c r="A17" s="146"/>
      <c r="B17" s="149" t="s">
        <v>171</v>
      </c>
      <c r="C17" s="146"/>
      <c r="D17" s="142">
        <v>125.71041256911208</v>
      </c>
      <c r="E17" s="142">
        <v>105.72931319079817</v>
      </c>
      <c r="F17" s="142">
        <v>102.04855981842324</v>
      </c>
      <c r="G17" s="142">
        <v>100.6207</v>
      </c>
      <c r="H17" s="147">
        <v>105.26259544877271</v>
      </c>
      <c r="I17" s="141"/>
    </row>
    <row r="18" spans="1:12" ht="20.100000000000001" customHeight="1">
      <c r="A18" s="146"/>
      <c r="B18" s="146" t="s">
        <v>172</v>
      </c>
      <c r="C18" s="146"/>
      <c r="D18" s="142">
        <v>109.24631292406976</v>
      </c>
      <c r="E18" s="142">
        <v>101.56636017982188</v>
      </c>
      <c r="F18" s="142">
        <v>100.59342029194124</v>
      </c>
      <c r="G18" s="142">
        <v>100.0975</v>
      </c>
      <c r="H18" s="147">
        <v>101.56555012302715</v>
      </c>
      <c r="I18" s="141"/>
    </row>
    <row r="19" spans="1:12" ht="20.100000000000001" customHeight="1">
      <c r="A19" s="146"/>
      <c r="B19" s="146" t="s">
        <v>173</v>
      </c>
      <c r="C19" s="146"/>
      <c r="D19" s="142">
        <v>126.02620286585073</v>
      </c>
      <c r="E19" s="142">
        <v>113.56212837890534</v>
      </c>
      <c r="F19" s="142">
        <v>109.96851893346549</v>
      </c>
      <c r="G19" s="142">
        <v>100.0175</v>
      </c>
      <c r="H19" s="147">
        <v>114.18860788455711</v>
      </c>
      <c r="I19" s="141"/>
    </row>
    <row r="20" spans="1:12" ht="20.100000000000001" customHeight="1">
      <c r="A20" s="146"/>
      <c r="B20" s="148" t="s">
        <v>34</v>
      </c>
      <c r="C20" s="146" t="s">
        <v>174</v>
      </c>
      <c r="D20" s="142">
        <v>132.06359825216873</v>
      </c>
      <c r="E20" s="142">
        <v>117.64773727289084</v>
      </c>
      <c r="F20" s="142">
        <v>113.14122634724863</v>
      </c>
      <c r="G20" s="142">
        <v>100.0003</v>
      </c>
      <c r="H20" s="147">
        <v>118.50558251779985</v>
      </c>
      <c r="I20" s="141"/>
    </row>
    <row r="21" spans="1:12" ht="20.100000000000001" customHeight="1">
      <c r="A21" s="146"/>
      <c r="B21" s="146" t="s">
        <v>175</v>
      </c>
      <c r="C21" s="146"/>
      <c r="D21" s="142">
        <v>106.73695745574275</v>
      </c>
      <c r="E21" s="142">
        <v>93.105304004786078</v>
      </c>
      <c r="F21" s="142">
        <v>99.101739484384183</v>
      </c>
      <c r="G21" s="142">
        <v>98.953500000000005</v>
      </c>
      <c r="H21" s="147">
        <v>96.453369310440038</v>
      </c>
      <c r="I21" s="141"/>
    </row>
    <row r="22" spans="1:12" ht="20.100000000000001" customHeight="1">
      <c r="A22" s="146"/>
      <c r="B22" s="146" t="s">
        <v>176</v>
      </c>
      <c r="C22" s="146"/>
      <c r="D22" s="142">
        <v>95.538823387760743</v>
      </c>
      <c r="E22" s="142">
        <v>99.49988859378503</v>
      </c>
      <c r="F22" s="142">
        <v>99.714915732632917</v>
      </c>
      <c r="G22" s="142">
        <v>99.851600000000005</v>
      </c>
      <c r="H22" s="147">
        <v>99.435841857778442</v>
      </c>
      <c r="I22" s="141"/>
    </row>
    <row r="23" spans="1:12" ht="20.100000000000001" customHeight="1">
      <c r="A23" s="146"/>
      <c r="B23" s="146" t="s">
        <v>177</v>
      </c>
      <c r="C23" s="146"/>
      <c r="D23" s="142">
        <v>123.46746134127129</v>
      </c>
      <c r="E23" s="142">
        <v>102.76077801366479</v>
      </c>
      <c r="F23" s="142">
        <v>100.00278893158263</v>
      </c>
      <c r="G23" s="142">
        <v>100.003</v>
      </c>
      <c r="H23" s="147">
        <v>100.22507975717687</v>
      </c>
      <c r="I23" s="141"/>
    </row>
    <row r="24" spans="1:12" ht="20.100000000000001" customHeight="1">
      <c r="A24" s="146"/>
      <c r="B24" s="148" t="s">
        <v>34</v>
      </c>
      <c r="C24" s="146" t="s">
        <v>178</v>
      </c>
      <c r="D24" s="150">
        <v>124.3337614141149</v>
      </c>
      <c r="E24" s="142">
        <v>102.92925094138606</v>
      </c>
      <c r="F24" s="142">
        <v>99.948399629860234</v>
      </c>
      <c r="G24" s="142">
        <v>99.993799999999993</v>
      </c>
      <c r="H24" s="147">
        <v>100.06546605653585</v>
      </c>
      <c r="I24" s="141"/>
      <c r="J24" s="151"/>
      <c r="L24" s="151"/>
    </row>
    <row r="25" spans="1:12" ht="20.100000000000001" customHeight="1">
      <c r="A25" s="146"/>
      <c r="B25" s="146" t="s">
        <v>179</v>
      </c>
      <c r="C25" s="146"/>
      <c r="D25" s="150">
        <v>108.05804188106204</v>
      </c>
      <c r="E25" s="142">
        <v>102.13935681856412</v>
      </c>
      <c r="F25" s="142">
        <v>100.63572492852262</v>
      </c>
      <c r="G25" s="142">
        <v>100.00709999999999</v>
      </c>
      <c r="H25" s="147">
        <v>102.15846800302531</v>
      </c>
      <c r="I25" s="141"/>
    </row>
    <row r="26" spans="1:12" ht="20.100000000000001" customHeight="1">
      <c r="A26" s="146"/>
      <c r="B26" s="146" t="s">
        <v>180</v>
      </c>
      <c r="C26" s="146"/>
      <c r="D26" s="150">
        <v>124.62617456883775</v>
      </c>
      <c r="E26" s="142">
        <v>106.40004808711502</v>
      </c>
      <c r="F26" s="142">
        <v>101.04777427520266</v>
      </c>
      <c r="G26" s="142">
        <v>100.1464</v>
      </c>
      <c r="H26" s="147">
        <v>106.57584632488373</v>
      </c>
      <c r="I26" s="141"/>
    </row>
    <row r="27" spans="1:12" ht="20.100000000000001" customHeight="1">
      <c r="A27" s="143" t="s">
        <v>181</v>
      </c>
      <c r="B27" s="152"/>
      <c r="C27" s="152"/>
      <c r="D27" s="144">
        <v>264.57690416464015</v>
      </c>
      <c r="E27" s="144">
        <v>137.14374003395463</v>
      </c>
      <c r="F27" s="144">
        <v>122.42909820209501</v>
      </c>
      <c r="G27" s="144">
        <v>110.5433</v>
      </c>
      <c r="H27" s="145">
        <v>132.8510299694054</v>
      </c>
      <c r="I27" s="141"/>
    </row>
    <row r="28" spans="1:12" ht="20.100000000000001" customHeight="1">
      <c r="A28" s="143" t="s">
        <v>182</v>
      </c>
      <c r="B28" s="152"/>
      <c r="C28" s="152"/>
      <c r="D28" s="144">
        <v>111.70533587561118</v>
      </c>
      <c r="E28" s="144">
        <v>103.17208558063133</v>
      </c>
      <c r="F28" s="144">
        <v>101.90169676165917</v>
      </c>
      <c r="G28" s="144">
        <v>100.9689</v>
      </c>
      <c r="H28" s="145">
        <v>103.51815400311469</v>
      </c>
      <c r="I28" s="141"/>
      <c r="J28" s="141"/>
    </row>
    <row r="29" spans="1:12" ht="20.100000000000001" customHeight="1">
      <c r="A29" s="143" t="s">
        <v>183</v>
      </c>
      <c r="B29" s="152"/>
      <c r="C29" s="152"/>
      <c r="D29" s="153"/>
      <c r="E29" s="144">
        <v>3.1417238298725447</v>
      </c>
      <c r="F29" s="144"/>
      <c r="G29" s="144">
        <v>0.20618731104673493</v>
      </c>
      <c r="H29" s="145">
        <v>3.0460843433406097</v>
      </c>
      <c r="I29" s="141"/>
    </row>
    <row r="30" spans="1:12" ht="9" customHeight="1">
      <c r="A30" s="154"/>
      <c r="B30" s="154"/>
      <c r="C30" s="154"/>
    </row>
    <row r="31" spans="1:12" ht="24.75" customHeight="1">
      <c r="A31" s="155" t="s">
        <v>184</v>
      </c>
    </row>
    <row r="53" spans="1:8">
      <c r="A53" s="156"/>
      <c r="B53" s="156"/>
      <c r="C53" s="156"/>
      <c r="D53" s="156"/>
      <c r="E53" s="156"/>
      <c r="F53" s="156"/>
      <c r="G53" s="156"/>
      <c r="H53" s="156"/>
    </row>
    <row r="54" spans="1:8">
      <c r="A54" s="156"/>
      <c r="B54" s="156"/>
      <c r="C54" s="156"/>
      <c r="D54" s="156"/>
      <c r="E54" s="156"/>
      <c r="F54" s="156"/>
      <c r="G54" s="156"/>
      <c r="H54" s="156"/>
    </row>
    <row r="55" spans="1:8">
      <c r="A55" s="156"/>
      <c r="B55" s="156"/>
      <c r="C55" s="156"/>
      <c r="D55" s="156"/>
      <c r="E55" s="156"/>
      <c r="F55" s="156"/>
      <c r="G55" s="156"/>
      <c r="H55" s="156"/>
    </row>
    <row r="56" spans="1:8">
      <c r="A56" s="156"/>
      <c r="B56" s="156"/>
      <c r="C56" s="156"/>
      <c r="D56" s="156"/>
      <c r="E56" s="156"/>
      <c r="F56" s="156"/>
      <c r="G56" s="156"/>
      <c r="H56" s="156"/>
    </row>
    <row r="57" spans="1:8">
      <c r="A57" s="156"/>
      <c r="B57" s="156"/>
      <c r="C57" s="156"/>
      <c r="D57" s="156"/>
      <c r="E57" s="156"/>
      <c r="F57" s="156"/>
      <c r="G57" s="156"/>
      <c r="H57" s="156"/>
    </row>
    <row r="58" spans="1:8">
      <c r="A58" s="156"/>
      <c r="B58" s="156"/>
      <c r="C58" s="156"/>
      <c r="D58" s="156"/>
      <c r="E58" s="156"/>
      <c r="F58" s="156"/>
      <c r="G58" s="156"/>
      <c r="H58" s="156"/>
    </row>
    <row r="59" spans="1:8">
      <c r="A59" s="156"/>
      <c r="B59" s="156"/>
      <c r="C59" s="156"/>
      <c r="D59" s="156"/>
      <c r="E59" s="156"/>
      <c r="F59" s="156"/>
      <c r="G59" s="156"/>
      <c r="H59" s="156"/>
    </row>
    <row r="60" spans="1:8">
      <c r="A60" s="156"/>
      <c r="B60" s="156"/>
      <c r="C60" s="156"/>
      <c r="D60" s="156"/>
      <c r="E60" s="156"/>
      <c r="F60" s="156"/>
      <c r="G60" s="156"/>
      <c r="H60" s="156"/>
    </row>
    <row r="61" spans="1:8">
      <c r="A61" s="156"/>
      <c r="B61" s="156"/>
      <c r="C61" s="156"/>
      <c r="D61" s="156"/>
      <c r="E61" s="156"/>
      <c r="F61" s="156"/>
      <c r="G61" s="156"/>
      <c r="H61" s="156"/>
    </row>
  </sheetData>
  <mergeCells count="1">
    <mergeCell ref="D5:G5"/>
  </mergeCells>
  <pageMargins left="0.78740157480314998" right="0.47244094488188998" top="0.74803149606299202" bottom="0.47244094488188998" header="0.43307086614173201" footer="0.31496062992126"/>
  <pageSetup paperSize="9" scale="99" firstPageNumber="27" fitToHeight="0" orientation="portrait" r:id="rId1"/>
  <headerFooter alignWithMargins="0">
    <oddHeader>&amp;C&amp;"Times New Roman,Regular"&amp;13&amp;P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4CC1-53D9-4989-A372-D2C423A99CBA}">
  <sheetPr>
    <pageSetUpPr fitToPage="1"/>
  </sheetPr>
  <dimension ref="A1:I198"/>
  <sheetViews>
    <sheetView topLeftCell="A4" workbookViewId="0">
      <selection activeCell="D28" sqref="D28"/>
    </sheetView>
  </sheetViews>
  <sheetFormatPr defaultColWidth="9" defaultRowHeight="15"/>
  <cols>
    <col min="1" max="1" width="29.42578125" style="283" customWidth="1"/>
    <col min="2" max="2" width="10.140625" style="283" customWidth="1"/>
    <col min="3" max="3" width="11.140625" style="283" customWidth="1"/>
    <col min="4" max="4" width="12.140625" style="283" customWidth="1"/>
    <col min="5" max="5" width="12.42578125" style="283" customWidth="1"/>
    <col min="6" max="6" width="12.5703125" style="283" customWidth="1"/>
    <col min="7" max="7" width="9" style="283"/>
    <col min="8" max="8" width="18" style="283" customWidth="1"/>
    <col min="9" max="9" width="19.85546875" style="283" customWidth="1"/>
    <col min="10" max="16384" width="9" style="283"/>
  </cols>
  <sheetData>
    <row r="1" spans="1:8" ht="20.100000000000001" customHeight="1">
      <c r="A1" s="280" t="s">
        <v>353</v>
      </c>
      <c r="B1" s="281"/>
      <c r="C1" s="281"/>
      <c r="D1" s="281"/>
      <c r="E1" s="281"/>
      <c r="F1" s="281"/>
      <c r="G1" s="282"/>
    </row>
    <row r="2" spans="1:8" ht="20.100000000000001" customHeight="1">
      <c r="A2" s="284" t="s">
        <v>354</v>
      </c>
      <c r="B2" s="285"/>
      <c r="C2" s="285"/>
      <c r="D2" s="285"/>
      <c r="E2" s="285"/>
      <c r="F2" s="285"/>
      <c r="G2" s="282"/>
    </row>
    <row r="3" spans="1:8" ht="20.100000000000001" customHeight="1">
      <c r="A3" s="286"/>
      <c r="B3" s="287"/>
      <c r="C3" s="287"/>
      <c r="D3" s="287"/>
      <c r="E3" s="287"/>
      <c r="F3" s="288"/>
      <c r="G3" s="282"/>
    </row>
    <row r="4" spans="1:8" ht="15.95" customHeight="1">
      <c r="A4" s="289"/>
      <c r="B4" s="290" t="s">
        <v>229</v>
      </c>
      <c r="C4" s="290" t="s">
        <v>229</v>
      </c>
      <c r="D4" s="290" t="s">
        <v>355</v>
      </c>
      <c r="E4" s="290" t="s">
        <v>355</v>
      </c>
      <c r="F4" s="290" t="s">
        <v>356</v>
      </c>
      <c r="G4" s="282"/>
    </row>
    <row r="5" spans="1:8" ht="15.95" customHeight="1">
      <c r="A5" s="291"/>
      <c r="B5" s="292" t="s">
        <v>70</v>
      </c>
      <c r="C5" s="292" t="s">
        <v>341</v>
      </c>
      <c r="D5" s="292" t="s">
        <v>27</v>
      </c>
      <c r="E5" s="292" t="s">
        <v>27</v>
      </c>
      <c r="F5" s="292" t="s">
        <v>27</v>
      </c>
      <c r="G5" s="282"/>
    </row>
    <row r="6" spans="1:8" ht="15.95" customHeight="1">
      <c r="A6" s="291"/>
      <c r="B6" s="293" t="s">
        <v>28</v>
      </c>
      <c r="C6" s="293" t="s">
        <v>28</v>
      </c>
      <c r="D6" s="293" t="s">
        <v>281</v>
      </c>
      <c r="E6" s="293" t="s">
        <v>357</v>
      </c>
      <c r="F6" s="293" t="s">
        <v>357</v>
      </c>
      <c r="G6" s="282"/>
    </row>
    <row r="7" spans="1:8" ht="15.95" customHeight="1">
      <c r="A7" s="291"/>
      <c r="B7" s="294">
        <v>2025</v>
      </c>
      <c r="C7" s="294">
        <v>2025</v>
      </c>
      <c r="D7" s="294" t="s">
        <v>347</v>
      </c>
      <c r="E7" s="294" t="s">
        <v>348</v>
      </c>
      <c r="F7" s="294" t="s">
        <v>348</v>
      </c>
      <c r="G7" s="282"/>
    </row>
    <row r="8" spans="1:8" ht="20.100000000000001" customHeight="1">
      <c r="A8" s="291"/>
      <c r="G8" s="282"/>
    </row>
    <row r="9" spans="1:8" ht="20.100000000000001" customHeight="1">
      <c r="A9" s="295" t="s">
        <v>358</v>
      </c>
      <c r="B9" s="296">
        <v>486423.55543006939</v>
      </c>
      <c r="C9" s="296">
        <v>1880738.2798904723</v>
      </c>
      <c r="D9" s="297">
        <v>105.85459373298075</v>
      </c>
      <c r="E9" s="297">
        <v>129.51307416686367</v>
      </c>
      <c r="F9" s="297">
        <v>119.1897766149538</v>
      </c>
      <c r="G9" s="282"/>
    </row>
    <row r="10" spans="1:8" ht="20.100000000000001" customHeight="1">
      <c r="A10" s="298" t="s">
        <v>359</v>
      </c>
      <c r="B10" s="296"/>
      <c r="C10" s="296"/>
      <c r="D10" s="297"/>
      <c r="E10" s="297"/>
      <c r="F10" s="297"/>
      <c r="G10" s="282"/>
    </row>
    <row r="11" spans="1:8" ht="20.100000000000001" customHeight="1">
      <c r="A11" s="299" t="s">
        <v>360</v>
      </c>
      <c r="B11" s="300">
        <v>484698.67049006937</v>
      </c>
      <c r="C11" s="300">
        <v>1874168.1729504724</v>
      </c>
      <c r="D11" s="301">
        <v>105.85056139204329</v>
      </c>
      <c r="E11" s="301">
        <v>129.57235491036064</v>
      </c>
      <c r="F11" s="301">
        <v>119.23150872638861</v>
      </c>
      <c r="G11" s="282"/>
    </row>
    <row r="12" spans="1:8" ht="20.100000000000001" customHeight="1">
      <c r="A12" s="299" t="s">
        <v>361</v>
      </c>
      <c r="B12" s="300">
        <v>1724.8849399999999</v>
      </c>
      <c r="C12" s="300">
        <v>6570.1069399999997</v>
      </c>
      <c r="D12" s="301">
        <v>107</v>
      </c>
      <c r="E12" s="301">
        <v>114.75936781666549</v>
      </c>
      <c r="F12" s="301">
        <v>108.36985915446493</v>
      </c>
      <c r="G12" s="282"/>
    </row>
    <row r="13" spans="1:8" ht="20.100000000000001" customHeight="1">
      <c r="A13" s="298" t="s">
        <v>362</v>
      </c>
      <c r="B13" s="296"/>
      <c r="C13" s="296"/>
      <c r="D13" s="297"/>
      <c r="E13" s="297"/>
      <c r="F13" s="297"/>
      <c r="G13" s="282"/>
      <c r="H13" s="302"/>
    </row>
    <row r="14" spans="1:8" ht="20.100000000000001" customHeight="1">
      <c r="A14" s="299" t="s">
        <v>363</v>
      </c>
      <c r="B14" s="300">
        <v>3701.2849999999999</v>
      </c>
      <c r="C14" s="300">
        <v>15380.052000000001</v>
      </c>
      <c r="D14" s="301">
        <v>102.11416041365602</v>
      </c>
      <c r="E14" s="301">
        <v>243.48268551050788</v>
      </c>
      <c r="F14" s="301">
        <v>253.98748265401824</v>
      </c>
      <c r="G14" s="282"/>
      <c r="H14" s="302"/>
    </row>
    <row r="15" spans="1:8" ht="20.100000000000001" customHeight="1">
      <c r="A15" s="299" t="s">
        <v>364</v>
      </c>
      <c r="B15" s="300">
        <v>827.89963523023414</v>
      </c>
      <c r="C15" s="300">
        <v>4609.3544830302526</v>
      </c>
      <c r="D15" s="301">
        <v>106.78636456100313</v>
      </c>
      <c r="E15" s="301">
        <v>109.3738084744373</v>
      </c>
      <c r="F15" s="303">
        <v>81.024860694861772</v>
      </c>
      <c r="G15" s="282"/>
      <c r="H15" s="302"/>
    </row>
    <row r="16" spans="1:8" ht="20.100000000000001" customHeight="1">
      <c r="A16" s="299" t="s">
        <v>365</v>
      </c>
      <c r="B16" s="300">
        <v>36553.473013324008</v>
      </c>
      <c r="C16" s="300">
        <v>156558.51601801612</v>
      </c>
      <c r="D16" s="301">
        <v>103.49251476438721</v>
      </c>
      <c r="E16" s="301">
        <v>125.96516256323282</v>
      </c>
      <c r="F16" s="301">
        <v>121.00907485906012</v>
      </c>
      <c r="G16" s="282"/>
      <c r="H16" s="302"/>
    </row>
    <row r="17" spans="1:9" ht="20.100000000000001" customHeight="1">
      <c r="A17" s="299" t="s">
        <v>366</v>
      </c>
      <c r="B17" s="300">
        <v>440224.10753151512</v>
      </c>
      <c r="C17" s="300">
        <v>1685165.4</v>
      </c>
      <c r="D17" s="301">
        <v>106.04002339653844</v>
      </c>
      <c r="E17" s="301">
        <v>129.44066878229012</v>
      </c>
      <c r="F17" s="301">
        <v>118.71783778819986</v>
      </c>
      <c r="G17" s="282"/>
      <c r="H17" s="302"/>
    </row>
    <row r="18" spans="1:9" ht="20.100000000000001" customHeight="1">
      <c r="A18" s="299" t="s">
        <v>367</v>
      </c>
      <c r="B18" s="300">
        <v>5116.79025</v>
      </c>
      <c r="C18" s="300">
        <v>19024.904750000002</v>
      </c>
      <c r="D18" s="301">
        <v>110.00000000000001</v>
      </c>
      <c r="E18" s="301">
        <v>122.24427543287464</v>
      </c>
      <c r="F18" s="301">
        <v>109.69784793394159</v>
      </c>
      <c r="G18" s="282"/>
      <c r="H18" s="302"/>
    </row>
    <row r="19" spans="1:9" ht="20.100000000000001" customHeight="1">
      <c r="A19" s="299"/>
      <c r="B19" s="304"/>
      <c r="C19" s="304"/>
      <c r="D19" s="305"/>
      <c r="E19" s="305"/>
      <c r="F19" s="305"/>
      <c r="G19" s="282"/>
    </row>
    <row r="20" spans="1:9" ht="20.100000000000001" customHeight="1">
      <c r="A20" s="295" t="s">
        <v>368</v>
      </c>
      <c r="B20" s="296">
        <v>25183.383823862889</v>
      </c>
      <c r="C20" s="296">
        <v>101068.0317394189</v>
      </c>
      <c r="D20" s="297">
        <v>105.21465530368037</v>
      </c>
      <c r="E20" s="297">
        <v>116.06251947056315</v>
      </c>
      <c r="F20" s="297">
        <v>112.97553954793622</v>
      </c>
      <c r="G20" s="282"/>
    </row>
    <row r="21" spans="1:9" ht="20.100000000000001" customHeight="1">
      <c r="A21" s="298" t="s">
        <v>359</v>
      </c>
      <c r="B21" s="296"/>
      <c r="C21" s="296"/>
      <c r="D21" s="297"/>
      <c r="E21" s="297"/>
      <c r="F21" s="297"/>
      <c r="G21" s="282"/>
    </row>
    <row r="22" spans="1:9" ht="20.100000000000001" customHeight="1">
      <c r="A22" s="299" t="s">
        <v>360</v>
      </c>
      <c r="B22" s="300">
        <v>19734.480429662886</v>
      </c>
      <c r="C22" s="300">
        <v>79905.242741218914</v>
      </c>
      <c r="D22" s="301">
        <v>105.27407866099885</v>
      </c>
      <c r="E22" s="301">
        <v>116.80509301240716</v>
      </c>
      <c r="F22" s="301">
        <v>114.32555667655915</v>
      </c>
      <c r="G22" s="282"/>
      <c r="H22" s="302"/>
    </row>
    <row r="23" spans="1:9" ht="20.100000000000001" customHeight="1">
      <c r="A23" s="299" t="s">
        <v>361</v>
      </c>
      <c r="B23" s="300">
        <v>5448.9033942000042</v>
      </c>
      <c r="C23" s="300">
        <v>21162.788998199998</v>
      </c>
      <c r="D23" s="301">
        <v>105</v>
      </c>
      <c r="E23" s="301">
        <v>113.45035722722751</v>
      </c>
      <c r="F23" s="301">
        <v>108.15341350090692</v>
      </c>
      <c r="G23" s="282"/>
      <c r="H23" s="302"/>
    </row>
    <row r="24" spans="1:9" ht="20.100000000000001" customHeight="1">
      <c r="A24" s="298" t="s">
        <v>362</v>
      </c>
      <c r="B24" s="296"/>
      <c r="C24" s="296"/>
      <c r="D24" s="297"/>
      <c r="E24" s="297"/>
      <c r="F24" s="297"/>
      <c r="G24" s="306"/>
      <c r="H24" s="306"/>
    </row>
    <row r="25" spans="1:9" ht="20.100000000000001" customHeight="1">
      <c r="A25" s="299" t="s">
        <v>363</v>
      </c>
      <c r="B25" s="300">
        <v>242.28299999999999</v>
      </c>
      <c r="C25" s="300">
        <v>1059.9289999999999</v>
      </c>
      <c r="D25" s="301">
        <v>104.81680647547684</v>
      </c>
      <c r="E25" s="301">
        <v>110.14065170745899</v>
      </c>
      <c r="F25" s="301">
        <v>114.25440771290469</v>
      </c>
      <c r="G25" s="302"/>
      <c r="H25" s="302"/>
      <c r="I25" s="302"/>
    </row>
    <row r="26" spans="1:9" ht="20.100000000000001" customHeight="1">
      <c r="A26" s="299" t="s">
        <v>364</v>
      </c>
      <c r="B26" s="300">
        <v>66.034588607962377</v>
      </c>
      <c r="C26" s="300">
        <v>268.22627784858486</v>
      </c>
      <c r="D26" s="301">
        <v>106.2517407275615</v>
      </c>
      <c r="E26" s="301">
        <v>112.76257532738595</v>
      </c>
      <c r="F26" s="301">
        <v>92.335013678325083</v>
      </c>
      <c r="G26" s="302"/>
      <c r="H26" s="302"/>
      <c r="I26" s="302"/>
    </row>
    <row r="27" spans="1:9" ht="20.100000000000001" customHeight="1">
      <c r="A27" s="299" t="s">
        <v>365</v>
      </c>
      <c r="B27" s="300">
        <v>686.08802947027493</v>
      </c>
      <c r="C27" s="300">
        <v>2636.1645845872763</v>
      </c>
      <c r="D27" s="301">
        <v>102.85751212368932</v>
      </c>
      <c r="E27" s="301">
        <v>114.95300899108425</v>
      </c>
      <c r="F27" s="301">
        <v>115.69052116911602</v>
      </c>
      <c r="G27" s="302"/>
      <c r="H27" s="302"/>
      <c r="I27" s="302"/>
    </row>
    <row r="28" spans="1:9" ht="20.100000000000001" customHeight="1">
      <c r="A28" s="299" t="s">
        <v>366</v>
      </c>
      <c r="B28" s="300">
        <v>15756.451749494647</v>
      </c>
      <c r="C28" s="300">
        <v>64945.949241693052</v>
      </c>
      <c r="D28" s="301">
        <v>104.38848388946586</v>
      </c>
      <c r="E28" s="301">
        <v>115.70547307144085</v>
      </c>
      <c r="F28" s="301">
        <v>115.13492712399831</v>
      </c>
      <c r="G28" s="302"/>
      <c r="H28" s="302"/>
      <c r="I28" s="302"/>
    </row>
    <row r="29" spans="1:9" ht="20.100000000000001" customHeight="1">
      <c r="A29" s="299" t="s">
        <v>367</v>
      </c>
      <c r="B29" s="300">
        <v>8432.5264562900029</v>
      </c>
      <c r="C29" s="300">
        <v>32157.76263528999</v>
      </c>
      <c r="D29" s="301">
        <v>107</v>
      </c>
      <c r="E29" s="301">
        <v>117.03687918396861</v>
      </c>
      <c r="F29" s="301">
        <v>108.80751364936516</v>
      </c>
      <c r="G29" s="302"/>
      <c r="H29" s="302"/>
      <c r="I29" s="302"/>
    </row>
    <row r="30" spans="1:9" ht="20.100000000000001" customHeight="1">
      <c r="A30" s="307"/>
      <c r="B30" s="307"/>
      <c r="C30" s="307"/>
      <c r="D30" s="307"/>
      <c r="E30" s="307"/>
      <c r="F30" s="307"/>
      <c r="G30" s="282"/>
    </row>
    <row r="31" spans="1:9" ht="20.100000000000001" customHeight="1">
      <c r="A31" s="307"/>
      <c r="B31" s="307"/>
      <c r="C31" s="307"/>
      <c r="D31" s="307"/>
      <c r="E31" s="307"/>
      <c r="F31" s="307"/>
      <c r="G31" s="282"/>
    </row>
    <row r="32" spans="1:9" ht="20.100000000000001" customHeight="1">
      <c r="A32" s="307"/>
      <c r="B32" s="307"/>
      <c r="C32" s="307"/>
      <c r="D32" s="307"/>
      <c r="E32" s="307"/>
      <c r="F32" s="307"/>
      <c r="G32" s="282"/>
    </row>
    <row r="33" spans="1:7" ht="20.100000000000001" customHeight="1">
      <c r="A33" s="307"/>
      <c r="B33" s="307"/>
      <c r="C33" s="307"/>
      <c r="D33" s="307"/>
      <c r="E33" s="307"/>
      <c r="F33" s="307"/>
      <c r="G33" s="282"/>
    </row>
    <row r="34" spans="1:7" ht="20.100000000000001" customHeight="1">
      <c r="A34" s="307"/>
      <c r="B34" s="307"/>
      <c r="C34" s="307"/>
      <c r="D34" s="307"/>
      <c r="E34" s="307"/>
      <c r="F34" s="307"/>
      <c r="G34" s="282"/>
    </row>
    <row r="35" spans="1:7" ht="20.100000000000001" customHeight="1">
      <c r="A35" s="308"/>
      <c r="B35" s="308"/>
      <c r="C35" s="309"/>
      <c r="D35" s="309"/>
      <c r="E35" s="309"/>
      <c r="F35" s="308"/>
      <c r="G35" s="282"/>
    </row>
    <row r="36" spans="1:7" ht="20.100000000000001" customHeight="1">
      <c r="A36" s="308"/>
      <c r="B36" s="308"/>
      <c r="C36" s="309"/>
      <c r="D36" s="309"/>
      <c r="E36" s="309"/>
      <c r="F36" s="308"/>
      <c r="G36" s="282"/>
    </row>
    <row r="37" spans="1:7" ht="20.100000000000001" customHeight="1">
      <c r="A37" s="308"/>
      <c r="B37" s="308"/>
      <c r="C37" s="309"/>
      <c r="D37" s="309"/>
      <c r="E37" s="309"/>
      <c r="F37" s="308"/>
    </row>
    <row r="38" spans="1:7" ht="20.100000000000001" customHeight="1">
      <c r="A38" s="308"/>
      <c r="B38" s="308"/>
      <c r="C38" s="309"/>
      <c r="D38" s="309"/>
      <c r="E38" s="309"/>
      <c r="F38" s="308"/>
    </row>
    <row r="39" spans="1:7" ht="20.100000000000001" customHeight="1">
      <c r="A39" s="308"/>
      <c r="B39" s="308"/>
      <c r="C39" s="309"/>
      <c r="D39" s="309"/>
      <c r="E39" s="309"/>
      <c r="F39" s="308"/>
    </row>
    <row r="40" spans="1:7" ht="20.100000000000001" customHeight="1">
      <c r="A40" s="308"/>
      <c r="B40" s="308"/>
      <c r="C40" s="309"/>
      <c r="D40" s="309"/>
      <c r="E40" s="309"/>
      <c r="F40" s="308"/>
    </row>
    <row r="41" spans="1:7" ht="20.100000000000001" customHeight="1">
      <c r="A41" s="308"/>
      <c r="B41" s="308"/>
      <c r="C41" s="309"/>
      <c r="D41" s="309"/>
      <c r="E41" s="309"/>
      <c r="F41" s="308"/>
    </row>
    <row r="42" spans="1:7" ht="20.100000000000001" customHeight="1">
      <c r="A42" s="308"/>
      <c r="B42" s="308"/>
      <c r="C42" s="309"/>
      <c r="D42" s="309"/>
      <c r="E42" s="309"/>
      <c r="F42" s="308"/>
    </row>
    <row r="43" spans="1:7" ht="20.100000000000001" customHeight="1">
      <c r="A43" s="308"/>
      <c r="B43" s="308"/>
      <c r="C43" s="309"/>
      <c r="D43" s="309"/>
      <c r="E43" s="309"/>
      <c r="F43" s="308"/>
    </row>
    <row r="44" spans="1:7" ht="20.100000000000001" customHeight="1">
      <c r="A44" s="308"/>
      <c r="B44" s="308"/>
      <c r="C44" s="309"/>
      <c r="D44" s="309"/>
      <c r="E44" s="309"/>
      <c r="F44" s="308"/>
    </row>
    <row r="45" spans="1:7" ht="20.100000000000001" customHeight="1">
      <c r="A45" s="308"/>
      <c r="B45" s="308"/>
      <c r="C45" s="309"/>
      <c r="D45" s="309"/>
      <c r="E45" s="309"/>
      <c r="F45" s="308"/>
    </row>
    <row r="46" spans="1:7" ht="20.100000000000001" customHeight="1">
      <c r="A46" s="308"/>
      <c r="B46" s="308"/>
      <c r="C46" s="309"/>
      <c r="D46" s="309"/>
      <c r="E46" s="309"/>
      <c r="F46" s="308"/>
    </row>
    <row r="47" spans="1:7" ht="20.100000000000001" customHeight="1">
      <c r="A47" s="308"/>
      <c r="B47" s="308"/>
      <c r="C47" s="309"/>
      <c r="D47" s="309"/>
      <c r="E47" s="309"/>
      <c r="F47" s="308"/>
    </row>
    <row r="48" spans="1:7" ht="14.1" customHeight="1">
      <c r="A48" s="308"/>
      <c r="B48" s="308"/>
      <c r="C48" s="309"/>
      <c r="D48" s="309"/>
      <c r="E48" s="309"/>
      <c r="F48" s="308"/>
    </row>
    <row r="49" spans="1:6" ht="14.1" customHeight="1">
      <c r="A49" s="308"/>
      <c r="B49" s="308"/>
      <c r="C49" s="309"/>
      <c r="D49" s="309"/>
      <c r="E49" s="309"/>
      <c r="F49" s="308"/>
    </row>
    <row r="50" spans="1:6" ht="14.1" customHeight="1">
      <c r="A50" s="308"/>
      <c r="B50" s="308"/>
      <c r="C50" s="309"/>
      <c r="D50" s="309"/>
      <c r="E50" s="309"/>
      <c r="F50" s="308"/>
    </row>
    <row r="51" spans="1:6" ht="14.1" customHeight="1">
      <c r="A51" s="308"/>
      <c r="B51" s="308"/>
      <c r="C51" s="309"/>
      <c r="D51" s="309"/>
      <c r="E51" s="309"/>
      <c r="F51" s="308"/>
    </row>
    <row r="52" spans="1:6" ht="14.1" customHeight="1">
      <c r="A52" s="308"/>
      <c r="B52" s="308"/>
      <c r="C52" s="309"/>
      <c r="D52" s="309"/>
      <c r="E52" s="309"/>
      <c r="F52" s="308"/>
    </row>
    <row r="53" spans="1:6" ht="14.1" customHeight="1">
      <c r="A53" s="308"/>
      <c r="B53" s="308"/>
      <c r="C53" s="309"/>
      <c r="D53" s="309"/>
      <c r="E53" s="309"/>
      <c r="F53" s="308"/>
    </row>
    <row r="54" spans="1:6" ht="14.1" customHeight="1">
      <c r="A54" s="308"/>
      <c r="B54" s="308"/>
      <c r="C54" s="309"/>
      <c r="D54" s="309"/>
      <c r="E54" s="309"/>
      <c r="F54" s="308"/>
    </row>
    <row r="55" spans="1:6" ht="18" customHeight="1">
      <c r="A55" s="308"/>
      <c r="B55" s="308"/>
      <c r="C55" s="309"/>
      <c r="D55" s="309"/>
      <c r="E55" s="309"/>
      <c r="F55" s="308"/>
    </row>
    <row r="56" spans="1:6" ht="18" customHeight="1">
      <c r="A56" s="308"/>
      <c r="B56" s="308"/>
      <c r="C56" s="309"/>
      <c r="D56" s="309"/>
      <c r="E56" s="309"/>
      <c r="F56" s="308"/>
    </row>
    <row r="57" spans="1:6" ht="18" customHeight="1">
      <c r="A57" s="308"/>
      <c r="B57" s="308"/>
      <c r="C57" s="309"/>
      <c r="D57" s="309"/>
      <c r="E57" s="309"/>
      <c r="F57" s="308"/>
    </row>
    <row r="58" spans="1:6" ht="18" customHeight="1">
      <c r="A58" s="308"/>
      <c r="B58" s="308"/>
      <c r="C58" s="309"/>
      <c r="D58" s="309"/>
      <c r="E58" s="309"/>
      <c r="F58" s="308"/>
    </row>
    <row r="59" spans="1:6" ht="18" customHeight="1">
      <c r="A59" s="308"/>
      <c r="B59" s="308"/>
      <c r="C59" s="309"/>
      <c r="D59" s="309"/>
      <c r="E59" s="309"/>
      <c r="F59" s="308"/>
    </row>
    <row r="60" spans="1:6">
      <c r="A60" s="308"/>
      <c r="B60" s="308"/>
      <c r="C60" s="309"/>
      <c r="D60" s="309"/>
      <c r="E60" s="309"/>
      <c r="F60" s="308"/>
    </row>
    <row r="61" spans="1:6">
      <c r="A61" s="308"/>
      <c r="B61" s="308"/>
      <c r="C61" s="309"/>
      <c r="D61" s="309"/>
      <c r="E61" s="309"/>
      <c r="F61" s="308"/>
    </row>
    <row r="62" spans="1:6">
      <c r="A62" s="308"/>
      <c r="B62" s="308"/>
      <c r="C62" s="309"/>
      <c r="D62" s="309"/>
      <c r="E62" s="309"/>
      <c r="F62" s="308"/>
    </row>
    <row r="63" spans="1:6">
      <c r="A63" s="308"/>
      <c r="B63" s="308"/>
      <c r="C63" s="309"/>
      <c r="D63" s="309"/>
      <c r="E63" s="309"/>
      <c r="F63" s="308"/>
    </row>
    <row r="64" spans="1:6">
      <c r="A64" s="308"/>
      <c r="B64" s="308"/>
      <c r="C64" s="309"/>
      <c r="D64" s="309"/>
      <c r="E64" s="309"/>
      <c r="F64" s="308"/>
    </row>
    <row r="65" spans="1:6">
      <c r="A65" s="308"/>
      <c r="B65" s="308"/>
      <c r="C65" s="309"/>
      <c r="D65" s="309"/>
      <c r="E65" s="309"/>
      <c r="F65" s="308"/>
    </row>
    <row r="66" spans="1:6">
      <c r="A66" s="308"/>
      <c r="B66" s="308"/>
      <c r="C66" s="309"/>
      <c r="D66" s="309"/>
      <c r="E66" s="309"/>
      <c r="F66" s="308"/>
    </row>
    <row r="67" spans="1:6">
      <c r="A67" s="308"/>
      <c r="B67" s="308"/>
      <c r="C67" s="309"/>
      <c r="D67" s="309"/>
      <c r="E67" s="309"/>
      <c r="F67" s="308"/>
    </row>
    <row r="68" spans="1:6">
      <c r="A68" s="308"/>
      <c r="B68" s="308"/>
      <c r="C68" s="309"/>
      <c r="D68" s="309"/>
      <c r="E68" s="309"/>
      <c r="F68" s="308"/>
    </row>
    <row r="69" spans="1:6">
      <c r="A69" s="308"/>
      <c r="B69" s="308"/>
      <c r="C69" s="309"/>
      <c r="D69" s="309"/>
      <c r="E69" s="309"/>
      <c r="F69" s="308"/>
    </row>
    <row r="70" spans="1:6">
      <c r="A70" s="308"/>
      <c r="B70" s="308"/>
      <c r="C70" s="309"/>
      <c r="D70" s="309"/>
      <c r="E70" s="309"/>
      <c r="F70" s="308"/>
    </row>
    <row r="71" spans="1:6">
      <c r="A71" s="308"/>
      <c r="B71" s="308"/>
      <c r="C71" s="309"/>
      <c r="D71" s="309"/>
      <c r="E71" s="309"/>
      <c r="F71" s="308"/>
    </row>
    <row r="72" spans="1:6">
      <c r="A72" s="308"/>
      <c r="B72" s="308"/>
      <c r="C72" s="309"/>
      <c r="D72" s="309"/>
      <c r="E72" s="309"/>
      <c r="F72" s="308"/>
    </row>
    <row r="73" spans="1:6">
      <c r="A73" s="308"/>
      <c r="B73" s="308"/>
      <c r="C73" s="309"/>
      <c r="D73" s="309"/>
      <c r="E73" s="309"/>
      <c r="F73" s="308"/>
    </row>
    <row r="74" spans="1:6">
      <c r="A74" s="308"/>
      <c r="B74" s="308"/>
      <c r="C74" s="309"/>
      <c r="D74" s="309"/>
      <c r="E74" s="309"/>
      <c r="F74" s="308"/>
    </row>
    <row r="75" spans="1:6">
      <c r="A75" s="308"/>
      <c r="B75" s="308"/>
      <c r="C75" s="309"/>
      <c r="D75" s="309"/>
      <c r="E75" s="309"/>
      <c r="F75" s="308"/>
    </row>
    <row r="76" spans="1:6">
      <c r="A76" s="308"/>
      <c r="B76" s="308"/>
      <c r="C76" s="309"/>
      <c r="D76" s="309"/>
      <c r="E76" s="309"/>
      <c r="F76" s="308"/>
    </row>
    <row r="77" spans="1:6">
      <c r="A77" s="308"/>
      <c r="B77" s="308"/>
      <c r="C77" s="309"/>
      <c r="D77" s="309"/>
      <c r="E77" s="309"/>
      <c r="F77" s="308"/>
    </row>
    <row r="78" spans="1:6">
      <c r="A78" s="308"/>
      <c r="B78" s="308"/>
      <c r="C78" s="309"/>
      <c r="D78" s="309"/>
      <c r="E78" s="309"/>
      <c r="F78" s="308"/>
    </row>
    <row r="79" spans="1:6">
      <c r="A79" s="308"/>
      <c r="B79" s="308"/>
      <c r="C79" s="309"/>
      <c r="D79" s="309"/>
      <c r="E79" s="309"/>
      <c r="F79" s="308"/>
    </row>
    <row r="80" spans="1:6">
      <c r="A80" s="308"/>
      <c r="B80" s="308"/>
      <c r="C80" s="309"/>
      <c r="D80" s="309"/>
      <c r="E80" s="309"/>
      <c r="F80" s="308"/>
    </row>
    <row r="81" spans="1:6">
      <c r="A81" s="308"/>
      <c r="B81" s="308"/>
      <c r="C81" s="309"/>
      <c r="D81" s="309"/>
      <c r="E81" s="309"/>
      <c r="F81" s="308"/>
    </row>
    <row r="82" spans="1:6">
      <c r="A82" s="308"/>
      <c r="B82" s="308"/>
      <c r="C82" s="309"/>
      <c r="D82" s="309"/>
      <c r="E82" s="309"/>
      <c r="F82" s="308"/>
    </row>
    <row r="83" spans="1:6">
      <c r="A83" s="308"/>
      <c r="B83" s="308"/>
      <c r="C83" s="309"/>
      <c r="D83" s="309"/>
      <c r="E83" s="309"/>
      <c r="F83" s="308"/>
    </row>
    <row r="84" spans="1:6">
      <c r="A84" s="308"/>
      <c r="B84" s="308"/>
      <c r="C84" s="309"/>
      <c r="D84" s="309"/>
      <c r="E84" s="309"/>
      <c r="F84" s="308"/>
    </row>
    <row r="85" spans="1:6">
      <c r="A85" s="308"/>
      <c r="B85" s="308"/>
      <c r="C85" s="309"/>
      <c r="D85" s="309"/>
      <c r="E85" s="309"/>
      <c r="F85" s="308"/>
    </row>
    <row r="86" spans="1:6">
      <c r="A86" s="308"/>
      <c r="B86" s="308"/>
      <c r="C86" s="309"/>
      <c r="D86" s="309"/>
      <c r="E86" s="309"/>
      <c r="F86" s="308"/>
    </row>
    <row r="87" spans="1:6">
      <c r="A87" s="308"/>
      <c r="B87" s="308"/>
      <c r="C87" s="309"/>
      <c r="D87" s="309"/>
      <c r="E87" s="309"/>
      <c r="F87" s="308"/>
    </row>
    <row r="88" spans="1:6">
      <c r="A88" s="308"/>
      <c r="B88" s="308"/>
      <c r="C88" s="309"/>
      <c r="D88" s="309"/>
      <c r="E88" s="309"/>
      <c r="F88" s="308"/>
    </row>
    <row r="89" spans="1:6">
      <c r="A89" s="308"/>
      <c r="B89" s="308"/>
      <c r="C89" s="309"/>
      <c r="D89" s="309"/>
      <c r="E89" s="309"/>
      <c r="F89" s="308"/>
    </row>
    <row r="90" spans="1:6">
      <c r="A90" s="308"/>
      <c r="B90" s="308"/>
      <c r="C90" s="309"/>
      <c r="D90" s="309"/>
      <c r="E90" s="309"/>
      <c r="F90" s="308"/>
    </row>
    <row r="91" spans="1:6">
      <c r="A91" s="308"/>
      <c r="B91" s="308"/>
      <c r="C91" s="309"/>
      <c r="D91" s="309"/>
      <c r="E91" s="309"/>
      <c r="F91" s="308"/>
    </row>
    <row r="92" spans="1:6">
      <c r="A92" s="308"/>
      <c r="B92" s="308"/>
      <c r="C92" s="309"/>
      <c r="D92" s="309"/>
      <c r="E92" s="309"/>
      <c r="F92" s="308"/>
    </row>
    <row r="93" spans="1:6">
      <c r="A93" s="308"/>
      <c r="B93" s="308"/>
      <c r="C93" s="309"/>
      <c r="D93" s="309"/>
      <c r="E93" s="309"/>
      <c r="F93" s="308"/>
    </row>
    <row r="94" spans="1:6">
      <c r="A94" s="308"/>
      <c r="B94" s="308"/>
      <c r="C94" s="309"/>
      <c r="D94" s="309"/>
      <c r="E94" s="309"/>
      <c r="F94" s="308"/>
    </row>
    <row r="95" spans="1:6">
      <c r="A95" s="308"/>
      <c r="B95" s="308"/>
      <c r="C95" s="309"/>
      <c r="D95" s="309"/>
      <c r="E95" s="309"/>
      <c r="F95" s="308"/>
    </row>
    <row r="96" spans="1:6">
      <c r="A96" s="308"/>
      <c r="B96" s="308"/>
      <c r="C96" s="309"/>
      <c r="D96" s="309"/>
      <c r="E96" s="309"/>
      <c r="F96" s="308"/>
    </row>
    <row r="97" spans="1:6">
      <c r="A97" s="308"/>
      <c r="B97" s="308"/>
      <c r="C97" s="309"/>
      <c r="D97" s="309"/>
      <c r="E97" s="309"/>
      <c r="F97" s="308"/>
    </row>
    <row r="98" spans="1:6">
      <c r="A98" s="308"/>
      <c r="B98" s="308"/>
      <c r="C98" s="309"/>
      <c r="D98" s="309"/>
      <c r="E98" s="309"/>
      <c r="F98" s="308"/>
    </row>
    <row r="99" spans="1:6">
      <c r="A99" s="308"/>
      <c r="B99" s="308"/>
      <c r="C99" s="309"/>
      <c r="D99" s="309"/>
      <c r="E99" s="309"/>
      <c r="F99" s="308"/>
    </row>
    <row r="100" spans="1:6">
      <c r="A100" s="308"/>
      <c r="B100" s="308"/>
      <c r="C100" s="309"/>
      <c r="D100" s="309"/>
      <c r="E100" s="309"/>
      <c r="F100" s="308"/>
    </row>
    <row r="101" spans="1:6">
      <c r="A101" s="308"/>
      <c r="B101" s="308"/>
      <c r="C101" s="309"/>
      <c r="D101" s="309"/>
      <c r="E101" s="309"/>
      <c r="F101" s="308"/>
    </row>
    <row r="102" spans="1:6">
      <c r="A102" s="308"/>
      <c r="B102" s="308"/>
      <c r="C102" s="309"/>
      <c r="D102" s="309"/>
      <c r="E102" s="309"/>
      <c r="F102" s="308"/>
    </row>
    <row r="103" spans="1:6">
      <c r="A103" s="308"/>
      <c r="B103" s="308"/>
      <c r="C103" s="309"/>
      <c r="D103" s="309"/>
      <c r="E103" s="309"/>
      <c r="F103" s="308"/>
    </row>
    <row r="104" spans="1:6">
      <c r="A104" s="308"/>
      <c r="B104" s="308"/>
      <c r="C104" s="309"/>
      <c r="D104" s="309"/>
      <c r="E104" s="309"/>
      <c r="F104" s="308"/>
    </row>
    <row r="105" spans="1:6">
      <c r="A105" s="308"/>
      <c r="B105" s="308"/>
      <c r="C105" s="309"/>
      <c r="D105" s="309"/>
      <c r="E105" s="309"/>
      <c r="F105" s="308"/>
    </row>
    <row r="106" spans="1:6">
      <c r="A106" s="308"/>
      <c r="B106" s="308"/>
      <c r="C106" s="309"/>
      <c r="D106" s="309"/>
      <c r="E106" s="309"/>
      <c r="F106" s="308"/>
    </row>
    <row r="107" spans="1:6">
      <c r="A107" s="308"/>
      <c r="B107" s="308"/>
      <c r="C107" s="309"/>
      <c r="D107" s="309"/>
      <c r="E107" s="309"/>
      <c r="F107" s="308"/>
    </row>
    <row r="108" spans="1:6">
      <c r="A108" s="308"/>
      <c r="B108" s="308"/>
      <c r="C108" s="309"/>
      <c r="D108" s="309"/>
      <c r="E108" s="309"/>
      <c r="F108" s="308"/>
    </row>
    <row r="109" spans="1:6">
      <c r="A109" s="308"/>
      <c r="B109" s="308"/>
      <c r="C109" s="309"/>
      <c r="D109" s="309"/>
      <c r="E109" s="309"/>
      <c r="F109" s="308"/>
    </row>
    <row r="110" spans="1:6">
      <c r="A110" s="308"/>
      <c r="B110" s="308"/>
      <c r="C110" s="309"/>
      <c r="D110" s="309"/>
      <c r="E110" s="309"/>
      <c r="F110" s="308"/>
    </row>
    <row r="111" spans="1:6">
      <c r="A111" s="308"/>
      <c r="B111" s="308"/>
      <c r="C111" s="309"/>
      <c r="D111" s="309"/>
      <c r="E111" s="309"/>
      <c r="F111" s="308"/>
    </row>
    <row r="112" spans="1:6">
      <c r="A112" s="308"/>
      <c r="B112" s="308"/>
      <c r="C112" s="309"/>
      <c r="D112" s="309"/>
      <c r="E112" s="309"/>
      <c r="F112" s="308"/>
    </row>
    <row r="113" spans="1:6">
      <c r="A113" s="308"/>
      <c r="B113" s="308"/>
      <c r="C113" s="309"/>
      <c r="D113" s="309"/>
      <c r="E113" s="309"/>
      <c r="F113" s="308"/>
    </row>
    <row r="114" spans="1:6">
      <c r="A114" s="308"/>
      <c r="B114" s="308"/>
      <c r="C114" s="309"/>
      <c r="D114" s="309"/>
      <c r="E114" s="309"/>
      <c r="F114" s="308"/>
    </row>
    <row r="115" spans="1:6">
      <c r="A115" s="308"/>
      <c r="B115" s="308"/>
      <c r="C115" s="309"/>
      <c r="D115" s="309"/>
      <c r="E115" s="309"/>
      <c r="F115" s="308"/>
    </row>
    <row r="116" spans="1:6">
      <c r="A116" s="308"/>
      <c r="B116" s="308"/>
      <c r="C116" s="309"/>
      <c r="D116" s="309"/>
      <c r="E116" s="309"/>
      <c r="F116" s="308"/>
    </row>
    <row r="117" spans="1:6">
      <c r="A117" s="308"/>
      <c r="B117" s="308"/>
      <c r="C117" s="309"/>
      <c r="D117" s="309"/>
      <c r="E117" s="309"/>
      <c r="F117" s="308"/>
    </row>
    <row r="118" spans="1:6">
      <c r="A118" s="308"/>
      <c r="B118" s="308"/>
      <c r="C118" s="309"/>
      <c r="D118" s="309"/>
      <c r="E118" s="309"/>
      <c r="F118" s="308"/>
    </row>
    <row r="119" spans="1:6">
      <c r="A119" s="308"/>
      <c r="B119" s="308"/>
      <c r="C119" s="309"/>
      <c r="D119" s="309"/>
      <c r="E119" s="309"/>
      <c r="F119" s="308"/>
    </row>
    <row r="120" spans="1:6">
      <c r="A120" s="308"/>
      <c r="B120" s="308"/>
      <c r="C120" s="309"/>
      <c r="D120" s="309"/>
      <c r="E120" s="309"/>
      <c r="F120" s="308"/>
    </row>
    <row r="121" spans="1:6">
      <c r="A121" s="308"/>
      <c r="B121" s="308"/>
      <c r="C121" s="309"/>
      <c r="D121" s="309"/>
      <c r="E121" s="309"/>
      <c r="F121" s="308"/>
    </row>
    <row r="122" spans="1:6">
      <c r="A122" s="308"/>
      <c r="B122" s="308"/>
      <c r="C122" s="309"/>
      <c r="D122" s="309"/>
      <c r="E122" s="309"/>
      <c r="F122" s="308"/>
    </row>
    <row r="123" spans="1:6">
      <c r="A123" s="308"/>
      <c r="B123" s="308"/>
      <c r="C123" s="309"/>
      <c r="D123" s="309"/>
      <c r="E123" s="309"/>
      <c r="F123" s="308"/>
    </row>
    <row r="124" spans="1:6">
      <c r="A124" s="308"/>
      <c r="B124" s="308"/>
      <c r="C124" s="309"/>
      <c r="D124" s="309"/>
      <c r="E124" s="309"/>
      <c r="F124" s="308"/>
    </row>
    <row r="125" spans="1:6">
      <c r="A125" s="308"/>
      <c r="B125" s="308"/>
      <c r="C125" s="309"/>
      <c r="D125" s="309"/>
      <c r="E125" s="309"/>
      <c r="F125" s="308"/>
    </row>
    <row r="126" spans="1:6">
      <c r="A126" s="308"/>
      <c r="B126" s="308"/>
      <c r="C126" s="309"/>
      <c r="D126" s="309"/>
      <c r="E126" s="309"/>
      <c r="F126" s="308"/>
    </row>
    <row r="127" spans="1:6">
      <c r="A127" s="308"/>
      <c r="B127" s="308"/>
      <c r="C127" s="309"/>
      <c r="D127" s="309"/>
      <c r="E127" s="309"/>
      <c r="F127" s="308"/>
    </row>
    <row r="128" spans="1:6">
      <c r="A128" s="308"/>
      <c r="B128" s="308"/>
      <c r="C128" s="309"/>
      <c r="D128" s="309"/>
      <c r="E128" s="309"/>
      <c r="F128" s="308"/>
    </row>
    <row r="129" spans="1:6">
      <c r="A129" s="308"/>
      <c r="B129" s="308"/>
      <c r="C129" s="309"/>
      <c r="D129" s="309"/>
      <c r="E129" s="309"/>
      <c r="F129" s="308"/>
    </row>
    <row r="130" spans="1:6">
      <c r="A130" s="308"/>
      <c r="B130" s="308"/>
      <c r="C130" s="309"/>
      <c r="D130" s="309"/>
      <c r="E130" s="309"/>
      <c r="F130" s="308"/>
    </row>
    <row r="131" spans="1:6">
      <c r="A131" s="308"/>
      <c r="B131" s="308"/>
      <c r="C131" s="309"/>
      <c r="D131" s="309"/>
      <c r="E131" s="309"/>
      <c r="F131" s="308"/>
    </row>
    <row r="132" spans="1:6">
      <c r="A132" s="308"/>
      <c r="B132" s="308"/>
      <c r="C132" s="309"/>
      <c r="D132" s="309"/>
      <c r="E132" s="309"/>
      <c r="F132" s="308"/>
    </row>
    <row r="133" spans="1:6">
      <c r="A133" s="308"/>
      <c r="B133" s="308"/>
      <c r="C133" s="309"/>
      <c r="D133" s="309"/>
      <c r="E133" s="309"/>
      <c r="F133" s="308"/>
    </row>
    <row r="134" spans="1:6">
      <c r="A134" s="308"/>
      <c r="B134" s="308"/>
      <c r="C134" s="309"/>
      <c r="D134" s="309"/>
      <c r="E134" s="309"/>
      <c r="F134" s="308"/>
    </row>
    <row r="135" spans="1:6">
      <c r="A135" s="308"/>
      <c r="B135" s="308"/>
      <c r="C135" s="309"/>
      <c r="D135" s="309"/>
      <c r="E135" s="309"/>
      <c r="F135" s="308"/>
    </row>
    <row r="136" spans="1:6">
      <c r="A136" s="308"/>
      <c r="B136" s="308"/>
      <c r="C136" s="309"/>
      <c r="D136" s="309"/>
      <c r="E136" s="309"/>
      <c r="F136" s="308"/>
    </row>
    <row r="137" spans="1:6">
      <c r="A137" s="308"/>
      <c r="B137" s="308"/>
      <c r="C137" s="309"/>
      <c r="D137" s="309"/>
      <c r="E137" s="309"/>
      <c r="F137" s="308"/>
    </row>
    <row r="138" spans="1:6">
      <c r="A138" s="308"/>
      <c r="B138" s="308"/>
      <c r="C138" s="309"/>
      <c r="D138" s="309"/>
      <c r="E138" s="309"/>
      <c r="F138" s="308"/>
    </row>
    <row r="139" spans="1:6">
      <c r="A139" s="308"/>
      <c r="B139" s="308"/>
      <c r="C139" s="309"/>
      <c r="D139" s="309"/>
      <c r="E139" s="309"/>
      <c r="F139" s="308"/>
    </row>
    <row r="140" spans="1:6">
      <c r="A140" s="308"/>
      <c r="B140" s="308"/>
      <c r="C140" s="309"/>
      <c r="D140" s="309"/>
      <c r="E140" s="309"/>
      <c r="F140" s="308"/>
    </row>
    <row r="141" spans="1:6">
      <c r="A141" s="308"/>
      <c r="B141" s="308"/>
      <c r="C141" s="309"/>
      <c r="D141" s="309"/>
      <c r="E141" s="309"/>
      <c r="F141" s="308"/>
    </row>
    <row r="142" spans="1:6">
      <c r="A142" s="308"/>
      <c r="B142" s="308"/>
      <c r="C142" s="309"/>
      <c r="D142" s="309"/>
      <c r="E142" s="309"/>
      <c r="F142" s="308"/>
    </row>
    <row r="143" spans="1:6">
      <c r="A143" s="308"/>
      <c r="B143" s="308"/>
      <c r="C143" s="309"/>
      <c r="D143" s="309"/>
      <c r="E143" s="309"/>
      <c r="F143" s="308"/>
    </row>
    <row r="144" spans="1:6">
      <c r="A144" s="308"/>
      <c r="B144" s="308"/>
      <c r="C144" s="309"/>
      <c r="D144" s="309"/>
      <c r="E144" s="309"/>
      <c r="F144" s="308"/>
    </row>
    <row r="145" spans="1:6">
      <c r="A145" s="308"/>
      <c r="B145" s="308"/>
      <c r="C145" s="309"/>
      <c r="D145" s="309"/>
      <c r="E145" s="309"/>
      <c r="F145" s="308"/>
    </row>
    <row r="146" spans="1:6">
      <c r="A146" s="308"/>
      <c r="B146" s="308"/>
      <c r="C146" s="309"/>
      <c r="D146" s="309"/>
      <c r="E146" s="309"/>
      <c r="F146" s="308"/>
    </row>
    <row r="147" spans="1:6">
      <c r="A147" s="308"/>
      <c r="B147" s="308"/>
      <c r="C147" s="309"/>
      <c r="D147" s="309"/>
      <c r="E147" s="309"/>
      <c r="F147" s="308"/>
    </row>
    <row r="148" spans="1:6">
      <c r="A148" s="308"/>
      <c r="B148" s="308"/>
      <c r="C148" s="309"/>
      <c r="D148" s="309"/>
      <c r="E148" s="309"/>
      <c r="F148" s="308"/>
    </row>
    <row r="149" spans="1:6">
      <c r="A149" s="308"/>
      <c r="B149" s="308"/>
      <c r="C149" s="309"/>
      <c r="D149" s="309"/>
      <c r="E149" s="309"/>
      <c r="F149" s="308"/>
    </row>
    <row r="150" spans="1:6" ht="18.75">
      <c r="A150" s="308"/>
      <c r="B150" s="308"/>
      <c r="C150" s="309"/>
      <c r="D150" s="309"/>
      <c r="E150" s="309"/>
      <c r="F150" s="310"/>
    </row>
    <row r="151" spans="1:6" ht="18.75">
      <c r="A151" s="310"/>
      <c r="B151" s="310"/>
      <c r="C151" s="311"/>
      <c r="D151" s="311"/>
      <c r="E151" s="311"/>
      <c r="F151" s="310"/>
    </row>
    <row r="152" spans="1:6" ht="18.75">
      <c r="A152" s="310"/>
      <c r="B152" s="310"/>
      <c r="C152" s="311"/>
      <c r="D152" s="311"/>
      <c r="E152" s="311"/>
      <c r="F152" s="310"/>
    </row>
    <row r="153" spans="1:6">
      <c r="C153" s="311"/>
      <c r="D153" s="311"/>
      <c r="E153" s="311"/>
    </row>
    <row r="154" spans="1:6">
      <c r="C154" s="311"/>
      <c r="D154" s="311"/>
      <c r="E154" s="311"/>
    </row>
    <row r="155" spans="1:6">
      <c r="C155" s="311"/>
      <c r="D155" s="311"/>
      <c r="E155" s="311"/>
    </row>
    <row r="156" spans="1:6">
      <c r="C156" s="311"/>
      <c r="D156" s="311"/>
      <c r="E156" s="311"/>
    </row>
    <row r="157" spans="1:6">
      <c r="C157" s="311"/>
      <c r="D157" s="311"/>
      <c r="E157" s="311"/>
    </row>
    <row r="158" spans="1:6">
      <c r="C158" s="311"/>
      <c r="D158" s="311"/>
      <c r="E158" s="311"/>
    </row>
    <row r="159" spans="1:6">
      <c r="C159" s="311"/>
      <c r="D159" s="311"/>
      <c r="E159" s="311"/>
    </row>
    <row r="160" spans="1:6">
      <c r="C160" s="311"/>
      <c r="D160" s="311"/>
      <c r="E160" s="311"/>
    </row>
    <row r="161" spans="3:5">
      <c r="C161" s="311"/>
      <c r="D161" s="311"/>
      <c r="E161" s="311"/>
    </row>
    <row r="162" spans="3:5">
      <c r="C162" s="311"/>
      <c r="D162" s="311"/>
      <c r="E162" s="311"/>
    </row>
    <row r="163" spans="3:5">
      <c r="C163" s="311"/>
      <c r="D163" s="311"/>
      <c r="E163" s="311"/>
    </row>
    <row r="164" spans="3:5">
      <c r="C164" s="311"/>
      <c r="D164" s="311"/>
      <c r="E164" s="311"/>
    </row>
    <row r="165" spans="3:5">
      <c r="C165" s="311"/>
      <c r="D165" s="311"/>
      <c r="E165" s="311"/>
    </row>
    <row r="166" spans="3:5">
      <c r="C166" s="311"/>
      <c r="D166" s="311"/>
      <c r="E166" s="311"/>
    </row>
    <row r="167" spans="3:5">
      <c r="C167" s="311"/>
      <c r="D167" s="311"/>
      <c r="E167" s="311"/>
    </row>
    <row r="168" spans="3:5">
      <c r="C168" s="311"/>
      <c r="D168" s="311"/>
      <c r="E168" s="311"/>
    </row>
    <row r="169" spans="3:5">
      <c r="C169" s="311"/>
      <c r="D169" s="311"/>
      <c r="E169" s="311"/>
    </row>
    <row r="170" spans="3:5">
      <c r="C170" s="311"/>
      <c r="D170" s="311"/>
      <c r="E170" s="311"/>
    </row>
    <row r="171" spans="3:5">
      <c r="C171" s="311"/>
      <c r="D171" s="311"/>
      <c r="E171" s="311"/>
    </row>
    <row r="172" spans="3:5">
      <c r="C172" s="311"/>
      <c r="D172" s="311"/>
      <c r="E172" s="311"/>
    </row>
    <row r="173" spans="3:5">
      <c r="C173" s="311"/>
      <c r="D173" s="311"/>
      <c r="E173" s="311"/>
    </row>
    <row r="174" spans="3:5">
      <c r="C174" s="311"/>
      <c r="D174" s="311"/>
      <c r="E174" s="311"/>
    </row>
    <row r="175" spans="3:5">
      <c r="C175" s="311"/>
      <c r="D175" s="311"/>
      <c r="E175" s="311"/>
    </row>
    <row r="176" spans="3:5">
      <c r="C176" s="311"/>
      <c r="D176" s="311"/>
      <c r="E176" s="311"/>
    </row>
    <row r="177" spans="3:5">
      <c r="C177" s="311"/>
      <c r="D177" s="311"/>
      <c r="E177" s="311"/>
    </row>
    <row r="178" spans="3:5">
      <c r="C178" s="311"/>
      <c r="D178" s="311"/>
      <c r="E178" s="311"/>
    </row>
    <row r="179" spans="3:5">
      <c r="C179" s="311"/>
      <c r="D179" s="311"/>
      <c r="E179" s="311"/>
    </row>
    <row r="180" spans="3:5">
      <c r="C180" s="311"/>
      <c r="D180" s="311"/>
      <c r="E180" s="311"/>
    </row>
    <row r="181" spans="3:5">
      <c r="C181" s="311"/>
      <c r="D181" s="311"/>
      <c r="E181" s="311"/>
    </row>
    <row r="182" spans="3:5">
      <c r="C182" s="311"/>
      <c r="D182" s="311"/>
      <c r="E182" s="311"/>
    </row>
    <row r="183" spans="3:5">
      <c r="C183" s="311"/>
      <c r="D183" s="311"/>
      <c r="E183" s="311"/>
    </row>
    <row r="184" spans="3:5">
      <c r="C184" s="311"/>
      <c r="D184" s="311"/>
      <c r="E184" s="311"/>
    </row>
    <row r="185" spans="3:5">
      <c r="C185" s="311"/>
      <c r="D185" s="311"/>
      <c r="E185" s="311"/>
    </row>
    <row r="186" spans="3:5">
      <c r="C186" s="311"/>
      <c r="D186" s="311"/>
      <c r="E186" s="311"/>
    </row>
    <row r="187" spans="3:5">
      <c r="C187" s="311"/>
      <c r="D187" s="311"/>
      <c r="E187" s="311"/>
    </row>
    <row r="188" spans="3:5">
      <c r="C188" s="311"/>
      <c r="D188" s="311"/>
      <c r="E188" s="311"/>
    </row>
    <row r="189" spans="3:5">
      <c r="C189" s="311"/>
      <c r="D189" s="311"/>
      <c r="E189" s="311"/>
    </row>
    <row r="190" spans="3:5">
      <c r="C190" s="311"/>
      <c r="D190" s="311"/>
      <c r="E190" s="311"/>
    </row>
    <row r="191" spans="3:5">
      <c r="C191" s="311"/>
      <c r="D191" s="311"/>
      <c r="E191" s="311"/>
    </row>
    <row r="192" spans="3:5">
      <c r="C192" s="311"/>
      <c r="D192" s="311"/>
      <c r="E192" s="311"/>
    </row>
    <row r="193" spans="3:5">
      <c r="C193" s="311"/>
      <c r="D193" s="311"/>
      <c r="E193" s="311"/>
    </row>
    <row r="194" spans="3:5">
      <c r="C194" s="311"/>
      <c r="D194" s="311"/>
      <c r="E194" s="311"/>
    </row>
    <row r="195" spans="3:5">
      <c r="C195" s="311"/>
      <c r="D195" s="311"/>
      <c r="E195" s="311"/>
    </row>
    <row r="196" spans="3:5">
      <c r="C196" s="311"/>
      <c r="D196" s="311"/>
      <c r="E196" s="311"/>
    </row>
    <row r="197" spans="3:5">
      <c r="C197" s="311"/>
      <c r="D197" s="311"/>
      <c r="E197" s="311"/>
    </row>
    <row r="198" spans="3:5">
      <c r="C198" s="311"/>
      <c r="D198" s="311"/>
      <c r="E198" s="311"/>
    </row>
  </sheetData>
  <pageMargins left="0.78740157480314998" right="0.47244094488188998" top="0.74803149606299202" bottom="0.47244094488188998" header="0.43307086614173201" footer="0.31496062992126"/>
  <pageSetup paperSize="9" firstPageNumber="19" fitToHeight="0" orientation="portrait" r:id="rId1"/>
  <headerFooter alignWithMargins="0">
    <oddHeader>&amp;C&amp;"Times New Roman,Regular"&amp;13&amp;P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18626-D228-4E78-A797-FAD7925662EB}">
  <sheetPr>
    <pageSetUpPr fitToPage="1"/>
  </sheetPr>
  <dimension ref="A1:F76"/>
  <sheetViews>
    <sheetView topLeftCell="A7" zoomScaleNormal="100" workbookViewId="0">
      <selection activeCell="D28" sqref="D28"/>
    </sheetView>
  </sheetViews>
  <sheetFormatPr defaultColWidth="10.42578125" defaultRowHeight="12.75"/>
  <cols>
    <col min="1" max="1" width="30" style="312" customWidth="1"/>
    <col min="2" max="2" width="9.5703125" style="312" customWidth="1"/>
    <col min="3" max="3" width="10.42578125" style="312" customWidth="1"/>
    <col min="4" max="4" width="12.85546875" style="312" customWidth="1"/>
    <col min="5" max="5" width="12.42578125" style="312" customWidth="1"/>
    <col min="6" max="6" width="12.5703125" style="312" customWidth="1"/>
    <col min="7" max="16384" width="10.42578125" style="312"/>
  </cols>
  <sheetData>
    <row r="1" spans="1:6" ht="20.100000000000001" customHeight="1">
      <c r="A1" s="280" t="s">
        <v>369</v>
      </c>
      <c r="B1" s="281"/>
      <c r="C1" s="281"/>
      <c r="D1" s="281"/>
      <c r="E1" s="281"/>
      <c r="F1" s="281"/>
    </row>
    <row r="2" spans="1:6" ht="20.100000000000001" customHeight="1">
      <c r="A2" s="285"/>
      <c r="B2" s="285"/>
      <c r="C2" s="285"/>
      <c r="D2" s="285"/>
      <c r="E2" s="285"/>
      <c r="F2" s="285"/>
    </row>
    <row r="3" spans="1:6" ht="20.100000000000001" customHeight="1">
      <c r="A3" s="287"/>
      <c r="B3" s="287"/>
      <c r="C3" s="287"/>
      <c r="D3" s="287"/>
      <c r="E3" s="287"/>
      <c r="F3" s="288"/>
    </row>
    <row r="4" spans="1:6" ht="16.350000000000001" customHeight="1">
      <c r="A4" s="289"/>
      <c r="B4" s="290" t="s">
        <v>229</v>
      </c>
      <c r="C4" s="290" t="s">
        <v>229</v>
      </c>
      <c r="D4" s="290" t="s">
        <v>355</v>
      </c>
      <c r="E4" s="290" t="s">
        <v>355</v>
      </c>
      <c r="F4" s="290" t="s">
        <v>356</v>
      </c>
    </row>
    <row r="5" spans="1:6" ht="16.350000000000001" customHeight="1">
      <c r="A5" s="291"/>
      <c r="B5" s="292" t="s">
        <v>70</v>
      </c>
      <c r="C5" s="292" t="s">
        <v>71</v>
      </c>
      <c r="D5" s="292" t="s">
        <v>27</v>
      </c>
      <c r="E5" s="292" t="s">
        <v>27</v>
      </c>
      <c r="F5" s="292" t="s">
        <v>27</v>
      </c>
    </row>
    <row r="6" spans="1:6" ht="16.350000000000001" customHeight="1">
      <c r="A6" s="291"/>
      <c r="B6" s="293" t="s">
        <v>28</v>
      </c>
      <c r="C6" s="293" t="s">
        <v>28</v>
      </c>
      <c r="D6" s="293" t="s">
        <v>281</v>
      </c>
      <c r="E6" s="293" t="s">
        <v>357</v>
      </c>
      <c r="F6" s="293" t="s">
        <v>357</v>
      </c>
    </row>
    <row r="7" spans="1:6" ht="16.350000000000001" customHeight="1">
      <c r="A7" s="291"/>
      <c r="B7" s="294">
        <v>2025</v>
      </c>
      <c r="C7" s="294">
        <v>2025</v>
      </c>
      <c r="D7" s="294" t="s">
        <v>347</v>
      </c>
      <c r="E7" s="294" t="s">
        <v>348</v>
      </c>
      <c r="F7" s="294" t="s">
        <v>348</v>
      </c>
    </row>
    <row r="8" spans="1:6" ht="9" customHeight="1">
      <c r="A8" s="291"/>
      <c r="B8" s="313"/>
      <c r="C8" s="313"/>
      <c r="D8" s="314"/>
      <c r="E8" s="314"/>
      <c r="F8" s="315"/>
    </row>
    <row r="9" spans="1:6" ht="20.100000000000001" customHeight="1">
      <c r="A9" s="295" t="s">
        <v>370</v>
      </c>
      <c r="B9" s="296">
        <v>241162.71353523119</v>
      </c>
      <c r="C9" s="296">
        <v>949074.99402267695</v>
      </c>
      <c r="D9" s="316">
        <v>102.91817070508095</v>
      </c>
      <c r="E9" s="316">
        <v>116.37815350700514</v>
      </c>
      <c r="F9" s="316">
        <v>114.70969848359059</v>
      </c>
    </row>
    <row r="10" spans="1:6" ht="20.100000000000001" customHeight="1">
      <c r="A10" s="298" t="s">
        <v>359</v>
      </c>
      <c r="B10" s="296"/>
      <c r="C10" s="296"/>
      <c r="D10" s="316"/>
      <c r="E10" s="316"/>
      <c r="F10" s="316"/>
    </row>
    <row r="11" spans="1:6" ht="20.100000000000001" customHeight="1">
      <c r="A11" s="299" t="s">
        <v>360</v>
      </c>
      <c r="B11" s="300">
        <v>236640.30106291565</v>
      </c>
      <c r="C11" s="300">
        <v>931923.69245004258</v>
      </c>
      <c r="D11" s="317">
        <v>102.93747416935106</v>
      </c>
      <c r="E11" s="317">
        <v>116.36694047782863</v>
      </c>
      <c r="F11" s="317">
        <v>114.77050277670085</v>
      </c>
    </row>
    <row r="12" spans="1:6" ht="20.100000000000001" customHeight="1">
      <c r="A12" s="299" t="s">
        <v>361</v>
      </c>
      <c r="B12" s="300">
        <v>4522.4124723155464</v>
      </c>
      <c r="C12" s="300">
        <v>17151.301572634333</v>
      </c>
      <c r="D12" s="317">
        <v>101.9180979463983</v>
      </c>
      <c r="E12" s="317">
        <v>116.96791801734294</v>
      </c>
      <c r="F12" s="317">
        <v>111.50001537457453</v>
      </c>
    </row>
    <row r="13" spans="1:6" ht="20.100000000000001" customHeight="1">
      <c r="A13" s="298" t="s">
        <v>362</v>
      </c>
      <c r="B13" s="296"/>
      <c r="C13" s="296"/>
      <c r="D13" s="316"/>
      <c r="E13" s="316"/>
      <c r="F13" s="316"/>
    </row>
    <row r="14" spans="1:6" ht="20.100000000000001" customHeight="1">
      <c r="A14" s="299" t="s">
        <v>363</v>
      </c>
      <c r="B14" s="300">
        <v>463.5</v>
      </c>
      <c r="C14" s="300">
        <v>1717.28</v>
      </c>
      <c r="D14" s="317">
        <v>92.792792792792795</v>
      </c>
      <c r="E14" s="317">
        <v>105.94285714285714</v>
      </c>
      <c r="F14" s="318">
        <v>105.52291999508418</v>
      </c>
    </row>
    <row r="15" spans="1:6" ht="20.100000000000001" customHeight="1">
      <c r="A15" s="299" t="s">
        <v>364</v>
      </c>
      <c r="B15" s="319">
        <v>10785.679171374049</v>
      </c>
      <c r="C15" s="319">
        <v>47770.387472490009</v>
      </c>
      <c r="D15" s="318">
        <v>101.13289175522586</v>
      </c>
      <c r="E15" s="318">
        <v>109.49878254326609</v>
      </c>
      <c r="F15" s="318">
        <v>111.02818633302958</v>
      </c>
    </row>
    <row r="16" spans="1:6" ht="20.100000000000001" customHeight="1">
      <c r="A16" s="299" t="s">
        <v>365</v>
      </c>
      <c r="B16" s="300">
        <v>48427.749765960842</v>
      </c>
      <c r="C16" s="300">
        <v>195976.03243032456</v>
      </c>
      <c r="D16" s="317">
        <v>100.10858212952998</v>
      </c>
      <c r="E16" s="317">
        <v>116.21534796553972</v>
      </c>
      <c r="F16" s="317">
        <v>112.13149531052275</v>
      </c>
    </row>
    <row r="17" spans="1:6" ht="20.100000000000001" customHeight="1">
      <c r="A17" s="299" t="s">
        <v>366</v>
      </c>
      <c r="B17" s="300">
        <v>181441.26721093681</v>
      </c>
      <c r="C17" s="300">
        <v>703453.55</v>
      </c>
      <c r="D17" s="317">
        <v>103.83336513236317</v>
      </c>
      <c r="E17" s="317">
        <v>116.88401298109783</v>
      </c>
      <c r="F17" s="317">
        <v>115.7363111711837</v>
      </c>
    </row>
    <row r="18" spans="1:6" ht="20.100000000000001" customHeight="1">
      <c r="A18" s="299" t="s">
        <v>367</v>
      </c>
      <c r="B18" s="300">
        <v>44.517386959500001</v>
      </c>
      <c r="C18" s="300">
        <v>157.74644081549999</v>
      </c>
      <c r="D18" s="317">
        <v>105</v>
      </c>
      <c r="E18" s="317">
        <v>134.02840852586948</v>
      </c>
      <c r="F18" s="317">
        <v>114.47859489748451</v>
      </c>
    </row>
    <row r="19" spans="1:6" ht="20.100000000000001" customHeight="1">
      <c r="A19" s="299"/>
      <c r="B19" s="304"/>
      <c r="C19" s="304"/>
      <c r="D19" s="320"/>
      <c r="E19" s="320"/>
      <c r="F19" s="320"/>
    </row>
    <row r="20" spans="1:6" ht="20.100000000000001" customHeight="1">
      <c r="A20" s="295" t="s">
        <v>371</v>
      </c>
      <c r="B20" s="296">
        <v>48126.363796149664</v>
      </c>
      <c r="C20" s="296">
        <v>188883.12129797289</v>
      </c>
      <c r="D20" s="316">
        <v>100.985133053788</v>
      </c>
      <c r="E20" s="316">
        <v>114.36419430507112</v>
      </c>
      <c r="F20" s="316">
        <v>111.5338689547721</v>
      </c>
    </row>
    <row r="21" spans="1:6" ht="20.100000000000001" customHeight="1">
      <c r="A21" s="298" t="s">
        <v>359</v>
      </c>
      <c r="B21" s="296"/>
      <c r="C21" s="296"/>
      <c r="D21" s="316"/>
      <c r="E21" s="316"/>
      <c r="F21" s="316"/>
    </row>
    <row r="22" spans="1:6" ht="20.100000000000001" customHeight="1">
      <c r="A22" s="299" t="s">
        <v>360</v>
      </c>
      <c r="B22" s="300">
        <v>27467.65</v>
      </c>
      <c r="C22" s="300">
        <v>110802.36936631237</v>
      </c>
      <c r="D22" s="317">
        <v>102.83890536625479</v>
      </c>
      <c r="E22" s="317">
        <v>108.65336665884469</v>
      </c>
      <c r="F22" s="317">
        <v>106.79074994178312</v>
      </c>
    </row>
    <row r="23" spans="1:6" ht="20.100000000000001" customHeight="1">
      <c r="A23" s="299" t="s">
        <v>361</v>
      </c>
      <c r="B23" s="300">
        <v>20658.730673170878</v>
      </c>
      <c r="C23" s="300">
        <v>78080.7</v>
      </c>
      <c r="D23" s="317">
        <v>98.621456951075871</v>
      </c>
      <c r="E23" s="317">
        <v>122.95682422566384</v>
      </c>
      <c r="F23" s="317">
        <v>119.03653696846803</v>
      </c>
    </row>
    <row r="24" spans="1:6" ht="20.100000000000001" customHeight="1">
      <c r="A24" s="298" t="s">
        <v>362</v>
      </c>
      <c r="B24" s="296"/>
      <c r="C24" s="296"/>
      <c r="D24" s="316"/>
      <c r="E24" s="316"/>
      <c r="F24" s="316"/>
    </row>
    <row r="25" spans="1:6" ht="20.100000000000001" customHeight="1">
      <c r="A25" s="299" t="s">
        <v>363</v>
      </c>
      <c r="B25" s="300">
        <v>350.26600000000002</v>
      </c>
      <c r="C25" s="300">
        <v>1279.758</v>
      </c>
      <c r="D25" s="317">
        <v>95.195205805215465</v>
      </c>
      <c r="E25" s="317">
        <v>121.44429766622635</v>
      </c>
      <c r="F25" s="318">
        <v>104.22500570088282</v>
      </c>
    </row>
    <row r="26" spans="1:6" ht="20.100000000000001" customHeight="1">
      <c r="A26" s="299" t="s">
        <v>364</v>
      </c>
      <c r="B26" s="319">
        <v>26336.500087152868</v>
      </c>
      <c r="C26" s="319">
        <v>103274.2</v>
      </c>
      <c r="D26" s="318">
        <v>100.68471203001405</v>
      </c>
      <c r="E26" s="318">
        <v>113.50031713269264</v>
      </c>
      <c r="F26" s="318">
        <v>116.5897345187082</v>
      </c>
    </row>
    <row r="27" spans="1:6" ht="20.100000000000001" customHeight="1">
      <c r="A27" s="299" t="s">
        <v>365</v>
      </c>
      <c r="B27" s="300">
        <v>10100.312153244384</v>
      </c>
      <c r="C27" s="300">
        <v>39266.255825318003</v>
      </c>
      <c r="D27" s="317">
        <v>99.980655516686838</v>
      </c>
      <c r="E27" s="317">
        <v>119.21580391922006</v>
      </c>
      <c r="F27" s="317">
        <v>106.95600708237831</v>
      </c>
    </row>
    <row r="28" spans="1:6" ht="20.100000000000001" customHeight="1">
      <c r="A28" s="299" t="s">
        <v>366</v>
      </c>
      <c r="B28" s="300">
        <v>10492.109750046751</v>
      </c>
      <c r="C28" s="300">
        <v>41770.446017085356</v>
      </c>
      <c r="D28" s="317">
        <v>102.79558587805995</v>
      </c>
      <c r="E28" s="317">
        <v>112.86180632075089</v>
      </c>
      <c r="F28" s="317">
        <v>105.92942230526923</v>
      </c>
    </row>
    <row r="29" spans="1:6" ht="20.100000000000001" customHeight="1">
      <c r="A29" s="299" t="s">
        <v>367</v>
      </c>
      <c r="B29" s="300">
        <v>847.17580570565497</v>
      </c>
      <c r="C29" s="300">
        <v>3292.4106304276552</v>
      </c>
      <c r="D29" s="317">
        <v>103</v>
      </c>
      <c r="E29" s="317">
        <v>103.233686412593</v>
      </c>
      <c r="F29" s="317">
        <v>96.877835965442131</v>
      </c>
    </row>
    <row r="30" spans="1:6" ht="20.100000000000001" customHeight="1">
      <c r="A30" s="308"/>
      <c r="B30" s="308"/>
      <c r="C30" s="309"/>
      <c r="D30" s="309"/>
      <c r="E30" s="309"/>
      <c r="F30" s="308"/>
    </row>
    <row r="31" spans="1:6" ht="20.100000000000001" customHeight="1">
      <c r="A31" s="308"/>
      <c r="B31" s="308"/>
      <c r="C31" s="309"/>
      <c r="D31" s="309"/>
      <c r="E31" s="309"/>
      <c r="F31" s="308"/>
    </row>
    <row r="32" spans="1:6" ht="20.100000000000001" customHeight="1">
      <c r="A32" s="308"/>
      <c r="B32" s="308"/>
      <c r="C32" s="309"/>
      <c r="D32" s="309"/>
      <c r="E32" s="309"/>
      <c r="F32" s="308"/>
    </row>
    <row r="33" spans="1:6" ht="20.100000000000001" customHeight="1">
      <c r="A33" s="308"/>
      <c r="B33" s="308"/>
      <c r="C33" s="309"/>
      <c r="D33" s="309"/>
      <c r="E33" s="309"/>
      <c r="F33" s="308"/>
    </row>
    <row r="34" spans="1:6" ht="20.100000000000001" customHeight="1">
      <c r="A34" s="308"/>
      <c r="B34" s="308"/>
      <c r="C34" s="309"/>
      <c r="D34" s="309"/>
      <c r="E34" s="309"/>
      <c r="F34" s="308"/>
    </row>
    <row r="35" spans="1:6" ht="15">
      <c r="A35" s="308"/>
      <c r="B35" s="308"/>
      <c r="C35" s="309"/>
      <c r="D35" s="309"/>
      <c r="E35" s="309"/>
      <c r="F35" s="308"/>
    </row>
    <row r="36" spans="1:6" ht="15">
      <c r="A36" s="308"/>
      <c r="B36" s="308"/>
      <c r="C36" s="309"/>
      <c r="D36" s="309"/>
      <c r="E36" s="309"/>
      <c r="F36" s="308"/>
    </row>
    <row r="37" spans="1:6" ht="15">
      <c r="A37" s="308"/>
      <c r="B37" s="308"/>
      <c r="C37" s="309"/>
      <c r="D37" s="309"/>
      <c r="E37" s="309"/>
      <c r="F37" s="308"/>
    </row>
    <row r="38" spans="1:6" ht="15">
      <c r="A38" s="308"/>
      <c r="B38" s="308"/>
      <c r="C38" s="309"/>
      <c r="D38" s="309"/>
      <c r="E38" s="309"/>
      <c r="F38" s="308"/>
    </row>
    <row r="39" spans="1:6" ht="15">
      <c r="A39" s="308"/>
      <c r="B39" s="308"/>
      <c r="C39" s="309"/>
      <c r="D39" s="309"/>
      <c r="E39" s="309"/>
      <c r="F39" s="308"/>
    </row>
    <row r="40" spans="1:6" ht="15">
      <c r="A40" s="308"/>
      <c r="B40" s="308"/>
      <c r="C40" s="309"/>
      <c r="D40" s="309"/>
      <c r="E40" s="309"/>
      <c r="F40" s="308"/>
    </row>
    <row r="41" spans="1:6" ht="15">
      <c r="A41" s="308"/>
      <c r="B41" s="308"/>
      <c r="C41" s="309"/>
      <c r="D41" s="309"/>
      <c r="E41" s="309"/>
      <c r="F41" s="308"/>
    </row>
    <row r="42" spans="1:6" ht="15">
      <c r="A42" s="308"/>
      <c r="B42" s="308"/>
      <c r="C42" s="309"/>
      <c r="D42" s="309"/>
      <c r="E42" s="309"/>
      <c r="F42" s="308"/>
    </row>
    <row r="43" spans="1:6" ht="15">
      <c r="A43" s="308"/>
      <c r="B43" s="308"/>
      <c r="C43" s="309"/>
      <c r="D43" s="309"/>
      <c r="E43" s="309"/>
      <c r="F43" s="308"/>
    </row>
    <row r="44" spans="1:6" ht="15">
      <c r="A44" s="308"/>
      <c r="B44" s="308"/>
      <c r="C44" s="309"/>
      <c r="D44" s="309"/>
      <c r="E44" s="309"/>
      <c r="F44" s="308"/>
    </row>
    <row r="45" spans="1:6" ht="15">
      <c r="A45" s="308"/>
      <c r="B45" s="308"/>
      <c r="C45" s="309"/>
      <c r="D45" s="309"/>
      <c r="E45" s="309"/>
      <c r="F45" s="308"/>
    </row>
    <row r="46" spans="1:6" ht="15">
      <c r="A46" s="308"/>
      <c r="B46" s="308"/>
      <c r="C46" s="309"/>
      <c r="D46" s="309"/>
      <c r="E46" s="309"/>
      <c r="F46" s="308"/>
    </row>
    <row r="47" spans="1:6" ht="15">
      <c r="A47" s="308"/>
      <c r="B47" s="308"/>
      <c r="C47" s="309"/>
      <c r="D47" s="309"/>
      <c r="E47" s="309"/>
      <c r="F47" s="308"/>
    </row>
    <row r="48" spans="1:6" ht="15">
      <c r="A48" s="308"/>
      <c r="B48" s="308"/>
      <c r="C48" s="309"/>
      <c r="D48" s="309"/>
      <c r="E48" s="309"/>
      <c r="F48" s="308"/>
    </row>
    <row r="49" spans="1:6" ht="15">
      <c r="A49" s="308"/>
      <c r="B49" s="308"/>
      <c r="C49" s="309"/>
      <c r="D49" s="309"/>
      <c r="E49" s="309"/>
      <c r="F49" s="308"/>
    </row>
    <row r="50" spans="1:6" ht="15">
      <c r="A50" s="308"/>
      <c r="B50" s="308"/>
      <c r="C50" s="309"/>
      <c r="D50" s="309"/>
      <c r="E50" s="309"/>
      <c r="F50" s="308"/>
    </row>
    <row r="51" spans="1:6" ht="15">
      <c r="A51" s="308"/>
      <c r="B51" s="308"/>
      <c r="C51" s="309"/>
      <c r="D51" s="309"/>
      <c r="E51" s="309"/>
      <c r="F51" s="308"/>
    </row>
    <row r="52" spans="1:6" ht="15">
      <c r="A52" s="308"/>
      <c r="B52" s="308"/>
      <c r="C52" s="309"/>
      <c r="D52" s="309"/>
      <c r="E52" s="309"/>
      <c r="F52" s="308"/>
    </row>
    <row r="53" spans="1:6" ht="15">
      <c r="A53" s="308"/>
      <c r="B53" s="308"/>
      <c r="C53" s="309"/>
      <c r="D53" s="309"/>
      <c r="E53" s="309"/>
      <c r="F53" s="308"/>
    </row>
    <row r="54" spans="1:6" ht="15">
      <c r="A54" s="308"/>
      <c r="B54" s="308"/>
      <c r="C54" s="309"/>
      <c r="D54" s="309"/>
      <c r="E54" s="309"/>
      <c r="F54" s="308"/>
    </row>
    <row r="55" spans="1:6" ht="15">
      <c r="A55" s="308"/>
      <c r="B55" s="308"/>
      <c r="C55" s="309"/>
      <c r="D55" s="309"/>
      <c r="E55" s="309"/>
      <c r="F55" s="308"/>
    </row>
    <row r="56" spans="1:6" ht="15">
      <c r="A56" s="308"/>
      <c r="B56" s="308"/>
      <c r="C56" s="309"/>
      <c r="D56" s="309"/>
      <c r="E56" s="309"/>
      <c r="F56" s="308"/>
    </row>
    <row r="57" spans="1:6" ht="15">
      <c r="A57" s="308"/>
      <c r="B57" s="308"/>
      <c r="C57" s="309"/>
      <c r="D57" s="309"/>
      <c r="E57" s="309"/>
      <c r="F57" s="308"/>
    </row>
    <row r="58" spans="1:6" ht="15">
      <c r="A58" s="308"/>
      <c r="B58" s="308"/>
      <c r="C58" s="309"/>
      <c r="D58" s="309"/>
      <c r="E58" s="309"/>
      <c r="F58" s="308"/>
    </row>
    <row r="59" spans="1:6" ht="15">
      <c r="A59" s="308"/>
      <c r="B59" s="308"/>
      <c r="C59" s="309"/>
      <c r="D59" s="309"/>
      <c r="E59" s="309"/>
      <c r="F59" s="308"/>
    </row>
    <row r="60" spans="1:6" ht="15">
      <c r="A60" s="308"/>
      <c r="B60" s="308"/>
      <c r="C60" s="309"/>
      <c r="D60" s="309"/>
      <c r="E60" s="309"/>
      <c r="F60" s="308"/>
    </row>
    <row r="61" spans="1:6" ht="15">
      <c r="A61" s="308"/>
      <c r="B61" s="308"/>
      <c r="C61" s="309"/>
      <c r="D61" s="309"/>
      <c r="E61" s="309"/>
      <c r="F61" s="308"/>
    </row>
    <row r="62" spans="1:6" ht="15">
      <c r="A62" s="308"/>
      <c r="B62" s="308"/>
      <c r="C62" s="309"/>
      <c r="D62" s="309"/>
      <c r="E62" s="309"/>
      <c r="F62" s="308"/>
    </row>
    <row r="63" spans="1:6" ht="15">
      <c r="A63" s="308"/>
      <c r="B63" s="308"/>
      <c r="C63" s="309"/>
      <c r="D63" s="309"/>
      <c r="E63" s="309"/>
      <c r="F63" s="308"/>
    </row>
    <row r="64" spans="1:6" ht="15">
      <c r="A64" s="308"/>
      <c r="B64" s="308"/>
      <c r="C64" s="309"/>
      <c r="D64" s="309"/>
      <c r="E64" s="309"/>
      <c r="F64" s="308"/>
    </row>
    <row r="65" spans="1:6" ht="15">
      <c r="A65" s="308"/>
      <c r="B65" s="308"/>
      <c r="C65" s="309"/>
      <c r="D65" s="309"/>
      <c r="E65" s="309"/>
      <c r="F65" s="308"/>
    </row>
    <row r="66" spans="1:6" ht="15">
      <c r="A66" s="308"/>
      <c r="B66" s="308"/>
      <c r="C66" s="309"/>
      <c r="D66" s="309"/>
      <c r="E66" s="309"/>
      <c r="F66" s="308"/>
    </row>
    <row r="67" spans="1:6" ht="15">
      <c r="A67" s="308"/>
      <c r="B67" s="308"/>
      <c r="C67" s="309"/>
      <c r="D67" s="309"/>
      <c r="E67" s="309"/>
      <c r="F67" s="308"/>
    </row>
    <row r="68" spans="1:6" ht="15">
      <c r="A68" s="308"/>
      <c r="B68" s="308"/>
      <c r="C68" s="309"/>
      <c r="D68" s="309"/>
      <c r="E68" s="309"/>
      <c r="F68" s="308"/>
    </row>
    <row r="69" spans="1:6" ht="15">
      <c r="A69" s="308"/>
      <c r="B69" s="308"/>
      <c r="C69" s="309"/>
      <c r="D69" s="309"/>
      <c r="E69" s="309"/>
      <c r="F69" s="308"/>
    </row>
    <row r="70" spans="1:6" ht="15">
      <c r="A70" s="308"/>
      <c r="B70" s="308"/>
      <c r="C70" s="309"/>
      <c r="D70" s="309"/>
      <c r="E70" s="309"/>
      <c r="F70" s="308"/>
    </row>
    <row r="71" spans="1:6" ht="15">
      <c r="A71" s="308"/>
      <c r="B71" s="308"/>
      <c r="C71" s="309"/>
      <c r="D71" s="309"/>
      <c r="E71" s="309"/>
      <c r="F71" s="308"/>
    </row>
    <row r="72" spans="1:6" ht="15">
      <c r="A72" s="308"/>
      <c r="B72" s="308"/>
      <c r="C72" s="309"/>
      <c r="D72" s="309"/>
      <c r="E72" s="309"/>
      <c r="F72" s="308"/>
    </row>
    <row r="73" spans="1:6" ht="15.75">
      <c r="A73" s="282"/>
      <c r="B73" s="282"/>
      <c r="C73" s="282"/>
      <c r="D73" s="282"/>
      <c r="E73" s="282"/>
      <c r="F73" s="282"/>
    </row>
    <row r="74" spans="1:6" ht="15.75">
      <c r="A74" s="282"/>
      <c r="B74" s="282"/>
      <c r="C74" s="282"/>
      <c r="D74" s="282"/>
      <c r="E74" s="282"/>
      <c r="F74" s="282"/>
    </row>
    <row r="75" spans="1:6" ht="15.75">
      <c r="A75" s="282"/>
      <c r="B75" s="282"/>
      <c r="C75" s="282"/>
      <c r="D75" s="282"/>
      <c r="E75" s="282"/>
      <c r="F75" s="282"/>
    </row>
    <row r="76" spans="1:6" ht="15.75">
      <c r="A76" s="282"/>
      <c r="B76" s="282"/>
      <c r="C76" s="282"/>
      <c r="D76" s="282"/>
      <c r="E76" s="282"/>
      <c r="F76" s="282"/>
    </row>
  </sheetData>
  <pageMargins left="0.78740157480314998" right="0.47244094488188998" top="0.74803149606299202" bottom="0.47244094488188998" header="0.43307086614173201" footer="0.31496062992126"/>
  <pageSetup paperSize="9" fitToHeight="0" orientation="portrait" r:id="rId1"/>
  <headerFooter alignWithMargins="0">
    <oddHeader>&amp;C&amp;"Times New Roman,Regular"&amp;13&amp;P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1386-A625-4665-B381-87A0E7013001}">
  <sheetPr>
    <pageSetUpPr fitToPage="1"/>
  </sheetPr>
  <dimension ref="A1:H200"/>
  <sheetViews>
    <sheetView topLeftCell="A37" zoomScale="93" zoomScaleNormal="115" workbookViewId="0">
      <selection activeCell="D28" sqref="D28"/>
    </sheetView>
  </sheetViews>
  <sheetFormatPr defaultColWidth="9" defaultRowHeight="15"/>
  <cols>
    <col min="1" max="1" width="1.5703125" style="283" customWidth="1"/>
    <col min="2" max="2" width="35" style="283" customWidth="1"/>
    <col min="3" max="5" width="9.85546875" style="283" customWidth="1"/>
    <col min="6" max="6" width="13.140625" style="283" customWidth="1"/>
    <col min="7" max="7" width="12.140625" style="283" customWidth="1"/>
    <col min="8" max="16384" width="9" style="283"/>
  </cols>
  <sheetData>
    <row r="1" spans="1:7" ht="20.25" customHeight="1">
      <c r="A1" s="321" t="s">
        <v>372</v>
      </c>
      <c r="B1" s="322"/>
      <c r="C1" s="322"/>
      <c r="D1" s="322"/>
      <c r="E1" s="322"/>
      <c r="F1" s="322"/>
      <c r="G1" s="322"/>
    </row>
    <row r="2" spans="1:7" ht="4.1500000000000004" customHeight="1">
      <c r="A2" s="323"/>
      <c r="B2" s="322"/>
      <c r="C2" s="322"/>
      <c r="D2" s="322"/>
      <c r="E2" s="322"/>
      <c r="F2" s="322"/>
      <c r="G2" s="322"/>
    </row>
    <row r="3" spans="1:7" ht="15" customHeight="1">
      <c r="A3" s="324"/>
      <c r="B3" s="325"/>
      <c r="C3" s="326"/>
      <c r="D3" s="326"/>
      <c r="E3" s="326"/>
      <c r="F3" s="325"/>
      <c r="G3" s="327" t="s">
        <v>373</v>
      </c>
    </row>
    <row r="4" spans="1:7" ht="14.45" customHeight="1">
      <c r="A4" s="328"/>
      <c r="B4" s="328"/>
      <c r="C4" s="329" t="s">
        <v>161</v>
      </c>
      <c r="D4" s="329" t="s">
        <v>159</v>
      </c>
      <c r="E4" s="329" t="s">
        <v>71</v>
      </c>
      <c r="F4" s="330" t="s">
        <v>355</v>
      </c>
      <c r="G4" s="330" t="s">
        <v>356</v>
      </c>
    </row>
    <row r="5" spans="1:7" ht="14.45" customHeight="1">
      <c r="A5" s="331"/>
      <c r="B5" s="331"/>
      <c r="C5" s="332" t="s">
        <v>28</v>
      </c>
      <c r="D5" s="332" t="s">
        <v>28</v>
      </c>
      <c r="E5" s="332" t="s">
        <v>28</v>
      </c>
      <c r="F5" s="329" t="s">
        <v>27</v>
      </c>
      <c r="G5" s="329" t="s">
        <v>27</v>
      </c>
    </row>
    <row r="6" spans="1:7" ht="14.45" customHeight="1">
      <c r="A6" s="331"/>
      <c r="B6" s="331"/>
      <c r="C6" s="332">
        <v>2025</v>
      </c>
      <c r="D6" s="332">
        <v>2025</v>
      </c>
      <c r="E6" s="332">
        <v>2025</v>
      </c>
      <c r="F6" s="332" t="s">
        <v>357</v>
      </c>
      <c r="G6" s="332" t="s">
        <v>357</v>
      </c>
    </row>
    <row r="7" spans="1:7" ht="14.45" customHeight="1">
      <c r="A7" s="331"/>
      <c r="B7" s="331"/>
      <c r="C7" s="333"/>
      <c r="D7" s="333"/>
      <c r="E7" s="333"/>
      <c r="F7" s="333" t="s">
        <v>348</v>
      </c>
      <c r="G7" s="333" t="s">
        <v>348</v>
      </c>
    </row>
    <row r="8" spans="1:7" ht="3.6" customHeight="1">
      <c r="A8" s="331"/>
      <c r="B8" s="331"/>
      <c r="C8" s="334"/>
      <c r="D8" s="334"/>
      <c r="E8" s="334"/>
      <c r="F8" s="335"/>
      <c r="G8" s="336"/>
    </row>
    <row r="9" spans="1:7" ht="15" customHeight="1">
      <c r="A9" s="337" t="s">
        <v>32</v>
      </c>
      <c r="B9" s="324"/>
      <c r="C9" s="338">
        <v>2054309</v>
      </c>
      <c r="D9" s="338">
        <v>1654681</v>
      </c>
      <c r="E9" s="338">
        <v>7673388.9000000004</v>
      </c>
      <c r="F9" s="339">
        <v>106.30555214698308</v>
      </c>
      <c r="G9" s="339">
        <v>123.77769310914356</v>
      </c>
    </row>
    <row r="10" spans="1:7" ht="15" customHeight="1">
      <c r="A10" s="340" t="s">
        <v>374</v>
      </c>
      <c r="B10" s="340"/>
      <c r="C10" s="341"/>
      <c r="D10" s="341"/>
      <c r="E10" s="341"/>
      <c r="F10" s="342"/>
      <c r="G10" s="342"/>
    </row>
    <row r="11" spans="1:7" ht="15" customHeight="1">
      <c r="A11" s="324"/>
      <c r="B11" s="343" t="s">
        <v>375</v>
      </c>
      <c r="C11" s="344">
        <v>1802352</v>
      </c>
      <c r="D11" s="344">
        <v>1390027</v>
      </c>
      <c r="E11" s="344">
        <v>6590198</v>
      </c>
      <c r="F11" s="345">
        <v>106.10763532659142</v>
      </c>
      <c r="G11" s="345">
        <v>126.95758280024951</v>
      </c>
    </row>
    <row r="12" spans="1:7" ht="15" customHeight="1">
      <c r="A12" s="324"/>
      <c r="B12" s="343" t="s">
        <v>364</v>
      </c>
      <c r="C12" s="344">
        <v>33665</v>
      </c>
      <c r="D12" s="344">
        <v>25298</v>
      </c>
      <c r="E12" s="344">
        <v>158327</v>
      </c>
      <c r="F12" s="345">
        <v>170.10489510489509</v>
      </c>
      <c r="G12" s="345">
        <v>104.47110213723434</v>
      </c>
    </row>
    <row r="13" spans="1:7" ht="15" customHeight="1">
      <c r="A13" s="324"/>
      <c r="B13" s="343" t="s">
        <v>366</v>
      </c>
      <c r="C13" s="344">
        <v>218292</v>
      </c>
      <c r="D13" s="344">
        <v>239356</v>
      </c>
      <c r="E13" s="344">
        <v>924863.9</v>
      </c>
      <c r="F13" s="345">
        <v>103.32880053530187</v>
      </c>
      <c r="G13" s="345">
        <v>107.92960553801198</v>
      </c>
    </row>
    <row r="14" spans="1:7" ht="15" customHeight="1">
      <c r="A14" s="346" t="s">
        <v>376</v>
      </c>
      <c r="B14" s="346"/>
      <c r="C14" s="347"/>
      <c r="D14" s="347"/>
      <c r="E14" s="347"/>
      <c r="F14" s="348"/>
      <c r="G14" s="348"/>
    </row>
    <row r="15" spans="1:7" ht="15" customHeight="1">
      <c r="A15" s="324"/>
      <c r="B15" s="349" t="s">
        <v>377</v>
      </c>
      <c r="C15" s="338">
        <v>1614360</v>
      </c>
      <c r="D15" s="338">
        <v>1250571</v>
      </c>
      <c r="E15" s="338">
        <v>5963491.9000000004</v>
      </c>
      <c r="F15" s="339">
        <v>102.99131397266952</v>
      </c>
      <c r="G15" s="339">
        <v>125.9134336841643</v>
      </c>
    </row>
    <row r="16" spans="1:7" ht="15" customHeight="1">
      <c r="A16" s="324"/>
      <c r="B16" s="350" t="s">
        <v>378</v>
      </c>
      <c r="C16" s="344">
        <v>630898</v>
      </c>
      <c r="D16" s="344">
        <v>368074</v>
      </c>
      <c r="E16" s="344">
        <v>1954666.7</v>
      </c>
      <c r="F16" s="345">
        <v>102.84068207662884</v>
      </c>
      <c r="G16" s="345">
        <v>156.65644552835886</v>
      </c>
    </row>
    <row r="17" spans="1:7" ht="15" customHeight="1">
      <c r="A17" s="324"/>
      <c r="B17" s="350" t="s">
        <v>379</v>
      </c>
      <c r="C17" s="351">
        <v>374989</v>
      </c>
      <c r="D17" s="351">
        <v>326140</v>
      </c>
      <c r="E17" s="351">
        <v>1586271</v>
      </c>
      <c r="F17" s="352">
        <v>88.639692992588451</v>
      </c>
      <c r="G17" s="352">
        <v>99.091400885548381</v>
      </c>
    </row>
    <row r="18" spans="1:7" ht="15" customHeight="1">
      <c r="A18" s="324"/>
      <c r="B18" s="350" t="s">
        <v>380</v>
      </c>
      <c r="C18" s="351">
        <v>78779</v>
      </c>
      <c r="D18" s="351">
        <v>54182</v>
      </c>
      <c r="E18" s="351">
        <v>280359</v>
      </c>
      <c r="F18" s="352">
        <v>95.333779075905269</v>
      </c>
      <c r="G18" s="352">
        <v>118.8621650153263</v>
      </c>
    </row>
    <row r="19" spans="1:7" ht="15" customHeight="1">
      <c r="A19" s="324"/>
      <c r="B19" s="350" t="s">
        <v>381</v>
      </c>
      <c r="C19" s="351">
        <v>112215</v>
      </c>
      <c r="D19" s="351">
        <v>109697</v>
      </c>
      <c r="E19" s="351">
        <v>440214</v>
      </c>
      <c r="F19" s="352">
        <v>92.328216005117326</v>
      </c>
      <c r="G19" s="352">
        <v>105.15285136226179</v>
      </c>
    </row>
    <row r="20" spans="1:7" ht="15" customHeight="1">
      <c r="A20" s="324"/>
      <c r="B20" s="350" t="s">
        <v>382</v>
      </c>
      <c r="C20" s="351">
        <v>38114</v>
      </c>
      <c r="D20" s="351">
        <v>41239</v>
      </c>
      <c r="E20" s="351">
        <v>182339</v>
      </c>
      <c r="F20" s="352">
        <v>108.20476490344248</v>
      </c>
      <c r="G20" s="352">
        <v>100.28268939914753</v>
      </c>
    </row>
    <row r="21" spans="1:7" ht="15" customHeight="1">
      <c r="A21" s="324"/>
      <c r="B21" s="350" t="s">
        <v>383</v>
      </c>
      <c r="C21" s="351">
        <v>46147</v>
      </c>
      <c r="D21" s="351">
        <v>44759</v>
      </c>
      <c r="E21" s="351">
        <v>168888</v>
      </c>
      <c r="F21" s="352">
        <v>98.9192892503536</v>
      </c>
      <c r="G21" s="352">
        <v>103.11252213199829</v>
      </c>
    </row>
    <row r="22" spans="1:7" ht="15" customHeight="1">
      <c r="A22" s="324"/>
      <c r="B22" s="350" t="s">
        <v>384</v>
      </c>
      <c r="C22" s="351">
        <v>30813</v>
      </c>
      <c r="D22" s="351">
        <v>27666</v>
      </c>
      <c r="E22" s="351">
        <v>110147</v>
      </c>
      <c r="F22" s="352">
        <v>98.631016042780743</v>
      </c>
      <c r="G22" s="352">
        <v>99.110991136905568</v>
      </c>
    </row>
    <row r="23" spans="1:7" ht="15" customHeight="1">
      <c r="A23" s="324"/>
      <c r="B23" s="350" t="s">
        <v>385</v>
      </c>
      <c r="C23" s="351">
        <v>91845</v>
      </c>
      <c r="D23" s="351">
        <v>45626</v>
      </c>
      <c r="E23" s="351">
        <v>279537.2</v>
      </c>
      <c r="F23" s="352">
        <v>108.87701045196391</v>
      </c>
      <c r="G23" s="352">
        <v>179.59113920797677</v>
      </c>
    </row>
    <row r="24" spans="1:7" ht="15" customHeight="1">
      <c r="A24" s="324"/>
      <c r="B24" s="350" t="s">
        <v>386</v>
      </c>
      <c r="C24" s="351">
        <v>31673</v>
      </c>
      <c r="D24" s="351">
        <v>39697</v>
      </c>
      <c r="E24" s="351">
        <v>135951</v>
      </c>
      <c r="F24" s="352">
        <v>206.76597739465598</v>
      </c>
      <c r="G24" s="352">
        <v>198.33253096415598</v>
      </c>
    </row>
    <row r="25" spans="1:7" ht="15" customHeight="1">
      <c r="A25" s="324"/>
      <c r="B25" s="350" t="s">
        <v>387</v>
      </c>
      <c r="C25" s="351">
        <v>17260</v>
      </c>
      <c r="D25" s="351">
        <v>11871</v>
      </c>
      <c r="E25" s="351">
        <v>62714</v>
      </c>
      <c r="F25" s="352">
        <v>117.96680910265329</v>
      </c>
      <c r="G25" s="352">
        <v>144.65228923999538</v>
      </c>
    </row>
    <row r="26" spans="1:7" ht="15" customHeight="1">
      <c r="A26" s="324"/>
      <c r="B26" s="350" t="s">
        <v>388</v>
      </c>
      <c r="C26" s="351">
        <v>12876</v>
      </c>
      <c r="D26" s="351">
        <v>23535</v>
      </c>
      <c r="E26" s="351">
        <v>72361</v>
      </c>
      <c r="F26" s="352">
        <v>123.05238941754679</v>
      </c>
      <c r="G26" s="352">
        <v>111.63892188777635</v>
      </c>
    </row>
    <row r="27" spans="1:7" ht="15" customHeight="1">
      <c r="A27" s="324"/>
      <c r="B27" s="350" t="s">
        <v>389</v>
      </c>
      <c r="C27" s="353">
        <v>51141</v>
      </c>
      <c r="D27" s="353">
        <v>60541</v>
      </c>
      <c r="E27" s="353">
        <v>203896</v>
      </c>
      <c r="F27" s="354">
        <v>144.97365900383141</v>
      </c>
      <c r="G27" s="354">
        <v>129.02115380964736</v>
      </c>
    </row>
    <row r="28" spans="1:7" ht="15" customHeight="1">
      <c r="A28" s="324"/>
      <c r="B28" s="350" t="s">
        <v>390</v>
      </c>
      <c r="C28" s="344">
        <v>97610</v>
      </c>
      <c r="D28" s="344">
        <v>97544</v>
      </c>
      <c r="E28" s="344">
        <v>486148</v>
      </c>
      <c r="F28" s="345">
        <v>140.77035198360585</v>
      </c>
      <c r="G28" s="345">
        <v>170.00440617984208</v>
      </c>
    </row>
    <row r="29" spans="1:7" ht="15" customHeight="1">
      <c r="A29" s="324"/>
      <c r="B29" s="349" t="s">
        <v>391</v>
      </c>
      <c r="C29" s="355">
        <v>104874</v>
      </c>
      <c r="D29" s="355">
        <v>86594</v>
      </c>
      <c r="E29" s="355">
        <v>428095</v>
      </c>
      <c r="F29" s="356">
        <v>94.576234163390126</v>
      </c>
      <c r="G29" s="356">
        <v>108.7059749625454</v>
      </c>
    </row>
    <row r="30" spans="1:7" ht="15" customHeight="1">
      <c r="A30" s="324"/>
      <c r="B30" s="350" t="s">
        <v>392</v>
      </c>
      <c r="C30" s="351">
        <v>78356</v>
      </c>
      <c r="D30" s="351">
        <v>64892</v>
      </c>
      <c r="E30" s="351">
        <v>323462</v>
      </c>
      <c r="F30" s="352">
        <v>93.706859205776169</v>
      </c>
      <c r="G30" s="352">
        <v>107.24582902310284</v>
      </c>
    </row>
    <row r="31" spans="1:7" ht="15" customHeight="1">
      <c r="A31" s="324"/>
      <c r="B31" s="350" t="s">
        <v>393</v>
      </c>
      <c r="C31" s="351">
        <v>19389</v>
      </c>
      <c r="D31" s="351">
        <v>14265</v>
      </c>
      <c r="E31" s="351">
        <v>74389</v>
      </c>
      <c r="F31" s="352">
        <v>92.365967365967364</v>
      </c>
      <c r="G31" s="352">
        <v>113.76726260571672</v>
      </c>
    </row>
    <row r="32" spans="1:7" ht="15" customHeight="1">
      <c r="A32" s="324"/>
      <c r="B32" s="350" t="s">
        <v>394</v>
      </c>
      <c r="C32" s="344">
        <v>7129</v>
      </c>
      <c r="D32" s="344">
        <v>7437</v>
      </c>
      <c r="E32" s="344">
        <v>30244</v>
      </c>
      <c r="F32" s="345">
        <v>108.31634139236819</v>
      </c>
      <c r="G32" s="345">
        <v>112.78761887003543</v>
      </c>
    </row>
    <row r="33" spans="1:8" ht="15" customHeight="1">
      <c r="A33" s="324"/>
      <c r="B33" s="349" t="s">
        <v>395</v>
      </c>
      <c r="C33" s="355">
        <v>285526</v>
      </c>
      <c r="D33" s="355">
        <v>247050</v>
      </c>
      <c r="E33" s="355">
        <v>1038922</v>
      </c>
      <c r="F33" s="356">
        <v>127.4563924243284</v>
      </c>
      <c r="G33" s="356">
        <v>121.41563258904678</v>
      </c>
      <c r="H33" s="357"/>
    </row>
    <row r="34" spans="1:8" ht="15" customHeight="1">
      <c r="A34" s="324"/>
      <c r="B34" s="350" t="s">
        <v>396</v>
      </c>
      <c r="C34" s="351">
        <v>45639</v>
      </c>
      <c r="D34" s="351">
        <v>41806</v>
      </c>
      <c r="E34" s="351">
        <v>166460</v>
      </c>
      <c r="F34" s="352">
        <v>212.21319796954313</v>
      </c>
      <c r="G34" s="352">
        <v>210.90641867065352</v>
      </c>
    </row>
    <row r="35" spans="1:8" ht="15" customHeight="1">
      <c r="A35" s="324"/>
      <c r="B35" s="350" t="s">
        <v>397</v>
      </c>
      <c r="C35" s="351">
        <v>41026</v>
      </c>
      <c r="D35" s="351">
        <v>41779</v>
      </c>
      <c r="E35" s="351">
        <v>155388</v>
      </c>
      <c r="F35" s="352">
        <v>113.72458284563247</v>
      </c>
      <c r="G35" s="352">
        <v>120.7037713131627</v>
      </c>
    </row>
    <row r="36" spans="1:8" ht="15" customHeight="1">
      <c r="A36" s="324"/>
      <c r="B36" s="350" t="s">
        <v>398</v>
      </c>
      <c r="C36" s="351">
        <v>39370</v>
      </c>
      <c r="D36" s="351">
        <v>35220</v>
      </c>
      <c r="E36" s="351">
        <v>137636</v>
      </c>
      <c r="F36" s="352">
        <v>115.14695785791349</v>
      </c>
      <c r="G36" s="352">
        <v>124.67819517541874</v>
      </c>
    </row>
    <row r="37" spans="1:8" ht="15" customHeight="1">
      <c r="A37" s="324"/>
      <c r="B37" s="350" t="s">
        <v>399</v>
      </c>
      <c r="C37" s="351">
        <v>34935</v>
      </c>
      <c r="D37" s="351">
        <v>28579</v>
      </c>
      <c r="E37" s="351">
        <v>124839</v>
      </c>
      <c r="F37" s="352">
        <v>105.83246926381278</v>
      </c>
      <c r="G37" s="352">
        <v>118.79133322549029</v>
      </c>
    </row>
    <row r="38" spans="1:8" ht="15" customHeight="1">
      <c r="A38" s="324"/>
      <c r="B38" s="350" t="s">
        <v>400</v>
      </c>
      <c r="C38" s="351">
        <v>6430</v>
      </c>
      <c r="D38" s="351">
        <v>7256</v>
      </c>
      <c r="E38" s="351">
        <v>25322</v>
      </c>
      <c r="F38" s="352">
        <v>103.00965360590573</v>
      </c>
      <c r="G38" s="352">
        <v>112.93372580501293</v>
      </c>
    </row>
    <row r="39" spans="1:8" ht="15" customHeight="1">
      <c r="A39" s="324"/>
      <c r="B39" s="350" t="s">
        <v>401</v>
      </c>
      <c r="C39" s="351">
        <v>8870</v>
      </c>
      <c r="D39" s="351">
        <v>8503</v>
      </c>
      <c r="E39" s="351">
        <v>33493</v>
      </c>
      <c r="F39" s="352">
        <v>128.91146149181324</v>
      </c>
      <c r="G39" s="352">
        <v>117.2149506544411</v>
      </c>
    </row>
    <row r="40" spans="1:8" ht="15" customHeight="1">
      <c r="A40" s="324"/>
      <c r="B40" s="350" t="s">
        <v>402</v>
      </c>
      <c r="C40" s="351">
        <v>10544</v>
      </c>
      <c r="D40" s="351">
        <v>10763</v>
      </c>
      <c r="E40" s="351">
        <v>42496</v>
      </c>
      <c r="F40" s="352">
        <v>144.62510077936039</v>
      </c>
      <c r="G40" s="352">
        <v>132.61351224840067</v>
      </c>
    </row>
    <row r="41" spans="1:8" ht="15" customHeight="1">
      <c r="A41" s="324"/>
      <c r="B41" s="350" t="s">
        <v>403</v>
      </c>
      <c r="C41" s="351">
        <v>3960</v>
      </c>
      <c r="D41" s="351">
        <v>2628</v>
      </c>
      <c r="E41" s="351">
        <v>17674</v>
      </c>
      <c r="F41" s="352">
        <v>104.45151033386328</v>
      </c>
      <c r="G41" s="352">
        <v>116.31457716354063</v>
      </c>
    </row>
    <row r="42" spans="1:8" ht="15" customHeight="1">
      <c r="A42" s="324"/>
      <c r="B42" s="350" t="s">
        <v>404</v>
      </c>
      <c r="C42" s="351">
        <v>5158</v>
      </c>
      <c r="D42" s="351">
        <v>4013</v>
      </c>
      <c r="E42" s="351">
        <v>20189</v>
      </c>
      <c r="F42" s="352">
        <v>96.628942932819655</v>
      </c>
      <c r="G42" s="352">
        <v>112.74361981348076</v>
      </c>
    </row>
    <row r="43" spans="1:8" ht="15" customHeight="1">
      <c r="A43" s="324"/>
      <c r="B43" s="350" t="s">
        <v>405</v>
      </c>
      <c r="C43" s="351">
        <v>3734</v>
      </c>
      <c r="D43" s="351">
        <v>4497</v>
      </c>
      <c r="E43" s="351">
        <v>16402</v>
      </c>
      <c r="F43" s="352">
        <v>123.64586197415453</v>
      </c>
      <c r="G43" s="352">
        <v>116.59913272197342</v>
      </c>
    </row>
    <row r="44" spans="1:8" ht="15" customHeight="1">
      <c r="A44" s="324"/>
      <c r="B44" s="350" t="s">
        <v>406</v>
      </c>
      <c r="C44" s="351">
        <v>3874</v>
      </c>
      <c r="D44" s="351">
        <v>3570</v>
      </c>
      <c r="E44" s="351">
        <v>13139</v>
      </c>
      <c r="F44" s="352">
        <v>108.018154311649</v>
      </c>
      <c r="G44" s="352">
        <v>113.4628670120898</v>
      </c>
    </row>
    <row r="45" spans="1:8" ht="15" customHeight="1">
      <c r="A45" s="324"/>
      <c r="B45" s="350" t="s">
        <v>407</v>
      </c>
      <c r="C45" s="351">
        <v>2922</v>
      </c>
      <c r="D45" s="351">
        <v>2337</v>
      </c>
      <c r="E45" s="351">
        <v>13091</v>
      </c>
      <c r="F45" s="352">
        <v>110.91599430469863</v>
      </c>
      <c r="G45" s="352">
        <v>115.07559774964837</v>
      </c>
    </row>
    <row r="46" spans="1:8" ht="15" customHeight="1">
      <c r="A46" s="324"/>
      <c r="B46" s="358" t="s">
        <v>408</v>
      </c>
      <c r="C46" s="359">
        <v>4410</v>
      </c>
      <c r="D46" s="359">
        <v>2130</v>
      </c>
      <c r="E46" s="359">
        <v>14523</v>
      </c>
      <c r="F46" s="360">
        <v>57.86471067644662</v>
      </c>
      <c r="G46" s="360">
        <v>101.48137796100902</v>
      </c>
    </row>
    <row r="47" spans="1:8" ht="15" customHeight="1">
      <c r="A47" s="324"/>
      <c r="B47" s="350" t="s">
        <v>409</v>
      </c>
      <c r="C47" s="351">
        <v>9674</v>
      </c>
      <c r="D47" s="351">
        <v>3656</v>
      </c>
      <c r="E47" s="351">
        <v>34661</v>
      </c>
      <c r="F47" s="352">
        <v>121.17998011269474</v>
      </c>
      <c r="G47" s="352">
        <v>148.78519917582418</v>
      </c>
    </row>
    <row r="48" spans="1:8" ht="15" customHeight="1">
      <c r="A48" s="324"/>
      <c r="B48" s="350" t="s">
        <v>410</v>
      </c>
      <c r="C48" s="361">
        <v>64980</v>
      </c>
      <c r="D48" s="361">
        <v>50313</v>
      </c>
      <c r="E48" s="361">
        <v>223609</v>
      </c>
      <c r="F48" s="362">
        <v>138.6</v>
      </c>
      <c r="G48" s="362">
        <v>92.5</v>
      </c>
    </row>
    <row r="49" spans="1:7" ht="15" customHeight="1">
      <c r="A49" s="324"/>
      <c r="B49" s="349" t="s">
        <v>411</v>
      </c>
      <c r="C49" s="355">
        <v>46383</v>
      </c>
      <c r="D49" s="355">
        <v>65218</v>
      </c>
      <c r="E49" s="355">
        <v>225308</v>
      </c>
      <c r="F49" s="356">
        <v>123.49788861747051</v>
      </c>
      <c r="G49" s="356">
        <v>114.67106401604219</v>
      </c>
    </row>
    <row r="50" spans="1:7" ht="15" customHeight="1">
      <c r="A50" s="324"/>
      <c r="B50" s="350" t="s">
        <v>412</v>
      </c>
      <c r="C50" s="351">
        <v>42303</v>
      </c>
      <c r="D50" s="351">
        <v>58379</v>
      </c>
      <c r="E50" s="351">
        <v>205499</v>
      </c>
      <c r="F50" s="352">
        <v>122.68361878743302</v>
      </c>
      <c r="G50" s="352">
        <v>114.08561736996674</v>
      </c>
    </row>
    <row r="51" spans="1:7" ht="15" customHeight="1">
      <c r="A51" s="324"/>
      <c r="B51" s="350" t="s">
        <v>413</v>
      </c>
      <c r="C51" s="351">
        <v>3978</v>
      </c>
      <c r="D51" s="351">
        <v>6691</v>
      </c>
      <c r="E51" s="351">
        <v>19304</v>
      </c>
      <c r="F51" s="352">
        <v>130.99060297572436</v>
      </c>
      <c r="G51" s="352">
        <v>120.92964981519765</v>
      </c>
    </row>
    <row r="52" spans="1:7" ht="15" customHeight="1">
      <c r="A52" s="324"/>
      <c r="B52" s="350" t="s">
        <v>414</v>
      </c>
      <c r="C52" s="344">
        <v>102</v>
      </c>
      <c r="D52" s="344">
        <v>148</v>
      </c>
      <c r="E52" s="344">
        <v>505</v>
      </c>
      <c r="F52" s="345">
        <v>127.58620689655173</v>
      </c>
      <c r="G52" s="345">
        <v>128.82653061224488</v>
      </c>
    </row>
    <row r="53" spans="1:7" ht="15" customHeight="1">
      <c r="A53" s="324"/>
      <c r="B53" s="349" t="s">
        <v>415</v>
      </c>
      <c r="C53" s="355">
        <v>3166</v>
      </c>
      <c r="D53" s="355">
        <v>5248</v>
      </c>
      <c r="E53" s="355">
        <v>17572</v>
      </c>
      <c r="F53" s="356">
        <v>128.50146914789423</v>
      </c>
      <c r="G53" s="356">
        <v>102.27576974564927</v>
      </c>
    </row>
    <row r="54" spans="1:7" ht="18" customHeight="1">
      <c r="A54" s="363"/>
      <c r="B54" s="364"/>
      <c r="C54" s="364"/>
      <c r="D54" s="364"/>
      <c r="E54" s="364"/>
      <c r="F54" s="364"/>
      <c r="G54" s="364"/>
    </row>
    <row r="55" spans="1:7" ht="18" customHeight="1">
      <c r="A55" s="363"/>
      <c r="B55" s="363"/>
      <c r="C55" s="363"/>
      <c r="D55" s="363"/>
      <c r="E55" s="363"/>
      <c r="F55" s="363"/>
      <c r="G55" s="363"/>
    </row>
    <row r="56" spans="1:7" ht="18" customHeight="1">
      <c r="A56" s="363"/>
      <c r="B56" s="364"/>
      <c r="C56" s="364"/>
      <c r="D56" s="364"/>
      <c r="E56" s="364"/>
      <c r="F56" s="364"/>
      <c r="G56" s="364"/>
    </row>
    <row r="57" spans="1:7" ht="18" customHeight="1">
      <c r="A57" s="363"/>
      <c r="B57" s="363"/>
      <c r="C57" s="365"/>
      <c r="D57" s="365"/>
      <c r="E57" s="365"/>
      <c r="F57" s="363"/>
      <c r="G57" s="363"/>
    </row>
    <row r="58" spans="1:7" ht="18" customHeight="1">
      <c r="A58" s="363"/>
      <c r="B58" s="363"/>
      <c r="C58" s="363"/>
      <c r="D58" s="363"/>
      <c r="E58" s="363"/>
      <c r="F58" s="363"/>
      <c r="G58" s="363"/>
    </row>
    <row r="59" spans="1:7" ht="18" customHeight="1">
      <c r="A59" s="363"/>
      <c r="B59" s="363"/>
      <c r="C59" s="363"/>
      <c r="D59" s="363"/>
      <c r="E59" s="363"/>
      <c r="F59" s="363"/>
      <c r="G59" s="366"/>
    </row>
    <row r="60" spans="1:7" ht="18" customHeight="1">
      <c r="A60" s="363"/>
      <c r="B60" s="363"/>
      <c r="C60" s="363"/>
      <c r="D60" s="363"/>
      <c r="E60" s="363"/>
      <c r="F60" s="363"/>
      <c r="G60" s="366"/>
    </row>
    <row r="61" spans="1:7" ht="18" customHeight="1">
      <c r="A61" s="363"/>
      <c r="B61" s="363"/>
      <c r="C61" s="363"/>
      <c r="D61" s="363"/>
      <c r="E61" s="363"/>
      <c r="F61" s="363"/>
      <c r="G61" s="366"/>
    </row>
    <row r="62" spans="1:7">
      <c r="A62" s="363"/>
      <c r="B62" s="363"/>
      <c r="C62" s="363"/>
      <c r="D62" s="363"/>
      <c r="E62" s="363"/>
      <c r="F62" s="363"/>
      <c r="G62" s="366"/>
    </row>
    <row r="63" spans="1:7">
      <c r="A63" s="363"/>
      <c r="B63" s="363"/>
      <c r="C63" s="363"/>
      <c r="D63" s="363"/>
      <c r="E63" s="363"/>
      <c r="F63" s="363"/>
      <c r="G63" s="366"/>
    </row>
    <row r="64" spans="1:7">
      <c r="A64" s="363"/>
      <c r="B64" s="363"/>
      <c r="C64" s="363"/>
      <c r="D64" s="363"/>
      <c r="E64" s="363"/>
      <c r="F64" s="363"/>
      <c r="G64" s="366"/>
    </row>
    <row r="65" spans="1:7">
      <c r="A65" s="363"/>
      <c r="B65" s="363"/>
      <c r="C65" s="363"/>
      <c r="D65" s="363"/>
      <c r="E65" s="363"/>
      <c r="F65" s="363"/>
      <c r="G65" s="366"/>
    </row>
    <row r="66" spans="1:7">
      <c r="A66" s="363"/>
      <c r="B66" s="363"/>
      <c r="C66" s="363"/>
      <c r="D66" s="363"/>
      <c r="E66" s="363"/>
      <c r="F66" s="363"/>
      <c r="G66" s="366"/>
    </row>
    <row r="67" spans="1:7">
      <c r="A67" s="363"/>
      <c r="B67" s="363"/>
      <c r="C67" s="363"/>
      <c r="D67" s="363"/>
      <c r="E67" s="363"/>
      <c r="F67" s="363"/>
      <c r="G67" s="366"/>
    </row>
    <row r="68" spans="1:7">
      <c r="A68" s="363"/>
      <c r="B68" s="363"/>
      <c r="C68" s="363"/>
      <c r="D68" s="363"/>
      <c r="E68" s="363"/>
      <c r="F68" s="363"/>
      <c r="G68" s="366"/>
    </row>
    <row r="69" spans="1:7">
      <c r="A69" s="363"/>
      <c r="B69" s="363"/>
      <c r="C69" s="363"/>
      <c r="D69" s="363"/>
      <c r="E69" s="363"/>
      <c r="F69" s="363"/>
      <c r="G69" s="366"/>
    </row>
    <row r="70" spans="1:7">
      <c r="A70" s="363"/>
      <c r="B70" s="363"/>
      <c r="C70" s="363"/>
      <c r="D70" s="363"/>
      <c r="E70" s="363"/>
      <c r="F70" s="363"/>
      <c r="G70" s="363"/>
    </row>
    <row r="71" spans="1:7">
      <c r="A71" s="363"/>
      <c r="B71" s="363"/>
      <c r="C71" s="363"/>
      <c r="D71" s="363"/>
      <c r="E71" s="363"/>
      <c r="F71" s="363"/>
      <c r="G71" s="363"/>
    </row>
    <row r="72" spans="1:7">
      <c r="A72" s="363"/>
      <c r="B72" s="363"/>
      <c r="C72" s="363"/>
      <c r="D72" s="363"/>
      <c r="E72" s="363"/>
      <c r="F72" s="363"/>
      <c r="G72" s="363"/>
    </row>
    <row r="73" spans="1:7">
      <c r="A73" s="363"/>
      <c r="B73" s="363"/>
      <c r="C73" s="363"/>
      <c r="D73" s="363"/>
      <c r="E73" s="363"/>
      <c r="F73" s="363"/>
      <c r="G73" s="363"/>
    </row>
    <row r="74" spans="1:7">
      <c r="A74" s="363"/>
      <c r="B74" s="363"/>
      <c r="C74" s="363"/>
      <c r="D74" s="363"/>
      <c r="E74" s="363"/>
      <c r="F74" s="363"/>
      <c r="G74" s="363"/>
    </row>
    <row r="75" spans="1:7">
      <c r="A75" s="363"/>
      <c r="B75" s="363"/>
      <c r="C75" s="363"/>
      <c r="D75" s="363"/>
      <c r="E75" s="363"/>
      <c r="F75" s="363"/>
      <c r="G75" s="363"/>
    </row>
    <row r="76" spans="1:7">
      <c r="A76" s="363"/>
      <c r="B76" s="363"/>
      <c r="C76" s="363"/>
      <c r="D76" s="363"/>
      <c r="E76" s="363"/>
      <c r="F76" s="363"/>
      <c r="G76" s="363"/>
    </row>
    <row r="77" spans="1:7">
      <c r="A77" s="363"/>
      <c r="B77" s="363"/>
      <c r="C77" s="363"/>
      <c r="D77" s="363"/>
      <c r="E77" s="363"/>
      <c r="F77" s="363"/>
      <c r="G77" s="363"/>
    </row>
    <row r="78" spans="1:7">
      <c r="A78" s="363"/>
      <c r="B78" s="363"/>
      <c r="C78" s="363"/>
      <c r="D78" s="363"/>
      <c r="E78" s="363"/>
      <c r="F78" s="363"/>
      <c r="G78" s="363"/>
    </row>
    <row r="79" spans="1:7">
      <c r="A79" s="363"/>
      <c r="B79" s="363"/>
      <c r="C79" s="363"/>
      <c r="D79" s="363"/>
      <c r="E79" s="363"/>
      <c r="F79" s="363"/>
      <c r="G79" s="363"/>
    </row>
    <row r="80" spans="1:7">
      <c r="A80" s="363"/>
      <c r="B80" s="363"/>
      <c r="C80" s="363"/>
      <c r="D80" s="363"/>
      <c r="E80" s="363"/>
      <c r="F80" s="363"/>
      <c r="G80" s="363"/>
    </row>
    <row r="81" spans="1:7">
      <c r="A81" s="363"/>
      <c r="B81" s="363"/>
      <c r="C81" s="363"/>
      <c r="D81" s="363"/>
      <c r="E81" s="363"/>
      <c r="F81" s="363"/>
      <c r="G81" s="363"/>
    </row>
    <row r="82" spans="1:7">
      <c r="A82" s="363"/>
      <c r="B82" s="363"/>
      <c r="C82" s="363"/>
      <c r="D82" s="363"/>
      <c r="E82" s="363"/>
      <c r="F82" s="363"/>
      <c r="G82" s="363"/>
    </row>
    <row r="83" spans="1:7">
      <c r="A83" s="363"/>
      <c r="B83" s="363"/>
      <c r="C83" s="363"/>
      <c r="D83" s="363"/>
      <c r="E83" s="363"/>
      <c r="F83" s="363"/>
      <c r="G83" s="363"/>
    </row>
    <row r="84" spans="1:7">
      <c r="A84" s="363"/>
      <c r="B84" s="363"/>
      <c r="C84" s="363"/>
      <c r="D84" s="363"/>
      <c r="E84" s="363"/>
      <c r="F84" s="363"/>
      <c r="G84" s="363"/>
    </row>
    <row r="85" spans="1:7">
      <c r="A85" s="363"/>
      <c r="B85" s="363"/>
      <c r="C85" s="363"/>
      <c r="D85" s="363"/>
      <c r="E85" s="363"/>
      <c r="F85" s="363"/>
      <c r="G85" s="363"/>
    </row>
    <row r="86" spans="1:7">
      <c r="A86" s="363"/>
      <c r="B86" s="363"/>
      <c r="C86" s="363"/>
      <c r="D86" s="363"/>
      <c r="E86" s="363"/>
      <c r="F86" s="363"/>
      <c r="G86" s="363"/>
    </row>
    <row r="87" spans="1:7">
      <c r="A87" s="363"/>
      <c r="B87" s="363"/>
      <c r="C87" s="363"/>
      <c r="D87" s="363"/>
      <c r="E87" s="363"/>
      <c r="F87" s="363"/>
      <c r="G87" s="363"/>
    </row>
    <row r="88" spans="1:7">
      <c r="A88" s="363"/>
      <c r="B88" s="363"/>
      <c r="C88" s="363"/>
      <c r="D88" s="363"/>
      <c r="E88" s="363"/>
      <c r="F88" s="363"/>
      <c r="G88" s="363"/>
    </row>
    <row r="89" spans="1:7">
      <c r="A89" s="363"/>
      <c r="B89" s="363"/>
      <c r="C89" s="363"/>
      <c r="D89" s="363"/>
      <c r="E89" s="363"/>
      <c r="F89" s="363"/>
      <c r="G89" s="363"/>
    </row>
    <row r="90" spans="1:7">
      <c r="A90" s="363"/>
      <c r="B90" s="363"/>
      <c r="C90" s="363"/>
      <c r="D90" s="363"/>
      <c r="E90" s="363"/>
      <c r="F90" s="363"/>
      <c r="G90" s="363"/>
    </row>
    <row r="91" spans="1:7">
      <c r="A91" s="363"/>
      <c r="B91" s="363"/>
      <c r="C91" s="363"/>
      <c r="D91" s="363"/>
      <c r="E91" s="363"/>
      <c r="F91" s="363"/>
      <c r="G91" s="363"/>
    </row>
    <row r="92" spans="1:7">
      <c r="A92" s="363"/>
      <c r="B92" s="363"/>
      <c r="C92" s="363"/>
      <c r="D92" s="363"/>
      <c r="E92" s="363"/>
      <c r="F92" s="363"/>
      <c r="G92" s="363"/>
    </row>
    <row r="93" spans="1:7">
      <c r="A93" s="363"/>
      <c r="B93" s="363"/>
      <c r="C93" s="363"/>
      <c r="D93" s="363"/>
      <c r="E93" s="363"/>
      <c r="F93" s="363"/>
      <c r="G93" s="363"/>
    </row>
    <row r="94" spans="1:7">
      <c r="A94" s="363"/>
      <c r="B94" s="363"/>
      <c r="C94" s="363"/>
      <c r="D94" s="363"/>
      <c r="E94" s="363"/>
      <c r="F94" s="363"/>
      <c r="G94" s="363"/>
    </row>
    <row r="95" spans="1:7">
      <c r="A95" s="363"/>
      <c r="B95" s="363"/>
      <c r="C95" s="363"/>
      <c r="D95" s="363"/>
      <c r="E95" s="363"/>
      <c r="F95" s="363"/>
      <c r="G95" s="363"/>
    </row>
    <row r="96" spans="1:7">
      <c r="A96" s="363"/>
      <c r="B96" s="363"/>
      <c r="C96" s="363"/>
      <c r="D96" s="363"/>
      <c r="E96" s="363"/>
      <c r="F96" s="363"/>
      <c r="G96" s="363"/>
    </row>
    <row r="97" spans="1:7">
      <c r="A97" s="363"/>
      <c r="B97" s="363"/>
      <c r="C97" s="363"/>
      <c r="D97" s="363"/>
      <c r="E97" s="363"/>
      <c r="F97" s="363"/>
      <c r="G97" s="363"/>
    </row>
    <row r="98" spans="1:7">
      <c r="A98" s="363"/>
      <c r="B98" s="363"/>
      <c r="C98" s="363"/>
      <c r="D98" s="363"/>
      <c r="E98" s="363"/>
      <c r="F98" s="363"/>
      <c r="G98" s="363"/>
    </row>
    <row r="99" spans="1:7">
      <c r="A99" s="363"/>
      <c r="B99" s="363"/>
      <c r="C99" s="363"/>
      <c r="D99" s="363"/>
      <c r="E99" s="363"/>
      <c r="F99" s="363"/>
      <c r="G99" s="363"/>
    </row>
    <row r="100" spans="1:7">
      <c r="A100" s="363"/>
      <c r="B100" s="363"/>
      <c r="C100" s="363"/>
      <c r="D100" s="363"/>
      <c r="E100" s="363"/>
      <c r="F100" s="363"/>
      <c r="G100" s="363"/>
    </row>
    <row r="101" spans="1:7">
      <c r="A101" s="363"/>
      <c r="B101" s="363"/>
      <c r="C101" s="363"/>
      <c r="D101" s="363"/>
      <c r="E101" s="363"/>
      <c r="F101" s="363"/>
      <c r="G101" s="363"/>
    </row>
    <row r="102" spans="1:7">
      <c r="A102" s="363"/>
      <c r="B102" s="363"/>
      <c r="C102" s="363"/>
      <c r="D102" s="363"/>
      <c r="E102" s="363"/>
      <c r="F102" s="363"/>
      <c r="G102" s="363"/>
    </row>
    <row r="103" spans="1:7">
      <c r="A103" s="363"/>
      <c r="B103" s="363"/>
      <c r="C103" s="363"/>
      <c r="D103" s="363"/>
      <c r="E103" s="363"/>
      <c r="F103" s="363"/>
      <c r="G103" s="363"/>
    </row>
    <row r="104" spans="1:7">
      <c r="A104" s="363"/>
      <c r="B104" s="363"/>
      <c r="C104" s="363"/>
      <c r="D104" s="363"/>
      <c r="E104" s="363"/>
      <c r="F104" s="363"/>
      <c r="G104" s="363"/>
    </row>
    <row r="105" spans="1:7">
      <c r="A105" s="363"/>
      <c r="B105" s="363"/>
      <c r="C105" s="363"/>
      <c r="D105" s="363"/>
      <c r="E105" s="363"/>
      <c r="F105" s="363"/>
      <c r="G105" s="363"/>
    </row>
    <row r="106" spans="1:7">
      <c r="A106" s="363"/>
      <c r="B106" s="363"/>
      <c r="C106" s="363"/>
      <c r="D106" s="363"/>
      <c r="E106" s="363"/>
      <c r="F106" s="363"/>
      <c r="G106" s="363"/>
    </row>
    <row r="107" spans="1:7">
      <c r="A107" s="363"/>
      <c r="B107" s="363"/>
      <c r="C107" s="363"/>
      <c r="D107" s="363"/>
      <c r="E107" s="363"/>
      <c r="F107" s="363"/>
      <c r="G107" s="363"/>
    </row>
    <row r="108" spans="1:7">
      <c r="A108" s="363"/>
      <c r="B108" s="363"/>
      <c r="C108" s="363"/>
      <c r="D108" s="363"/>
      <c r="E108" s="363"/>
      <c r="F108" s="363"/>
      <c r="G108" s="363"/>
    </row>
    <row r="109" spans="1:7">
      <c r="A109" s="363"/>
      <c r="B109" s="363"/>
      <c r="C109" s="363"/>
      <c r="D109" s="363"/>
      <c r="E109" s="363"/>
      <c r="F109" s="363"/>
      <c r="G109" s="363"/>
    </row>
    <row r="110" spans="1:7">
      <c r="A110" s="363"/>
      <c r="B110" s="363"/>
      <c r="C110" s="363"/>
      <c r="D110" s="363"/>
      <c r="E110" s="363"/>
      <c r="F110" s="363"/>
      <c r="G110" s="363"/>
    </row>
    <row r="111" spans="1:7">
      <c r="A111" s="363"/>
      <c r="B111" s="363"/>
      <c r="C111" s="363"/>
      <c r="D111" s="363"/>
      <c r="E111" s="363"/>
      <c r="F111" s="363"/>
      <c r="G111" s="363"/>
    </row>
    <row r="112" spans="1:7">
      <c r="A112" s="363"/>
      <c r="B112" s="363"/>
      <c r="C112" s="363"/>
      <c r="D112" s="363"/>
      <c r="E112" s="363"/>
      <c r="F112" s="363"/>
      <c r="G112" s="363"/>
    </row>
    <row r="113" spans="1:7">
      <c r="A113" s="363"/>
      <c r="B113" s="363"/>
      <c r="C113" s="363"/>
      <c r="D113" s="363"/>
      <c r="E113" s="363"/>
      <c r="F113" s="363"/>
      <c r="G113" s="363"/>
    </row>
    <row r="114" spans="1:7">
      <c r="A114" s="363"/>
      <c r="B114" s="363"/>
      <c r="C114" s="363"/>
      <c r="D114" s="363"/>
      <c r="E114" s="363"/>
      <c r="F114" s="363"/>
      <c r="G114" s="363"/>
    </row>
    <row r="115" spans="1:7">
      <c r="A115" s="363"/>
      <c r="B115" s="363"/>
      <c r="C115" s="363"/>
      <c r="D115" s="363"/>
      <c r="E115" s="363"/>
      <c r="F115" s="363"/>
      <c r="G115" s="363"/>
    </row>
    <row r="116" spans="1:7">
      <c r="A116" s="363"/>
      <c r="B116" s="363"/>
      <c r="C116" s="363"/>
      <c r="D116" s="363"/>
      <c r="E116" s="363"/>
      <c r="F116" s="363"/>
      <c r="G116" s="363"/>
    </row>
    <row r="117" spans="1:7">
      <c r="A117" s="363"/>
      <c r="B117" s="363"/>
      <c r="C117" s="363"/>
      <c r="D117" s="363"/>
      <c r="E117" s="363"/>
      <c r="F117" s="363"/>
      <c r="G117" s="363"/>
    </row>
    <row r="118" spans="1:7">
      <c r="A118" s="363"/>
      <c r="B118" s="363"/>
      <c r="C118" s="363"/>
      <c r="D118" s="363"/>
      <c r="E118" s="363"/>
      <c r="F118" s="363"/>
      <c r="G118" s="363"/>
    </row>
    <row r="119" spans="1:7">
      <c r="A119" s="363"/>
      <c r="B119" s="363"/>
      <c r="C119" s="363"/>
      <c r="D119" s="363"/>
      <c r="E119" s="363"/>
      <c r="F119" s="363"/>
      <c r="G119" s="363"/>
    </row>
    <row r="120" spans="1:7">
      <c r="A120" s="363"/>
      <c r="B120" s="363"/>
      <c r="C120" s="363"/>
      <c r="D120" s="363"/>
      <c r="E120" s="363"/>
      <c r="F120" s="363"/>
      <c r="G120" s="363"/>
    </row>
    <row r="121" spans="1:7">
      <c r="A121" s="363"/>
      <c r="B121" s="363"/>
      <c r="C121" s="363"/>
      <c r="D121" s="363"/>
      <c r="E121" s="363"/>
      <c r="F121" s="363"/>
      <c r="G121" s="363"/>
    </row>
    <row r="122" spans="1:7">
      <c r="A122" s="363"/>
      <c r="B122" s="363"/>
      <c r="C122" s="363"/>
      <c r="D122" s="363"/>
      <c r="E122" s="363"/>
      <c r="F122" s="363"/>
      <c r="G122" s="363"/>
    </row>
    <row r="123" spans="1:7">
      <c r="A123" s="363"/>
      <c r="B123" s="363"/>
      <c r="C123" s="363"/>
      <c r="D123" s="363"/>
      <c r="E123" s="363"/>
      <c r="F123" s="363"/>
      <c r="G123" s="363"/>
    </row>
    <row r="124" spans="1:7">
      <c r="A124" s="363"/>
      <c r="B124" s="363"/>
      <c r="C124" s="363"/>
      <c r="D124" s="363"/>
      <c r="E124" s="363"/>
      <c r="F124" s="363"/>
      <c r="G124" s="363"/>
    </row>
    <row r="125" spans="1:7">
      <c r="A125" s="363"/>
      <c r="B125" s="363"/>
      <c r="C125" s="363"/>
      <c r="D125" s="363"/>
      <c r="E125" s="363"/>
      <c r="F125" s="363"/>
      <c r="G125" s="363"/>
    </row>
    <row r="126" spans="1:7">
      <c r="A126" s="363"/>
      <c r="B126" s="363"/>
      <c r="C126" s="363"/>
      <c r="D126" s="363"/>
      <c r="E126" s="363"/>
      <c r="F126" s="363"/>
      <c r="G126" s="363"/>
    </row>
    <row r="127" spans="1:7">
      <c r="A127" s="363"/>
      <c r="B127" s="363"/>
      <c r="C127" s="363"/>
      <c r="D127" s="363"/>
      <c r="E127" s="363"/>
      <c r="F127" s="363"/>
      <c r="G127" s="363"/>
    </row>
    <row r="128" spans="1:7">
      <c r="A128" s="363"/>
      <c r="B128" s="363"/>
      <c r="C128" s="363"/>
      <c r="D128" s="363"/>
      <c r="E128" s="363"/>
      <c r="F128" s="363"/>
      <c r="G128" s="363"/>
    </row>
    <row r="129" spans="1:7">
      <c r="A129" s="363"/>
      <c r="B129" s="363"/>
      <c r="C129" s="363"/>
      <c r="D129" s="363"/>
      <c r="E129" s="363"/>
      <c r="F129" s="363"/>
      <c r="G129" s="363"/>
    </row>
    <row r="130" spans="1:7">
      <c r="A130" s="363"/>
      <c r="B130" s="363"/>
      <c r="C130" s="363"/>
      <c r="D130" s="363"/>
      <c r="E130" s="363"/>
      <c r="F130" s="363"/>
      <c r="G130" s="363"/>
    </row>
    <row r="131" spans="1:7">
      <c r="A131" s="363"/>
      <c r="B131" s="363"/>
      <c r="C131" s="363"/>
      <c r="D131" s="363"/>
      <c r="E131" s="363"/>
      <c r="F131" s="363"/>
      <c r="G131" s="363"/>
    </row>
    <row r="132" spans="1:7">
      <c r="A132" s="363"/>
      <c r="B132" s="363"/>
      <c r="C132" s="363"/>
      <c r="D132" s="363"/>
      <c r="E132" s="363"/>
      <c r="F132" s="363"/>
      <c r="G132" s="363"/>
    </row>
    <row r="133" spans="1:7">
      <c r="A133" s="363"/>
      <c r="B133" s="363"/>
      <c r="C133" s="363"/>
      <c r="D133" s="363"/>
      <c r="E133" s="363"/>
      <c r="F133" s="363"/>
      <c r="G133" s="363"/>
    </row>
    <row r="134" spans="1:7">
      <c r="A134" s="363"/>
      <c r="B134" s="363"/>
      <c r="C134" s="363"/>
      <c r="D134" s="363"/>
      <c r="E134" s="363"/>
      <c r="F134" s="363"/>
      <c r="G134" s="363"/>
    </row>
    <row r="135" spans="1:7">
      <c r="A135" s="363"/>
      <c r="B135" s="363"/>
      <c r="C135" s="363"/>
      <c r="D135" s="363"/>
      <c r="E135" s="363"/>
      <c r="F135" s="363"/>
      <c r="G135" s="363"/>
    </row>
    <row r="136" spans="1:7">
      <c r="A136" s="363"/>
      <c r="B136" s="363"/>
      <c r="C136" s="363"/>
      <c r="D136" s="363"/>
      <c r="E136" s="363"/>
      <c r="F136" s="363"/>
      <c r="G136" s="363"/>
    </row>
    <row r="137" spans="1:7">
      <c r="A137" s="363"/>
      <c r="B137" s="363"/>
      <c r="C137" s="363"/>
      <c r="D137" s="363"/>
      <c r="E137" s="363"/>
      <c r="F137" s="363"/>
      <c r="G137" s="363"/>
    </row>
    <row r="138" spans="1:7">
      <c r="A138" s="363"/>
      <c r="B138" s="363"/>
      <c r="C138" s="363"/>
      <c r="D138" s="363"/>
      <c r="E138" s="363"/>
      <c r="F138" s="363"/>
      <c r="G138" s="363"/>
    </row>
    <row r="139" spans="1:7">
      <c r="A139" s="363"/>
      <c r="B139" s="363"/>
      <c r="C139" s="363"/>
      <c r="D139" s="363"/>
      <c r="E139" s="363"/>
      <c r="F139" s="363"/>
      <c r="G139" s="363"/>
    </row>
    <row r="140" spans="1:7">
      <c r="A140" s="367"/>
      <c r="B140" s="367"/>
      <c r="C140" s="367"/>
      <c r="D140" s="367"/>
      <c r="E140" s="368"/>
      <c r="F140" s="368"/>
      <c r="G140" s="367"/>
    </row>
    <row r="141" spans="1:7">
      <c r="A141" s="367"/>
      <c r="B141" s="367"/>
      <c r="C141" s="367"/>
      <c r="D141" s="367"/>
      <c r="E141" s="368"/>
      <c r="F141" s="368"/>
      <c r="G141" s="367"/>
    </row>
    <row r="142" spans="1:7">
      <c r="A142" s="367"/>
      <c r="B142" s="367"/>
      <c r="C142" s="367"/>
      <c r="D142" s="367"/>
      <c r="E142" s="368"/>
      <c r="F142" s="368"/>
      <c r="G142" s="367"/>
    </row>
    <row r="143" spans="1:7">
      <c r="A143" s="367"/>
      <c r="B143" s="367"/>
      <c r="C143" s="367"/>
      <c r="D143" s="367"/>
      <c r="E143" s="368"/>
      <c r="F143" s="368"/>
      <c r="G143" s="367"/>
    </row>
    <row r="144" spans="1:7">
      <c r="A144" s="367"/>
      <c r="B144" s="367"/>
      <c r="C144" s="367"/>
      <c r="D144" s="367"/>
      <c r="E144" s="368"/>
      <c r="F144" s="368"/>
      <c r="G144" s="367"/>
    </row>
    <row r="145" spans="1:7">
      <c r="A145" s="367"/>
      <c r="B145" s="367"/>
      <c r="C145" s="367"/>
      <c r="D145" s="367"/>
      <c r="E145" s="368"/>
      <c r="F145" s="368"/>
      <c r="G145" s="367"/>
    </row>
    <row r="146" spans="1:7">
      <c r="A146" s="367"/>
      <c r="B146" s="367"/>
      <c r="C146" s="367"/>
      <c r="D146" s="367"/>
      <c r="E146" s="368"/>
      <c r="F146" s="368"/>
      <c r="G146" s="367"/>
    </row>
    <row r="147" spans="1:7">
      <c r="A147" s="367"/>
      <c r="B147" s="367"/>
      <c r="C147" s="367"/>
      <c r="D147" s="367"/>
      <c r="E147" s="368"/>
      <c r="F147" s="368"/>
      <c r="G147" s="367"/>
    </row>
    <row r="148" spans="1:7">
      <c r="A148" s="367"/>
      <c r="B148" s="367"/>
      <c r="C148" s="367"/>
      <c r="D148" s="367"/>
      <c r="E148" s="368"/>
      <c r="F148" s="368"/>
      <c r="G148" s="367"/>
    </row>
    <row r="149" spans="1:7">
      <c r="A149" s="367"/>
      <c r="B149" s="367"/>
      <c r="C149" s="367"/>
      <c r="D149" s="367"/>
      <c r="E149" s="368"/>
      <c r="F149" s="368"/>
      <c r="G149" s="367"/>
    </row>
    <row r="150" spans="1:7">
      <c r="A150" s="367"/>
      <c r="B150" s="367"/>
      <c r="C150" s="367"/>
      <c r="D150" s="367"/>
      <c r="E150" s="368"/>
      <c r="F150" s="368"/>
      <c r="G150" s="367"/>
    </row>
    <row r="151" spans="1:7">
      <c r="A151" s="367"/>
      <c r="B151" s="367"/>
      <c r="C151" s="367"/>
      <c r="D151" s="367"/>
      <c r="E151" s="368"/>
      <c r="F151" s="368"/>
      <c r="G151" s="367"/>
    </row>
    <row r="152" spans="1:7" ht="18.75">
      <c r="A152" s="367"/>
      <c r="B152" s="367"/>
      <c r="C152" s="367"/>
      <c r="D152" s="367"/>
      <c r="E152" s="368"/>
      <c r="F152" s="368"/>
      <c r="G152" s="310"/>
    </row>
    <row r="153" spans="1:7" ht="18.75">
      <c r="A153" s="310"/>
      <c r="B153" s="310"/>
      <c r="C153" s="310"/>
      <c r="D153" s="310"/>
      <c r="E153" s="369"/>
      <c r="F153" s="369"/>
      <c r="G153" s="310"/>
    </row>
    <row r="154" spans="1:7" ht="18.75">
      <c r="A154" s="310"/>
      <c r="B154" s="310"/>
      <c r="C154" s="310"/>
      <c r="D154" s="310"/>
      <c r="E154" s="369"/>
      <c r="F154" s="369"/>
      <c r="G154" s="310"/>
    </row>
    <row r="155" spans="1:7">
      <c r="E155" s="369"/>
      <c r="F155" s="369"/>
    </row>
    <row r="156" spans="1:7">
      <c r="E156" s="369"/>
      <c r="F156" s="369"/>
    </row>
    <row r="157" spans="1:7">
      <c r="E157" s="369"/>
      <c r="F157" s="369"/>
    </row>
    <row r="158" spans="1:7">
      <c r="E158" s="369"/>
      <c r="F158" s="369"/>
    </row>
    <row r="159" spans="1:7">
      <c r="E159" s="369"/>
      <c r="F159" s="369"/>
    </row>
    <row r="160" spans="1:7">
      <c r="E160" s="369"/>
      <c r="F160" s="369"/>
    </row>
    <row r="161" spans="5:6">
      <c r="E161" s="369"/>
      <c r="F161" s="369"/>
    </row>
    <row r="162" spans="5:6">
      <c r="E162" s="369"/>
      <c r="F162" s="369"/>
    </row>
    <row r="163" spans="5:6">
      <c r="E163" s="369"/>
      <c r="F163" s="369"/>
    </row>
    <row r="164" spans="5:6">
      <c r="E164" s="369"/>
      <c r="F164" s="369"/>
    </row>
    <row r="165" spans="5:6">
      <c r="E165" s="369"/>
      <c r="F165" s="369"/>
    </row>
    <row r="166" spans="5:6">
      <c r="E166" s="369"/>
      <c r="F166" s="369"/>
    </row>
    <row r="167" spans="5:6">
      <c r="E167" s="369"/>
      <c r="F167" s="369"/>
    </row>
    <row r="168" spans="5:6">
      <c r="E168" s="369"/>
      <c r="F168" s="369"/>
    </row>
    <row r="169" spans="5:6">
      <c r="E169" s="369"/>
      <c r="F169" s="369"/>
    </row>
    <row r="170" spans="5:6">
      <c r="E170" s="369"/>
      <c r="F170" s="369"/>
    </row>
    <row r="171" spans="5:6">
      <c r="E171" s="369"/>
      <c r="F171" s="369"/>
    </row>
    <row r="172" spans="5:6">
      <c r="E172" s="369"/>
      <c r="F172" s="369"/>
    </row>
    <row r="173" spans="5:6">
      <c r="E173" s="369"/>
      <c r="F173" s="369"/>
    </row>
    <row r="174" spans="5:6">
      <c r="E174" s="369"/>
      <c r="F174" s="369"/>
    </row>
    <row r="175" spans="5:6">
      <c r="E175" s="369"/>
      <c r="F175" s="369"/>
    </row>
    <row r="176" spans="5:6">
      <c r="E176" s="369"/>
      <c r="F176" s="369"/>
    </row>
    <row r="177" spans="5:6">
      <c r="E177" s="369"/>
      <c r="F177" s="369"/>
    </row>
    <row r="178" spans="5:6">
      <c r="E178" s="369"/>
      <c r="F178" s="369"/>
    </row>
    <row r="179" spans="5:6">
      <c r="E179" s="369"/>
      <c r="F179" s="369"/>
    </row>
    <row r="180" spans="5:6">
      <c r="E180" s="369"/>
      <c r="F180" s="369"/>
    </row>
    <row r="181" spans="5:6">
      <c r="E181" s="369"/>
      <c r="F181" s="369"/>
    </row>
    <row r="182" spans="5:6">
      <c r="E182" s="369"/>
      <c r="F182" s="369"/>
    </row>
    <row r="183" spans="5:6">
      <c r="E183" s="369"/>
      <c r="F183" s="369"/>
    </row>
    <row r="184" spans="5:6">
      <c r="E184" s="369"/>
      <c r="F184" s="369"/>
    </row>
    <row r="185" spans="5:6">
      <c r="E185" s="369"/>
      <c r="F185" s="369"/>
    </row>
    <row r="186" spans="5:6">
      <c r="E186" s="369"/>
      <c r="F186" s="369"/>
    </row>
    <row r="187" spans="5:6">
      <c r="E187" s="369"/>
      <c r="F187" s="369"/>
    </row>
    <row r="188" spans="5:6">
      <c r="E188" s="369"/>
      <c r="F188" s="369"/>
    </row>
    <row r="189" spans="5:6">
      <c r="E189" s="369"/>
      <c r="F189" s="369"/>
    </row>
    <row r="190" spans="5:6">
      <c r="E190" s="369"/>
      <c r="F190" s="369"/>
    </row>
    <row r="191" spans="5:6">
      <c r="E191" s="369"/>
      <c r="F191" s="369"/>
    </row>
    <row r="192" spans="5:6">
      <c r="E192" s="369"/>
      <c r="F192" s="369"/>
    </row>
    <row r="193" spans="5:6">
      <c r="E193" s="369"/>
      <c r="F193" s="369"/>
    </row>
    <row r="194" spans="5:6">
      <c r="E194" s="369"/>
      <c r="F194" s="369"/>
    </row>
    <row r="195" spans="5:6">
      <c r="E195" s="369"/>
      <c r="F195" s="369"/>
    </row>
    <row r="196" spans="5:6">
      <c r="E196" s="369"/>
      <c r="F196" s="369"/>
    </row>
    <row r="197" spans="5:6">
      <c r="E197" s="369"/>
      <c r="F197" s="369"/>
    </row>
    <row r="198" spans="5:6">
      <c r="E198" s="369"/>
      <c r="F198" s="369"/>
    </row>
    <row r="199" spans="5:6">
      <c r="E199" s="369"/>
      <c r="F199" s="369"/>
    </row>
    <row r="200" spans="5:6">
      <c r="E200" s="369"/>
      <c r="F200" s="369"/>
    </row>
  </sheetData>
  <pageMargins left="0.78740157480314998" right="0.47244094488188998" top="0.74803149606299202" bottom="0.47244094488188998" header="0.43307086614173201" footer="0.31496062992126"/>
  <pageSetup paperSize="9" scale="97" fitToHeight="0" orientation="portrait" r:id="rId1"/>
  <headerFooter alignWithMargins="0">
    <oddHeader>&amp;C&amp;"Times New Roman,Regular"&amp;13&amp;P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1.SXNN</vt:lpstr>
      <vt:lpstr>2.IIPthang</vt:lpstr>
      <vt:lpstr>3.SPCNthang</vt:lpstr>
      <vt:lpstr>4.LĐCN</vt:lpstr>
      <vt:lpstr>5. LĐCN_DP</vt:lpstr>
      <vt:lpstr>6. Chi tieu DN</vt:lpstr>
      <vt:lpstr>7. DN DK thanh lap</vt:lpstr>
      <vt:lpstr>8. DN quay lai hoat dong</vt:lpstr>
      <vt:lpstr>9. DN Ngừng có thời hạn</vt:lpstr>
      <vt:lpstr>10. DN giải thể</vt:lpstr>
      <vt:lpstr>11.VDT</vt:lpstr>
      <vt:lpstr>12. FDI</vt:lpstr>
      <vt:lpstr>13. Tongmuc</vt:lpstr>
      <vt:lpstr>14.XK tháng</vt:lpstr>
      <vt:lpstr>15. NK tháng</vt:lpstr>
      <vt:lpstr>16.CPI</vt:lpstr>
      <vt:lpstr>17. VT HK</vt:lpstr>
      <vt:lpstr>18. VT HH</vt:lpstr>
      <vt:lpstr>19. KQT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ltanh</dc:creator>
  <cp:lastModifiedBy>GSO.LTANH</cp:lastModifiedBy>
  <cp:lastPrinted>2025-05-05T13:05:26Z</cp:lastPrinted>
  <dcterms:created xsi:type="dcterms:W3CDTF">2025-04-29T09:46:03Z</dcterms:created>
  <dcterms:modified xsi:type="dcterms:W3CDTF">2025-05-06T01:27:16Z</dcterms:modified>
</cp:coreProperties>
</file>