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01 Bao cao thang\2025\Thang 12\Tổng hợp\"/>
    </mc:Choice>
  </mc:AlternateContent>
  <bookViews>
    <workbookView xWindow="-105" yWindow="-105" windowWidth="19425" windowHeight="10305" firstSheet="10" activeTab="13"/>
  </bookViews>
  <sheets>
    <sheet name="1.GDP HH" sheetId="47" r:id="rId1"/>
    <sheet name="2. GDP SS" sheetId="48" r:id="rId2"/>
    <sheet name="3.Tien do" sheetId="1" r:id="rId3"/>
    <sheet name="4. Cay trong chu yeu" sheetId="2" r:id="rId4"/>
    <sheet name="5.Cay CN hang nam" sheetId="3" r:id="rId5"/>
    <sheet name="6.Cay lau nam" sheetId="55" r:id="rId6"/>
    <sheet name="7.Chan nuoi" sheetId="5" r:id="rId7"/>
    <sheet name="8. Lam nghiep" sheetId="6" r:id="rId8"/>
    <sheet name="9.Thuy san" sheetId="7" r:id="rId9"/>
    <sheet name="10.IIPthang" sheetId="8" r:id="rId10"/>
    <sheet name="11.IIPquy" sheetId="9" r:id="rId11"/>
    <sheet name="12.SPCNthang" sheetId="10" r:id="rId12"/>
    <sheet name="13.SPCNquy" sheetId="11" r:id="rId13"/>
    <sheet name="14.CS TT TK" sheetId="12" r:id="rId14"/>
    <sheet name="15.LĐCN" sheetId="13" r:id="rId15"/>
    <sheet name="16. LĐCN_DP" sheetId="14" r:id="rId16"/>
    <sheet name="17. Chi tieu DN" sheetId="38" r:id="rId17"/>
    <sheet name="18. DN DK thanh lap" sheetId="39" r:id="rId18"/>
    <sheet name="19. DN quay lai hoat dong" sheetId="40" r:id="rId19"/>
    <sheet name="20. DN Ngừng có thời hạn" sheetId="41" r:id="rId20"/>
    <sheet name="21. DN giải thể" sheetId="42" r:id="rId21"/>
    <sheet name="22.VĐT" sheetId="15" r:id="rId22"/>
    <sheet name="23.VĐT NSNN" sheetId="16" r:id="rId23"/>
    <sheet name="24.VĐT NSNN quý" sheetId="17" r:id="rId24"/>
    <sheet name="25.FDI" sheetId="53" r:id="rId25"/>
    <sheet name="26.Tongmuc" sheetId="18" r:id="rId26"/>
    <sheet name="27.TM_Quy" sheetId="19" r:id="rId27"/>
    <sheet name="28.XK tháng" sheetId="49" r:id="rId28"/>
    <sheet name="29.NK tháng" sheetId="50" r:id="rId29"/>
    <sheet name="30.XK quý" sheetId="51" r:id="rId30"/>
    <sheet name="31.NK quý" sheetId="52" r:id="rId31"/>
    <sheet name="32.XNK Dich vu" sheetId="30" r:id="rId32"/>
    <sheet name="33.CPI" sheetId="37" r:id="rId33"/>
    <sheet name="34.Gia SX" sheetId="31" r:id="rId34"/>
    <sheet name="35.Gia Van tai" sheetId="32" r:id="rId35"/>
    <sheet name="36.Gia NVL" sheetId="33" r:id="rId36"/>
    <sheet name="37.Gia XK" sheetId="34" r:id="rId37"/>
    <sheet name="38.Gia NK" sheetId="35" r:id="rId38"/>
    <sheet name="39.TygiaTM" sheetId="36" r:id="rId39"/>
    <sheet name="40.Van tai HK" sheetId="20" r:id="rId40"/>
    <sheet name="41.Van tai HK quy" sheetId="21" r:id="rId41"/>
    <sheet name="42. VT HH" sheetId="22" r:id="rId42"/>
    <sheet name="43.Van tai HH quy" sheetId="23" r:id="rId43"/>
    <sheet name="44.KQT" sheetId="24" r:id="rId44"/>
    <sheet name="45.KQT quy" sheetId="25" r:id="rId45"/>
    <sheet name="46.DS" sheetId="43" r:id="rId46"/>
    <sheet name="47.Laodong" sheetId="44" r:id="rId47"/>
    <sheet name="48.thatnghiep" sheetId="45" r:id="rId48"/>
    <sheet name="49.LĐPhiCT" sheetId="46" r:id="rId49"/>
    <sheet name="50.XHMT" sheetId="56" r:id="rId50"/>
  </sheets>
  <externalReferences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0" localSheetId="10">'[1]PNT-QUOT-#3'!#REF!</definedName>
    <definedName name="\0" localSheetId="11">'[2]PNT-QUOT-#3'!#REF!</definedName>
    <definedName name="\0" localSheetId="12">'[1]PNT-QUOT-#3'!#REF!</definedName>
    <definedName name="\0" localSheetId="15">'[3]PNT-QUOT-#3'!#REF!</definedName>
    <definedName name="\0" localSheetId="17">'[1]PNT-QUOT-#3'!#REF!</definedName>
    <definedName name="\0" localSheetId="18">'[1]PNT-QUOT-#3'!#REF!</definedName>
    <definedName name="\0" localSheetId="19">'[1]PNT-QUOT-#3'!#REF!</definedName>
    <definedName name="\0" localSheetId="20">'[1]PNT-QUOT-#3'!#REF!</definedName>
    <definedName name="\0" localSheetId="31">'[3]PNT-QUOT-#3'!#REF!</definedName>
    <definedName name="\0" localSheetId="32">'[2]PNT-QUOT-#3'!#REF!</definedName>
    <definedName name="\0" localSheetId="3">'[3]PNT-QUOT-#3'!#REF!</definedName>
    <definedName name="\0" localSheetId="40">'[2]PNT-QUOT-#3'!#REF!</definedName>
    <definedName name="\0" localSheetId="42">'[2]PNT-QUOT-#3'!#REF!</definedName>
    <definedName name="\0" localSheetId="44">'[2]PNT-QUOT-#3'!#REF!</definedName>
    <definedName name="\0" localSheetId="49">'[1]PNT-QUOT-#3'!#REF!</definedName>
    <definedName name="\0" localSheetId="5">'[2]PNT-QUOT-#3'!#REF!</definedName>
    <definedName name="\0">'[2]PNT-QUOT-#3'!#REF!</definedName>
    <definedName name="\z" localSheetId="10">'[1]COAT&amp;WRAP-QIOT-#3'!#REF!</definedName>
    <definedName name="\z" localSheetId="11">'[2]COAT&amp;WRAP-QIOT-#3'!#REF!</definedName>
    <definedName name="\z" localSheetId="12">'[1]COAT&amp;WRAP-QIOT-#3'!#REF!</definedName>
    <definedName name="\z" localSheetId="15">'[3]COAT&amp;WRAP-QIOT-#3'!#REF!</definedName>
    <definedName name="\z" localSheetId="17">'[1]COAT&amp;WRAP-QIOT-#3'!#REF!</definedName>
    <definedName name="\z" localSheetId="18">'[1]COAT&amp;WRAP-QIOT-#3'!#REF!</definedName>
    <definedName name="\z" localSheetId="19">'[1]COAT&amp;WRAP-QIOT-#3'!#REF!</definedName>
    <definedName name="\z" localSheetId="20">'[1]COAT&amp;WRAP-QIOT-#3'!#REF!</definedName>
    <definedName name="\z" localSheetId="31">'[3]COAT&amp;WRAP-QIOT-#3'!#REF!</definedName>
    <definedName name="\z" localSheetId="32">'[2]COAT&amp;WRAP-QIOT-#3'!#REF!</definedName>
    <definedName name="\z" localSheetId="3">'[3]COAT&amp;WRAP-QIOT-#3'!#REF!</definedName>
    <definedName name="\z" localSheetId="40">'[2]COAT&amp;WRAP-QIOT-#3'!#REF!</definedName>
    <definedName name="\z" localSheetId="42">'[2]COAT&amp;WRAP-QIOT-#3'!#REF!</definedName>
    <definedName name="\z" localSheetId="44">'[2]COAT&amp;WRAP-QIOT-#3'!#REF!</definedName>
    <definedName name="\z" localSheetId="49">'[1]COAT&amp;WRAP-QIOT-#3'!#REF!</definedName>
    <definedName name="\z" localSheetId="5">'[2]COAT&amp;WRAP-QIOT-#3'!#REF!</definedName>
    <definedName name="\z">'[2]COAT&amp;WRAP-QIOT-#3'!#REF!</definedName>
    <definedName name="__________________________h1" localSheetId="32" hidden="1">{"'TDTGT (theo Dphuong)'!$A$4:$F$75"}</definedName>
    <definedName name="__________________________h1" localSheetId="49" hidden="1">{"'TDTGT (theo Dphuong)'!$A$4:$F$75"}</definedName>
    <definedName name="__________________________h1" localSheetId="5" hidden="1">{"'TDTGT (theo Dphuong)'!$A$4:$F$75"}</definedName>
    <definedName name="__________________________h1" hidden="1">{"'TDTGT (theo Dphuong)'!$A$4:$F$75"}</definedName>
    <definedName name="_________________________h1" localSheetId="32" hidden="1">{"'TDTGT (theo Dphuong)'!$A$4:$F$75"}</definedName>
    <definedName name="_________________________h1" localSheetId="49" hidden="1">{"'TDTGT (theo Dphuong)'!$A$4:$F$75"}</definedName>
    <definedName name="_________________________h1" localSheetId="5" hidden="1">{"'TDTGT (theo Dphuong)'!$A$4:$F$75"}</definedName>
    <definedName name="_________________________h1" hidden="1">{"'TDTGT (theo Dphuong)'!$A$4:$F$75"}</definedName>
    <definedName name="________________________h1" localSheetId="32" hidden="1">{"'TDTGT (theo Dphuong)'!$A$4:$F$75"}</definedName>
    <definedName name="________________________h1" localSheetId="49" hidden="1">{"'TDTGT (theo Dphuong)'!$A$4:$F$75"}</definedName>
    <definedName name="________________________h1" localSheetId="5" hidden="1">{"'TDTGT (theo Dphuong)'!$A$4:$F$75"}</definedName>
    <definedName name="________________________h1" hidden="1">{"'TDTGT (theo Dphuong)'!$A$4:$F$75"}</definedName>
    <definedName name="_______________________h1" localSheetId="32" hidden="1">{"'TDTGT (theo Dphuong)'!$A$4:$F$75"}</definedName>
    <definedName name="_______________________h1" localSheetId="49" hidden="1">{"'TDTGT (theo Dphuong)'!$A$4:$F$75"}</definedName>
    <definedName name="_______________________h1" localSheetId="5" hidden="1">{"'TDTGT (theo Dphuong)'!$A$4:$F$75"}</definedName>
    <definedName name="_______________________h1" hidden="1">{"'TDTGT (theo Dphuong)'!$A$4:$F$75"}</definedName>
    <definedName name="______________________h1" localSheetId="32" hidden="1">{"'TDTGT (theo Dphuong)'!$A$4:$F$75"}</definedName>
    <definedName name="______________________h1" localSheetId="49" hidden="1">{"'TDTGT (theo Dphuong)'!$A$4:$F$75"}</definedName>
    <definedName name="______________________h1" localSheetId="5" hidden="1">{"'TDTGT (theo Dphuong)'!$A$4:$F$75"}</definedName>
    <definedName name="______________________h1" hidden="1">{"'TDTGT (theo Dphuong)'!$A$4:$F$75"}</definedName>
    <definedName name="_____________________h1" localSheetId="32" hidden="1">{"'TDTGT (theo Dphuong)'!$A$4:$F$75"}</definedName>
    <definedName name="_____________________h1" localSheetId="49" hidden="1">{"'TDTGT (theo Dphuong)'!$A$4:$F$75"}</definedName>
    <definedName name="_____________________h1" localSheetId="5" hidden="1">{"'TDTGT (theo Dphuong)'!$A$4:$F$75"}</definedName>
    <definedName name="_____________________h1" hidden="1">{"'TDTGT (theo Dphuong)'!$A$4:$F$75"}</definedName>
    <definedName name="____________________h1" localSheetId="32" hidden="1">{"'TDTGT (theo Dphuong)'!$A$4:$F$75"}</definedName>
    <definedName name="____________________h1" localSheetId="49" hidden="1">{"'TDTGT (theo Dphuong)'!$A$4:$F$75"}</definedName>
    <definedName name="____________________h1" localSheetId="5" hidden="1">{"'TDTGT (theo Dphuong)'!$A$4:$F$75"}</definedName>
    <definedName name="____________________h1" hidden="1">{"'TDTGT (theo Dphuong)'!$A$4:$F$75"}</definedName>
    <definedName name="___________________h1" localSheetId="32" hidden="1">{"'TDTGT (theo Dphuong)'!$A$4:$F$75"}</definedName>
    <definedName name="___________________h1" localSheetId="49" hidden="1">{"'TDTGT (theo Dphuong)'!$A$4:$F$75"}</definedName>
    <definedName name="___________________h1" localSheetId="5" hidden="1">{"'TDTGT (theo Dphuong)'!$A$4:$F$75"}</definedName>
    <definedName name="___________________h1" hidden="1">{"'TDTGT (theo Dphuong)'!$A$4:$F$75"}</definedName>
    <definedName name="__________________h1" localSheetId="32" hidden="1">{"'TDTGT (theo Dphuong)'!$A$4:$F$75"}</definedName>
    <definedName name="__________________h1" localSheetId="49" hidden="1">{"'TDTGT (theo Dphuong)'!$A$4:$F$75"}</definedName>
    <definedName name="__________________h1" localSheetId="5" hidden="1">{"'TDTGT (theo Dphuong)'!$A$4:$F$75"}</definedName>
    <definedName name="__________________h1" hidden="1">{"'TDTGT (theo Dphuong)'!$A$4:$F$75"}</definedName>
    <definedName name="_________________B5" localSheetId="32" hidden="1">{#N/A,#N/A,FALSE,"Chung"}</definedName>
    <definedName name="_________________B5" localSheetId="49" hidden="1">{#N/A,#N/A,FALSE,"Chung"}</definedName>
    <definedName name="_________________B5" localSheetId="5" hidden="1">{#N/A,#N/A,FALSE,"Chung"}</definedName>
    <definedName name="_________________B5" hidden="1">{#N/A,#N/A,FALSE,"Chung"}</definedName>
    <definedName name="_________________h1" localSheetId="32" hidden="1">{"'TDTGT (theo Dphuong)'!$A$4:$F$75"}</definedName>
    <definedName name="_________________h1" localSheetId="49" hidden="1">{"'TDTGT (theo Dphuong)'!$A$4:$F$75"}</definedName>
    <definedName name="_________________h1" localSheetId="5" hidden="1">{"'TDTGT (theo Dphuong)'!$A$4:$F$75"}</definedName>
    <definedName name="_________________h1" hidden="1">{"'TDTGT (theo Dphuong)'!$A$4:$F$75"}</definedName>
    <definedName name="_________________h2" localSheetId="32" hidden="1">{"'TDTGT (theo Dphuong)'!$A$4:$F$75"}</definedName>
    <definedName name="_________________h2" localSheetId="49" hidden="1">{"'TDTGT (theo Dphuong)'!$A$4:$F$75"}</definedName>
    <definedName name="_________________h2" localSheetId="5" hidden="1">{"'TDTGT (theo Dphuong)'!$A$4:$F$75"}</definedName>
    <definedName name="_________________h2" hidden="1">{"'TDTGT (theo Dphuong)'!$A$4:$F$75"}</definedName>
    <definedName name="________________h1" localSheetId="32" hidden="1">{"'TDTGT (theo Dphuong)'!$A$4:$F$75"}</definedName>
    <definedName name="________________h1" localSheetId="49" hidden="1">{"'TDTGT (theo Dphuong)'!$A$4:$F$75"}</definedName>
    <definedName name="________________h1" localSheetId="5" hidden="1">{"'TDTGT (theo Dphuong)'!$A$4:$F$75"}</definedName>
    <definedName name="________________h1" hidden="1">{"'TDTGT (theo Dphuong)'!$A$4:$F$75"}</definedName>
    <definedName name="_______________B5" localSheetId="32" hidden="1">{#N/A,#N/A,FALSE,"Chung"}</definedName>
    <definedName name="_______________B5" localSheetId="49" hidden="1">{#N/A,#N/A,FALSE,"Chung"}</definedName>
    <definedName name="_______________B5" localSheetId="5" hidden="1">{#N/A,#N/A,FALSE,"Chung"}</definedName>
    <definedName name="_______________B5" hidden="1">{#N/A,#N/A,FALSE,"Chung"}</definedName>
    <definedName name="_______________h1" localSheetId="32" hidden="1">{"'TDTGT (theo Dphuong)'!$A$4:$F$75"}</definedName>
    <definedName name="_______________h1" localSheetId="49" hidden="1">{"'TDTGT (theo Dphuong)'!$A$4:$F$75"}</definedName>
    <definedName name="_______________h1" localSheetId="5" hidden="1">{"'TDTGT (theo Dphuong)'!$A$4:$F$75"}</definedName>
    <definedName name="_______________h1" hidden="1">{"'TDTGT (theo Dphuong)'!$A$4:$F$75"}</definedName>
    <definedName name="_______________h2" localSheetId="32" hidden="1">{"'TDTGT (theo Dphuong)'!$A$4:$F$75"}</definedName>
    <definedName name="_______________h2" localSheetId="49" hidden="1">{"'TDTGT (theo Dphuong)'!$A$4:$F$75"}</definedName>
    <definedName name="_______________h2" localSheetId="5" hidden="1">{"'TDTGT (theo Dphuong)'!$A$4:$F$75"}</definedName>
    <definedName name="_______________h2" hidden="1">{"'TDTGT (theo Dphuong)'!$A$4:$F$75"}</definedName>
    <definedName name="______________B5" localSheetId="32" hidden="1">{#N/A,#N/A,FALSE,"Chung"}</definedName>
    <definedName name="______________B5" localSheetId="49" hidden="1">{#N/A,#N/A,FALSE,"Chung"}</definedName>
    <definedName name="______________B5" localSheetId="5" hidden="1">{#N/A,#N/A,FALSE,"Chung"}</definedName>
    <definedName name="______________B5" hidden="1">{#N/A,#N/A,FALSE,"Chung"}</definedName>
    <definedName name="______________h1" localSheetId="32" hidden="1">{"'TDTGT (theo Dphuong)'!$A$4:$F$75"}</definedName>
    <definedName name="______________h1" localSheetId="49" hidden="1">{"'TDTGT (theo Dphuong)'!$A$4:$F$75"}</definedName>
    <definedName name="______________h1" localSheetId="5" hidden="1">{"'TDTGT (theo Dphuong)'!$A$4:$F$75"}</definedName>
    <definedName name="______________h1" hidden="1">{"'TDTGT (theo Dphuong)'!$A$4:$F$75"}</definedName>
    <definedName name="______________h2" localSheetId="32" hidden="1">{"'TDTGT (theo Dphuong)'!$A$4:$F$75"}</definedName>
    <definedName name="______________h2" localSheetId="49" hidden="1">{"'TDTGT (theo Dphuong)'!$A$4:$F$75"}</definedName>
    <definedName name="______________h2" localSheetId="5" hidden="1">{"'TDTGT (theo Dphuong)'!$A$4:$F$75"}</definedName>
    <definedName name="______________h2" hidden="1">{"'TDTGT (theo Dphuong)'!$A$4:$F$75"}</definedName>
    <definedName name="_____________h1" localSheetId="32" hidden="1">{"'TDTGT (theo Dphuong)'!$A$4:$F$75"}</definedName>
    <definedName name="_____________h1" localSheetId="49" hidden="1">{"'TDTGT (theo Dphuong)'!$A$4:$F$75"}</definedName>
    <definedName name="_____________h1" localSheetId="5" hidden="1">{"'TDTGT (theo Dphuong)'!$A$4:$F$75"}</definedName>
    <definedName name="_____________h1" hidden="1">{"'TDTGT (theo Dphuong)'!$A$4:$F$75"}</definedName>
    <definedName name="____________B5" localSheetId="32" hidden="1">{#N/A,#N/A,FALSE,"Chung"}</definedName>
    <definedName name="____________B5" localSheetId="49" hidden="1">{#N/A,#N/A,FALSE,"Chung"}</definedName>
    <definedName name="____________B5" localSheetId="5" hidden="1">{#N/A,#N/A,FALSE,"Chung"}</definedName>
    <definedName name="____________B5" hidden="1">{#N/A,#N/A,FALSE,"Chung"}</definedName>
    <definedName name="____________h1" localSheetId="32" hidden="1">{"'TDTGT (theo Dphuong)'!$A$4:$F$75"}</definedName>
    <definedName name="____________h1" localSheetId="49" hidden="1">{"'TDTGT (theo Dphuong)'!$A$4:$F$75"}</definedName>
    <definedName name="____________h1" localSheetId="5" hidden="1">{"'TDTGT (theo Dphuong)'!$A$4:$F$75"}</definedName>
    <definedName name="____________h1" hidden="1">{"'TDTGT (theo Dphuong)'!$A$4:$F$75"}</definedName>
    <definedName name="____________h2" localSheetId="32" hidden="1">{"'TDTGT (theo Dphuong)'!$A$4:$F$75"}</definedName>
    <definedName name="____________h2" localSheetId="49" hidden="1">{"'TDTGT (theo Dphuong)'!$A$4:$F$75"}</definedName>
    <definedName name="____________h2" localSheetId="5" hidden="1">{"'TDTGT (theo Dphuong)'!$A$4:$F$75"}</definedName>
    <definedName name="____________h2" hidden="1">{"'TDTGT (theo Dphuong)'!$A$4:$F$75"}</definedName>
    <definedName name="___________B5" localSheetId="32" hidden="1">{#N/A,#N/A,FALSE,"Chung"}</definedName>
    <definedName name="___________B5" localSheetId="49" hidden="1">{#N/A,#N/A,FALSE,"Chung"}</definedName>
    <definedName name="___________B5" localSheetId="5" hidden="1">{#N/A,#N/A,FALSE,"Chung"}</definedName>
    <definedName name="___________B5" hidden="1">{#N/A,#N/A,FALSE,"Chung"}</definedName>
    <definedName name="___________h1" localSheetId="32" hidden="1">{"'TDTGT (theo Dphuong)'!$A$4:$F$75"}</definedName>
    <definedName name="___________h1" localSheetId="49" hidden="1">{"'TDTGT (theo Dphuong)'!$A$4:$F$75"}</definedName>
    <definedName name="___________h1" localSheetId="5" hidden="1">{"'TDTGT (theo Dphuong)'!$A$4:$F$75"}</definedName>
    <definedName name="___________h1" hidden="1">{"'TDTGT (theo Dphuong)'!$A$4:$F$75"}</definedName>
    <definedName name="___________h2" localSheetId="32" hidden="1">{"'TDTGT (theo Dphuong)'!$A$4:$F$75"}</definedName>
    <definedName name="___________h2" localSheetId="49" hidden="1">{"'TDTGT (theo Dphuong)'!$A$4:$F$75"}</definedName>
    <definedName name="___________h2" localSheetId="5" hidden="1">{"'TDTGT (theo Dphuong)'!$A$4:$F$75"}</definedName>
    <definedName name="___________h2" hidden="1">{"'TDTGT (theo Dphuong)'!$A$4:$F$75"}</definedName>
    <definedName name="__________h1" localSheetId="32" hidden="1">{"'TDTGT (theo Dphuong)'!$A$4:$F$75"}</definedName>
    <definedName name="__________h1" localSheetId="49" hidden="1">{"'TDTGT (theo Dphuong)'!$A$4:$F$75"}</definedName>
    <definedName name="__________h1" localSheetId="5" hidden="1">{"'TDTGT (theo Dphuong)'!$A$4:$F$75"}</definedName>
    <definedName name="__________h1" hidden="1">{"'TDTGT (theo Dphuong)'!$A$4:$F$75"}</definedName>
    <definedName name="_________B5" localSheetId="32" hidden="1">{#N/A,#N/A,FALSE,"Chung"}</definedName>
    <definedName name="_________B5" localSheetId="49" hidden="1">{#N/A,#N/A,FALSE,"Chung"}</definedName>
    <definedName name="_________B5" localSheetId="5" hidden="1">{#N/A,#N/A,FALSE,"Chung"}</definedName>
    <definedName name="_________B5" hidden="1">{#N/A,#N/A,FALSE,"Chung"}</definedName>
    <definedName name="_________h1" localSheetId="11" hidden="1">{"'TDTGT (theo Dphuong)'!$A$4:$F$75"}</definedName>
    <definedName name="_________h1" localSheetId="15" hidden="1">{"'TDTGT (theo Dphuong)'!$A$4:$F$75"}</definedName>
    <definedName name="_________h1" localSheetId="17" hidden="1">{"'TDTGT (theo Dphuong)'!$A$4:$F$75"}</definedName>
    <definedName name="_________h1" localSheetId="20" hidden="1">{"'TDTGT (theo Dphuong)'!$A$4:$F$75"}</definedName>
    <definedName name="_________h1" localSheetId="31" hidden="1">{"'TDTGT (theo Dphuong)'!$A$4:$F$75"}</definedName>
    <definedName name="_________h1" localSheetId="32" hidden="1">{"'TDTGT (theo Dphuong)'!$A$4:$F$75"}</definedName>
    <definedName name="_________h1" localSheetId="34" hidden="1">{"'TDTGT (theo Dphuong)'!$A$4:$F$75"}</definedName>
    <definedName name="_________h1" localSheetId="35" hidden="1">{"'TDTGT (theo Dphuong)'!$A$4:$F$75"}</definedName>
    <definedName name="_________h1" localSheetId="36" hidden="1">{"'TDTGT (theo Dphuong)'!$A$4:$F$75"}</definedName>
    <definedName name="_________h1" localSheetId="37" hidden="1">{"'TDTGT (theo Dphuong)'!$A$4:$F$75"}</definedName>
    <definedName name="_________h1" localSheetId="38" hidden="1">{"'TDTGT (theo Dphuong)'!$A$4:$F$75"}</definedName>
    <definedName name="_________h1" localSheetId="3" hidden="1">{"'TDTGT (theo Dphuong)'!$A$4:$F$75"}</definedName>
    <definedName name="_________h1" localSheetId="43" hidden="1">{"'TDTGT (theo Dphuong)'!$A$4:$F$75"}</definedName>
    <definedName name="_________h1" localSheetId="44" hidden="1">{"'TDTGT (theo Dphuong)'!$A$4:$F$75"}</definedName>
    <definedName name="_________h1" localSheetId="49" hidden="1">{"'TDTGT (theo Dphuong)'!$A$4:$F$75"}</definedName>
    <definedName name="_________h1" localSheetId="5" hidden="1">{"'TDTGT (theo Dphuong)'!$A$4:$F$75"}</definedName>
    <definedName name="_________h1" hidden="1">{"'TDTGT (theo Dphuong)'!$A$4:$F$75"}</definedName>
    <definedName name="_________h2" localSheetId="32" hidden="1">{"'TDTGT (theo Dphuong)'!$A$4:$F$75"}</definedName>
    <definedName name="_________h2" localSheetId="49" hidden="1">{"'TDTGT (theo Dphuong)'!$A$4:$F$75"}</definedName>
    <definedName name="_________h2" localSheetId="5" hidden="1">{"'TDTGT (theo Dphuong)'!$A$4:$F$75"}</definedName>
    <definedName name="_________h2" hidden="1">{"'TDTGT (theo Dphuong)'!$A$4:$F$75"}</definedName>
    <definedName name="________B5" localSheetId="32" hidden="1">{#N/A,#N/A,FALSE,"Chung"}</definedName>
    <definedName name="________B5" localSheetId="49" hidden="1">{#N/A,#N/A,FALSE,"Chung"}</definedName>
    <definedName name="________B5" localSheetId="5" hidden="1">{#N/A,#N/A,FALSE,"Chung"}</definedName>
    <definedName name="________B5" hidden="1">{#N/A,#N/A,FALSE,"Chung"}</definedName>
    <definedName name="________h1" localSheetId="11" hidden="1">{"'TDTGT (theo Dphuong)'!$A$4:$F$75"}</definedName>
    <definedName name="________h1" localSheetId="15" hidden="1">{"'TDTGT (theo Dphuong)'!$A$4:$F$75"}</definedName>
    <definedName name="________h1" localSheetId="17" hidden="1">{"'TDTGT (theo Dphuong)'!$A$4:$F$75"}</definedName>
    <definedName name="________h1" localSheetId="20" hidden="1">{"'TDTGT (theo Dphuong)'!$A$4:$F$75"}</definedName>
    <definedName name="________h1" localSheetId="31" hidden="1">{"'TDTGT (theo Dphuong)'!$A$4:$F$75"}</definedName>
    <definedName name="________h1" localSheetId="32" hidden="1">{"'TDTGT (theo Dphuong)'!$A$4:$F$75"}</definedName>
    <definedName name="________h1" localSheetId="34" hidden="1">{"'TDTGT (theo Dphuong)'!$A$4:$F$75"}</definedName>
    <definedName name="________h1" localSheetId="35" hidden="1">{"'TDTGT (theo Dphuong)'!$A$4:$F$75"}</definedName>
    <definedName name="________h1" localSheetId="36" hidden="1">{"'TDTGT (theo Dphuong)'!$A$4:$F$75"}</definedName>
    <definedName name="________h1" localSheetId="37" hidden="1">{"'TDTGT (theo Dphuong)'!$A$4:$F$75"}</definedName>
    <definedName name="________h1" localSheetId="38" hidden="1">{"'TDTGT (theo Dphuong)'!$A$4:$F$75"}</definedName>
    <definedName name="________h1" localSheetId="3" hidden="1">{"'TDTGT (theo Dphuong)'!$A$4:$F$75"}</definedName>
    <definedName name="________h1" localSheetId="43" hidden="1">{"'TDTGT (theo Dphuong)'!$A$4:$F$75"}</definedName>
    <definedName name="________h1" localSheetId="44" hidden="1">{"'TDTGT (theo Dphuong)'!$A$4:$F$75"}</definedName>
    <definedName name="________h1" localSheetId="49" hidden="1">{"'TDTGT (theo Dphuong)'!$A$4:$F$75"}</definedName>
    <definedName name="________h1" localSheetId="5" hidden="1">{"'TDTGT (theo Dphuong)'!$A$4:$F$75"}</definedName>
    <definedName name="________h1" hidden="1">{"'TDTGT (theo Dphuong)'!$A$4:$F$75"}</definedName>
    <definedName name="________h2" localSheetId="32" hidden="1">{"'TDTGT (theo Dphuong)'!$A$4:$F$75"}</definedName>
    <definedName name="________h2" localSheetId="49" hidden="1">{"'TDTGT (theo Dphuong)'!$A$4:$F$75"}</definedName>
    <definedName name="________h2" localSheetId="5" hidden="1">{"'TDTGT (theo Dphuong)'!$A$4:$F$75"}</definedName>
    <definedName name="________h2" hidden="1">{"'TDTGT (theo Dphuong)'!$A$4:$F$75"}</definedName>
    <definedName name="_______B5" localSheetId="32" hidden="1">{#N/A,#N/A,FALSE,"Chung"}</definedName>
    <definedName name="_______B5" localSheetId="49" hidden="1">{#N/A,#N/A,FALSE,"Chung"}</definedName>
    <definedName name="_______B5" localSheetId="5" hidden="1">{#N/A,#N/A,FALSE,"Chung"}</definedName>
    <definedName name="_______B5" hidden="1">{#N/A,#N/A,FALSE,"Chung"}</definedName>
    <definedName name="_______h1" localSheetId="11" hidden="1">{"'TDTGT (theo Dphuong)'!$A$4:$F$75"}</definedName>
    <definedName name="_______h1" localSheetId="15" hidden="1">{"'TDTGT (theo Dphuong)'!$A$4:$F$75"}</definedName>
    <definedName name="_______h1" localSheetId="17" hidden="1">{"'TDTGT (theo Dphuong)'!$A$4:$F$75"}</definedName>
    <definedName name="_______h1" localSheetId="20" hidden="1">{"'TDTGT (theo Dphuong)'!$A$4:$F$75"}</definedName>
    <definedName name="_______h1" localSheetId="31" hidden="1">{"'TDTGT (theo Dphuong)'!$A$4:$F$75"}</definedName>
    <definedName name="_______h1" localSheetId="32" hidden="1">{"'TDTGT (theo Dphuong)'!$A$4:$F$75"}</definedName>
    <definedName name="_______h1" localSheetId="34" hidden="1">{"'TDTGT (theo Dphuong)'!$A$4:$F$75"}</definedName>
    <definedName name="_______h1" localSheetId="35" hidden="1">{"'TDTGT (theo Dphuong)'!$A$4:$F$75"}</definedName>
    <definedName name="_______h1" localSheetId="36" hidden="1">{"'TDTGT (theo Dphuong)'!$A$4:$F$75"}</definedName>
    <definedName name="_______h1" localSheetId="37" hidden="1">{"'TDTGT (theo Dphuong)'!$A$4:$F$75"}</definedName>
    <definedName name="_______h1" localSheetId="38" hidden="1">{"'TDTGT (theo Dphuong)'!$A$4:$F$75"}</definedName>
    <definedName name="_______h1" localSheetId="3" hidden="1">{"'TDTGT (theo Dphuong)'!$A$4:$F$75"}</definedName>
    <definedName name="_______h1" localSheetId="43" hidden="1">{"'TDTGT (theo Dphuong)'!$A$4:$F$75"}</definedName>
    <definedName name="_______h1" localSheetId="44" hidden="1">{"'TDTGT (theo Dphuong)'!$A$4:$F$75"}</definedName>
    <definedName name="_______h1" localSheetId="49" hidden="1">{"'TDTGT (theo Dphuong)'!$A$4:$F$75"}</definedName>
    <definedName name="_______h1" localSheetId="5" hidden="1">{"'TDTGT (theo Dphuong)'!$A$4:$F$75"}</definedName>
    <definedName name="_______h1" hidden="1">{"'TDTGT (theo Dphuong)'!$A$4:$F$75"}</definedName>
    <definedName name="_______h2" localSheetId="32" hidden="1">{"'TDTGT (theo Dphuong)'!$A$4:$F$75"}</definedName>
    <definedName name="_______h2" localSheetId="49" hidden="1">{"'TDTGT (theo Dphuong)'!$A$4:$F$75"}</definedName>
    <definedName name="_______h2" localSheetId="5" hidden="1">{"'TDTGT (theo Dphuong)'!$A$4:$F$75"}</definedName>
    <definedName name="_______h2" hidden="1">{"'TDTGT (theo Dphuong)'!$A$4:$F$75"}</definedName>
    <definedName name="______B5" localSheetId="11" hidden="1">{#N/A,#N/A,FALSE,"Chung"}</definedName>
    <definedName name="______B5" localSheetId="15" hidden="1">{#N/A,#N/A,FALSE,"Chung"}</definedName>
    <definedName name="______B5" localSheetId="17" hidden="1">{#N/A,#N/A,FALSE,"Chung"}</definedName>
    <definedName name="______B5" localSheetId="20" hidden="1">{#N/A,#N/A,FALSE,"Chung"}</definedName>
    <definedName name="______B5" localSheetId="31" hidden="1">{#N/A,#N/A,FALSE,"Chung"}</definedName>
    <definedName name="______B5" localSheetId="32" hidden="1">{#N/A,#N/A,FALSE,"Chung"}</definedName>
    <definedName name="______B5" localSheetId="34" hidden="1">{#N/A,#N/A,FALSE,"Chung"}</definedName>
    <definedName name="______B5" localSheetId="35" hidden="1">{#N/A,#N/A,FALSE,"Chung"}</definedName>
    <definedName name="______B5" localSheetId="36" hidden="1">{#N/A,#N/A,FALSE,"Chung"}</definedName>
    <definedName name="______B5" localSheetId="37" hidden="1">{#N/A,#N/A,FALSE,"Chung"}</definedName>
    <definedName name="______B5" localSheetId="38" hidden="1">{#N/A,#N/A,FALSE,"Chung"}</definedName>
    <definedName name="______B5" localSheetId="3" hidden="1">{#N/A,#N/A,FALSE,"Chung"}</definedName>
    <definedName name="______B5" localSheetId="43" hidden="1">{#N/A,#N/A,FALSE,"Chung"}</definedName>
    <definedName name="______B5" localSheetId="44" hidden="1">{#N/A,#N/A,FALSE,"Chung"}</definedName>
    <definedName name="______B5" localSheetId="49" hidden="1">{#N/A,#N/A,FALSE,"Chung"}</definedName>
    <definedName name="______B5" localSheetId="5" hidden="1">{#N/A,#N/A,FALSE,"Chung"}</definedName>
    <definedName name="______B5" hidden="1">{#N/A,#N/A,FALSE,"Chung"}</definedName>
    <definedName name="______h1" localSheetId="11" hidden="1">{"'TDTGT (theo Dphuong)'!$A$4:$F$75"}</definedName>
    <definedName name="______h1" localSheetId="15" hidden="1">{"'TDTGT (theo Dphuong)'!$A$4:$F$75"}</definedName>
    <definedName name="______h1" localSheetId="17" hidden="1">{"'TDTGT (theo Dphuong)'!$A$4:$F$75"}</definedName>
    <definedName name="______h1" localSheetId="20" hidden="1">{"'TDTGT (theo Dphuong)'!$A$4:$F$75"}</definedName>
    <definedName name="______h1" localSheetId="31" hidden="1">{"'TDTGT (theo Dphuong)'!$A$4:$F$75"}</definedName>
    <definedName name="______h1" localSheetId="32" hidden="1">{"'TDTGT (theo Dphuong)'!$A$4:$F$75"}</definedName>
    <definedName name="______h1" localSheetId="34" hidden="1">{"'TDTGT (theo Dphuong)'!$A$4:$F$75"}</definedName>
    <definedName name="______h1" localSheetId="35" hidden="1">{"'TDTGT (theo Dphuong)'!$A$4:$F$75"}</definedName>
    <definedName name="______h1" localSheetId="36" hidden="1">{"'TDTGT (theo Dphuong)'!$A$4:$F$75"}</definedName>
    <definedName name="______h1" localSheetId="37" hidden="1">{"'TDTGT (theo Dphuong)'!$A$4:$F$75"}</definedName>
    <definedName name="______h1" localSheetId="38" hidden="1">{"'TDTGT (theo Dphuong)'!$A$4:$F$75"}</definedName>
    <definedName name="______h1" localSheetId="3" hidden="1">{"'TDTGT (theo Dphuong)'!$A$4:$F$75"}</definedName>
    <definedName name="______h1" localSheetId="43" hidden="1">{"'TDTGT (theo Dphuong)'!$A$4:$F$75"}</definedName>
    <definedName name="______h1" localSheetId="44" hidden="1">{"'TDTGT (theo Dphuong)'!$A$4:$F$75"}</definedName>
    <definedName name="______h1" localSheetId="49" hidden="1">{"'TDTGT (theo Dphuong)'!$A$4:$F$75"}</definedName>
    <definedName name="______h1" localSheetId="5" hidden="1">{"'TDTGT (theo Dphuong)'!$A$4:$F$75"}</definedName>
    <definedName name="______h1" hidden="1">{"'TDTGT (theo Dphuong)'!$A$4:$F$75"}</definedName>
    <definedName name="______h2" localSheetId="11" hidden="1">{"'TDTGT (theo Dphuong)'!$A$4:$F$75"}</definedName>
    <definedName name="______h2" localSheetId="15" hidden="1">{"'TDTGT (theo Dphuong)'!$A$4:$F$75"}</definedName>
    <definedName name="______h2" localSheetId="17" hidden="1">{"'TDTGT (theo Dphuong)'!$A$4:$F$75"}</definedName>
    <definedName name="______h2" localSheetId="20" hidden="1">{"'TDTGT (theo Dphuong)'!$A$4:$F$75"}</definedName>
    <definedName name="______h2" localSheetId="31" hidden="1">{"'TDTGT (theo Dphuong)'!$A$4:$F$75"}</definedName>
    <definedName name="______h2" localSheetId="32" hidden="1">{"'TDTGT (theo Dphuong)'!$A$4:$F$75"}</definedName>
    <definedName name="______h2" localSheetId="34" hidden="1">{"'TDTGT (theo Dphuong)'!$A$4:$F$75"}</definedName>
    <definedName name="______h2" localSheetId="35" hidden="1">{"'TDTGT (theo Dphuong)'!$A$4:$F$75"}</definedName>
    <definedName name="______h2" localSheetId="36" hidden="1">{"'TDTGT (theo Dphuong)'!$A$4:$F$75"}</definedName>
    <definedName name="______h2" localSheetId="37" hidden="1">{"'TDTGT (theo Dphuong)'!$A$4:$F$75"}</definedName>
    <definedName name="______h2" localSheetId="38" hidden="1">{"'TDTGT (theo Dphuong)'!$A$4:$F$75"}</definedName>
    <definedName name="______h2" localSheetId="3" hidden="1">{"'TDTGT (theo Dphuong)'!$A$4:$F$75"}</definedName>
    <definedName name="______h2" localSheetId="43" hidden="1">{"'TDTGT (theo Dphuong)'!$A$4:$F$75"}</definedName>
    <definedName name="______h2" localSheetId="44" hidden="1">{"'TDTGT (theo Dphuong)'!$A$4:$F$75"}</definedName>
    <definedName name="______h2" localSheetId="49" hidden="1">{"'TDTGT (theo Dphuong)'!$A$4:$F$75"}</definedName>
    <definedName name="______h2" localSheetId="5" hidden="1">{"'TDTGT (theo Dphuong)'!$A$4:$F$75"}</definedName>
    <definedName name="______h2" hidden="1">{"'TDTGT (theo Dphuong)'!$A$4:$F$75"}</definedName>
    <definedName name="_____B5" localSheetId="11" hidden="1">{#N/A,#N/A,FALSE,"Chung"}</definedName>
    <definedName name="_____B5" localSheetId="15" hidden="1">{#N/A,#N/A,FALSE,"Chung"}</definedName>
    <definedName name="_____B5" localSheetId="17" hidden="1">{#N/A,#N/A,FALSE,"Chung"}</definedName>
    <definedName name="_____B5" localSheetId="20" hidden="1">{#N/A,#N/A,FALSE,"Chung"}</definedName>
    <definedName name="_____B5" localSheetId="31" hidden="1">{#N/A,#N/A,FALSE,"Chung"}</definedName>
    <definedName name="_____B5" localSheetId="32" hidden="1">{#N/A,#N/A,FALSE,"Chung"}</definedName>
    <definedName name="_____B5" localSheetId="34" hidden="1">{#N/A,#N/A,FALSE,"Chung"}</definedName>
    <definedName name="_____B5" localSheetId="35" hidden="1">{#N/A,#N/A,FALSE,"Chung"}</definedName>
    <definedName name="_____B5" localSheetId="36" hidden="1">{#N/A,#N/A,FALSE,"Chung"}</definedName>
    <definedName name="_____B5" localSheetId="37" hidden="1">{#N/A,#N/A,FALSE,"Chung"}</definedName>
    <definedName name="_____B5" localSheetId="38" hidden="1">{#N/A,#N/A,FALSE,"Chung"}</definedName>
    <definedName name="_____B5" localSheetId="3" hidden="1">{#N/A,#N/A,FALSE,"Chung"}</definedName>
    <definedName name="_____B5" localSheetId="43" hidden="1">{#N/A,#N/A,FALSE,"Chung"}</definedName>
    <definedName name="_____B5" localSheetId="44" hidden="1">{#N/A,#N/A,FALSE,"Chung"}</definedName>
    <definedName name="_____B5" localSheetId="49" hidden="1">{#N/A,#N/A,FALSE,"Chung"}</definedName>
    <definedName name="_____B5" localSheetId="5" hidden="1">{#N/A,#N/A,FALSE,"Chung"}</definedName>
    <definedName name="_____B5" hidden="1">{#N/A,#N/A,FALSE,"Chung"}</definedName>
    <definedName name="_____h1" localSheetId="11" hidden="1">{"'TDTGT (theo Dphuong)'!$A$4:$F$75"}</definedName>
    <definedName name="_____h1" localSheetId="15" hidden="1">{"'TDTGT (theo Dphuong)'!$A$4:$F$75"}</definedName>
    <definedName name="_____h1" localSheetId="17" hidden="1">{"'TDTGT (theo Dphuong)'!$A$4:$F$75"}</definedName>
    <definedName name="_____h1" localSheetId="20" hidden="1">{"'TDTGT (theo Dphuong)'!$A$4:$F$75"}</definedName>
    <definedName name="_____h1" localSheetId="31" hidden="1">{"'TDTGT (theo Dphuong)'!$A$4:$F$75"}</definedName>
    <definedName name="_____h1" localSheetId="32" hidden="1">{"'TDTGT (theo Dphuong)'!$A$4:$F$75"}</definedName>
    <definedName name="_____h1" localSheetId="34" hidden="1">{"'TDTGT (theo Dphuong)'!$A$4:$F$75"}</definedName>
    <definedName name="_____h1" localSheetId="35" hidden="1">{"'TDTGT (theo Dphuong)'!$A$4:$F$75"}</definedName>
    <definedName name="_____h1" localSheetId="36" hidden="1">{"'TDTGT (theo Dphuong)'!$A$4:$F$75"}</definedName>
    <definedName name="_____h1" localSheetId="37" hidden="1">{"'TDTGT (theo Dphuong)'!$A$4:$F$75"}</definedName>
    <definedName name="_____h1" localSheetId="38" hidden="1">{"'TDTGT (theo Dphuong)'!$A$4:$F$75"}</definedName>
    <definedName name="_____h1" localSheetId="3" hidden="1">{"'TDTGT (theo Dphuong)'!$A$4:$F$75"}</definedName>
    <definedName name="_____h1" localSheetId="43" hidden="1">{"'TDTGT (theo Dphuong)'!$A$4:$F$75"}</definedName>
    <definedName name="_____h1" localSheetId="44" hidden="1">{"'TDTGT (theo Dphuong)'!$A$4:$F$75"}</definedName>
    <definedName name="_____h1" localSheetId="49" hidden="1">{"'TDTGT (theo Dphuong)'!$A$4:$F$75"}</definedName>
    <definedName name="_____h1" localSheetId="5" hidden="1">{"'TDTGT (theo Dphuong)'!$A$4:$F$75"}</definedName>
    <definedName name="_____h1" hidden="1">{"'TDTGT (theo Dphuong)'!$A$4:$F$75"}</definedName>
    <definedName name="_____h2" localSheetId="11" hidden="1">{"'TDTGT (theo Dphuong)'!$A$4:$F$75"}</definedName>
    <definedName name="_____h2" localSheetId="15" hidden="1">{"'TDTGT (theo Dphuong)'!$A$4:$F$75"}</definedName>
    <definedName name="_____h2" localSheetId="17" hidden="1">{"'TDTGT (theo Dphuong)'!$A$4:$F$75"}</definedName>
    <definedName name="_____h2" localSheetId="20" hidden="1">{"'TDTGT (theo Dphuong)'!$A$4:$F$75"}</definedName>
    <definedName name="_____h2" localSheetId="31" hidden="1">{"'TDTGT (theo Dphuong)'!$A$4:$F$75"}</definedName>
    <definedName name="_____h2" localSheetId="32" hidden="1">{"'TDTGT (theo Dphuong)'!$A$4:$F$75"}</definedName>
    <definedName name="_____h2" localSheetId="34" hidden="1">{"'TDTGT (theo Dphuong)'!$A$4:$F$75"}</definedName>
    <definedName name="_____h2" localSheetId="35" hidden="1">{"'TDTGT (theo Dphuong)'!$A$4:$F$75"}</definedName>
    <definedName name="_____h2" localSheetId="36" hidden="1">{"'TDTGT (theo Dphuong)'!$A$4:$F$75"}</definedName>
    <definedName name="_____h2" localSheetId="37" hidden="1">{"'TDTGT (theo Dphuong)'!$A$4:$F$75"}</definedName>
    <definedName name="_____h2" localSheetId="38" hidden="1">{"'TDTGT (theo Dphuong)'!$A$4:$F$75"}</definedName>
    <definedName name="_____h2" localSheetId="3" hidden="1">{"'TDTGT (theo Dphuong)'!$A$4:$F$75"}</definedName>
    <definedName name="_____h2" localSheetId="43" hidden="1">{"'TDTGT (theo Dphuong)'!$A$4:$F$75"}</definedName>
    <definedName name="_____h2" localSheetId="44" hidden="1">{"'TDTGT (theo Dphuong)'!$A$4:$F$75"}</definedName>
    <definedName name="_____h2" localSheetId="49" hidden="1">{"'TDTGT (theo Dphuong)'!$A$4:$F$75"}</definedName>
    <definedName name="_____h2" localSheetId="5" hidden="1">{"'TDTGT (theo Dphuong)'!$A$4:$F$75"}</definedName>
    <definedName name="_____h2" hidden="1">{"'TDTGT (theo Dphuong)'!$A$4:$F$75"}</definedName>
    <definedName name="____B5" localSheetId="11" hidden="1">{#N/A,#N/A,FALSE,"Chung"}</definedName>
    <definedName name="____B5" localSheetId="15" hidden="1">{#N/A,#N/A,FALSE,"Chung"}</definedName>
    <definedName name="____B5" localSheetId="17" hidden="1">{#N/A,#N/A,FALSE,"Chung"}</definedName>
    <definedName name="____B5" localSheetId="20" hidden="1">{#N/A,#N/A,FALSE,"Chung"}</definedName>
    <definedName name="____B5" localSheetId="31" hidden="1">{#N/A,#N/A,FALSE,"Chung"}</definedName>
    <definedName name="____B5" localSheetId="32" hidden="1">{#N/A,#N/A,FALSE,"Chung"}</definedName>
    <definedName name="____B5" localSheetId="34" hidden="1">{#N/A,#N/A,FALSE,"Chung"}</definedName>
    <definedName name="____B5" localSheetId="35" hidden="1">{#N/A,#N/A,FALSE,"Chung"}</definedName>
    <definedName name="____B5" localSheetId="36" hidden="1">{#N/A,#N/A,FALSE,"Chung"}</definedName>
    <definedName name="____B5" localSheetId="37" hidden="1">{#N/A,#N/A,FALSE,"Chung"}</definedName>
    <definedName name="____B5" localSheetId="38" hidden="1">{#N/A,#N/A,FALSE,"Chung"}</definedName>
    <definedName name="____B5" localSheetId="3" hidden="1">{#N/A,#N/A,FALSE,"Chung"}</definedName>
    <definedName name="____B5" localSheetId="43" hidden="1">{#N/A,#N/A,FALSE,"Chung"}</definedName>
    <definedName name="____B5" localSheetId="44" hidden="1">{#N/A,#N/A,FALSE,"Chung"}</definedName>
    <definedName name="____B5" localSheetId="49" hidden="1">{#N/A,#N/A,FALSE,"Chung"}</definedName>
    <definedName name="____B5" localSheetId="5" hidden="1">{#N/A,#N/A,FALSE,"Chung"}</definedName>
    <definedName name="____B5" hidden="1">{#N/A,#N/A,FALSE,"Chung"}</definedName>
    <definedName name="____h1" localSheetId="11" hidden="1">{"'TDTGT (theo Dphuong)'!$A$4:$F$75"}</definedName>
    <definedName name="____h1" localSheetId="15" hidden="1">{"'TDTGT (theo Dphuong)'!$A$4:$F$75"}</definedName>
    <definedName name="____h1" localSheetId="17" hidden="1">{"'TDTGT (theo Dphuong)'!$A$4:$F$75"}</definedName>
    <definedName name="____h1" localSheetId="20" hidden="1">{"'TDTGT (theo Dphuong)'!$A$4:$F$75"}</definedName>
    <definedName name="____h1" localSheetId="31" hidden="1">{"'TDTGT (theo Dphuong)'!$A$4:$F$75"}</definedName>
    <definedName name="____h1" localSheetId="32" hidden="1">{"'TDTGT (theo Dphuong)'!$A$4:$F$75"}</definedName>
    <definedName name="____h1" localSheetId="34" hidden="1">{"'TDTGT (theo Dphuong)'!$A$4:$F$75"}</definedName>
    <definedName name="____h1" localSheetId="35" hidden="1">{"'TDTGT (theo Dphuong)'!$A$4:$F$75"}</definedName>
    <definedName name="____h1" localSheetId="36" hidden="1">{"'TDTGT (theo Dphuong)'!$A$4:$F$75"}</definedName>
    <definedName name="____h1" localSheetId="37" hidden="1">{"'TDTGT (theo Dphuong)'!$A$4:$F$75"}</definedName>
    <definedName name="____h1" localSheetId="38" hidden="1">{"'TDTGT (theo Dphuong)'!$A$4:$F$75"}</definedName>
    <definedName name="____h1" localSheetId="3" hidden="1">{"'TDTGT (theo Dphuong)'!$A$4:$F$75"}</definedName>
    <definedName name="____h1" localSheetId="43" hidden="1">{"'TDTGT (theo Dphuong)'!$A$4:$F$75"}</definedName>
    <definedName name="____h1" localSheetId="44" hidden="1">{"'TDTGT (theo Dphuong)'!$A$4:$F$75"}</definedName>
    <definedName name="____h1" localSheetId="49" hidden="1">{"'TDTGT (theo Dphuong)'!$A$4:$F$75"}</definedName>
    <definedName name="____h1" localSheetId="5" hidden="1">{"'TDTGT (theo Dphuong)'!$A$4:$F$75"}</definedName>
    <definedName name="____h1" hidden="1">{"'TDTGT (theo Dphuong)'!$A$4:$F$75"}</definedName>
    <definedName name="____h2" localSheetId="11" hidden="1">{"'TDTGT (theo Dphuong)'!$A$4:$F$75"}</definedName>
    <definedName name="____h2" localSheetId="15" hidden="1">{"'TDTGT (theo Dphuong)'!$A$4:$F$75"}</definedName>
    <definedName name="____h2" localSheetId="17" hidden="1">{"'TDTGT (theo Dphuong)'!$A$4:$F$75"}</definedName>
    <definedName name="____h2" localSheetId="20" hidden="1">{"'TDTGT (theo Dphuong)'!$A$4:$F$75"}</definedName>
    <definedName name="____h2" localSheetId="31" hidden="1">{"'TDTGT (theo Dphuong)'!$A$4:$F$75"}</definedName>
    <definedName name="____h2" localSheetId="32" hidden="1">{"'TDTGT (theo Dphuong)'!$A$4:$F$75"}</definedName>
    <definedName name="____h2" localSheetId="34" hidden="1">{"'TDTGT (theo Dphuong)'!$A$4:$F$75"}</definedName>
    <definedName name="____h2" localSheetId="35" hidden="1">{"'TDTGT (theo Dphuong)'!$A$4:$F$75"}</definedName>
    <definedName name="____h2" localSheetId="36" hidden="1">{"'TDTGT (theo Dphuong)'!$A$4:$F$75"}</definedName>
    <definedName name="____h2" localSheetId="37" hidden="1">{"'TDTGT (theo Dphuong)'!$A$4:$F$75"}</definedName>
    <definedName name="____h2" localSheetId="38" hidden="1">{"'TDTGT (theo Dphuong)'!$A$4:$F$75"}</definedName>
    <definedName name="____h2" localSheetId="3" hidden="1">{"'TDTGT (theo Dphuong)'!$A$4:$F$75"}</definedName>
    <definedName name="____h2" localSheetId="43" hidden="1">{"'TDTGT (theo Dphuong)'!$A$4:$F$75"}</definedName>
    <definedName name="____h2" localSheetId="44" hidden="1">{"'TDTGT (theo Dphuong)'!$A$4:$F$75"}</definedName>
    <definedName name="____h2" localSheetId="49" hidden="1">{"'TDTGT (theo Dphuong)'!$A$4:$F$75"}</definedName>
    <definedName name="____h2" localSheetId="5" hidden="1">{"'TDTGT (theo Dphuong)'!$A$4:$F$75"}</definedName>
    <definedName name="____h2" hidden="1">{"'TDTGT (theo Dphuong)'!$A$4:$F$75"}</definedName>
    <definedName name="___B5" localSheetId="11" hidden="1">{#N/A,#N/A,FALSE,"Chung"}</definedName>
    <definedName name="___B5" localSheetId="15" hidden="1">{#N/A,#N/A,FALSE,"Chung"}</definedName>
    <definedName name="___B5" localSheetId="17" hidden="1">{#N/A,#N/A,FALSE,"Chung"}</definedName>
    <definedName name="___B5" localSheetId="20" hidden="1">{#N/A,#N/A,FALSE,"Chung"}</definedName>
    <definedName name="___B5" localSheetId="31" hidden="1">{#N/A,#N/A,FALSE,"Chung"}</definedName>
    <definedName name="___B5" localSheetId="32" hidden="1">{#N/A,#N/A,FALSE,"Chung"}</definedName>
    <definedName name="___B5" localSheetId="34" hidden="1">{#N/A,#N/A,FALSE,"Chung"}</definedName>
    <definedName name="___B5" localSheetId="35" hidden="1">{#N/A,#N/A,FALSE,"Chung"}</definedName>
    <definedName name="___B5" localSheetId="36" hidden="1">{#N/A,#N/A,FALSE,"Chung"}</definedName>
    <definedName name="___B5" localSheetId="37" hidden="1">{#N/A,#N/A,FALSE,"Chung"}</definedName>
    <definedName name="___B5" localSheetId="38" hidden="1">{#N/A,#N/A,FALSE,"Chung"}</definedName>
    <definedName name="___B5" localSheetId="3" hidden="1">{#N/A,#N/A,FALSE,"Chung"}</definedName>
    <definedName name="___B5" localSheetId="43" hidden="1">{#N/A,#N/A,FALSE,"Chung"}</definedName>
    <definedName name="___B5" localSheetId="44" hidden="1">{#N/A,#N/A,FALSE,"Chung"}</definedName>
    <definedName name="___B5" localSheetId="49" hidden="1">{#N/A,#N/A,FALSE,"Chung"}</definedName>
    <definedName name="___B5" localSheetId="5" hidden="1">{#N/A,#N/A,FALSE,"Chung"}</definedName>
    <definedName name="___B5" hidden="1">{#N/A,#N/A,FALSE,"Chung"}</definedName>
    <definedName name="___bcc102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N1">#REF!</definedName>
    <definedName name="___CON2">#REF!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h1" localSheetId="11" hidden="1">{"'TDTGT (theo Dphuong)'!$A$4:$F$75"}</definedName>
    <definedName name="___h1" localSheetId="15" hidden="1">{"'TDTGT (theo Dphuong)'!$A$4:$F$75"}</definedName>
    <definedName name="___h1" localSheetId="17" hidden="1">{"'TDTGT (theo Dphuong)'!$A$4:$F$75"}</definedName>
    <definedName name="___h1" localSheetId="20" hidden="1">{"'TDTGT (theo Dphuong)'!$A$4:$F$75"}</definedName>
    <definedName name="___h1" localSheetId="31" hidden="1">{"'TDTGT (theo Dphuong)'!$A$4:$F$75"}</definedName>
    <definedName name="___h1" localSheetId="32" hidden="1">{"'TDTGT (theo Dphuong)'!$A$4:$F$75"}</definedName>
    <definedName name="___h1" localSheetId="34" hidden="1">{"'TDTGT (theo Dphuong)'!$A$4:$F$75"}</definedName>
    <definedName name="___h1" localSheetId="35" hidden="1">{"'TDTGT (theo Dphuong)'!$A$4:$F$75"}</definedName>
    <definedName name="___h1" localSheetId="36" hidden="1">{"'TDTGT (theo Dphuong)'!$A$4:$F$75"}</definedName>
    <definedName name="___h1" localSheetId="37" hidden="1">{"'TDTGT (theo Dphuong)'!$A$4:$F$75"}</definedName>
    <definedName name="___h1" localSheetId="38" hidden="1">{"'TDTGT (theo Dphuong)'!$A$4:$F$75"}</definedName>
    <definedName name="___h1" localSheetId="3" hidden="1">{"'TDTGT (theo Dphuong)'!$A$4:$F$75"}</definedName>
    <definedName name="___h1" localSheetId="43" hidden="1">{"'TDTGT (theo Dphuong)'!$A$4:$F$75"}</definedName>
    <definedName name="___h1" localSheetId="44" hidden="1">{"'TDTGT (theo Dphuong)'!$A$4:$F$75"}</definedName>
    <definedName name="___h1" localSheetId="49" hidden="1">{"'TDTGT (theo Dphuong)'!$A$4:$F$75"}</definedName>
    <definedName name="___h1" localSheetId="5" hidden="1">{"'TDTGT (theo Dphuong)'!$A$4:$F$75"}</definedName>
    <definedName name="___h1" hidden="1">{"'TDTGT (theo Dphuong)'!$A$4:$F$75"}</definedName>
    <definedName name="___h2" localSheetId="11" hidden="1">{"'TDTGT (theo Dphuong)'!$A$4:$F$75"}</definedName>
    <definedName name="___h2" localSheetId="15" hidden="1">{"'TDTGT (theo Dphuong)'!$A$4:$F$75"}</definedName>
    <definedName name="___h2" localSheetId="17" hidden="1">{"'TDTGT (theo Dphuong)'!$A$4:$F$75"}</definedName>
    <definedName name="___h2" localSheetId="20" hidden="1">{"'TDTGT (theo Dphuong)'!$A$4:$F$75"}</definedName>
    <definedName name="___h2" localSheetId="31" hidden="1">{"'TDTGT (theo Dphuong)'!$A$4:$F$75"}</definedName>
    <definedName name="___h2" localSheetId="32" hidden="1">{"'TDTGT (theo Dphuong)'!$A$4:$F$75"}</definedName>
    <definedName name="___h2" localSheetId="34" hidden="1">{"'TDTGT (theo Dphuong)'!$A$4:$F$75"}</definedName>
    <definedName name="___h2" localSheetId="35" hidden="1">{"'TDTGT (theo Dphuong)'!$A$4:$F$75"}</definedName>
    <definedName name="___h2" localSheetId="36" hidden="1">{"'TDTGT (theo Dphuong)'!$A$4:$F$75"}</definedName>
    <definedName name="___h2" localSheetId="37" hidden="1">{"'TDTGT (theo Dphuong)'!$A$4:$F$75"}</definedName>
    <definedName name="___h2" localSheetId="38" hidden="1">{"'TDTGT (theo Dphuong)'!$A$4:$F$75"}</definedName>
    <definedName name="___h2" localSheetId="3" hidden="1">{"'TDTGT (theo Dphuong)'!$A$4:$F$75"}</definedName>
    <definedName name="___h2" localSheetId="43" hidden="1">{"'TDTGT (theo Dphuong)'!$A$4:$F$75"}</definedName>
    <definedName name="___h2" localSheetId="44" hidden="1">{"'TDTGT (theo Dphuong)'!$A$4:$F$75"}</definedName>
    <definedName name="___h2" localSheetId="49" hidden="1">{"'TDTGT (theo Dphuong)'!$A$4:$F$75"}</definedName>
    <definedName name="___h2" localSheetId="5" hidden="1">{"'TDTGT (theo Dphuong)'!$A$4:$F$75"}</definedName>
    <definedName name="___h2" hidden="1">{"'TDTGT (theo Dphuong)'!$A$4:$F$75"}</definedName>
    <definedName name="___hsT2">#REF!</definedName>
    <definedName name="___lap1">#REF!</definedName>
    <definedName name="___lap2">#REF!</definedName>
    <definedName name="___ma11">#REF!</definedName>
    <definedName name="___NET2">#REF!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ln11">#REF!</definedName>
    <definedName name="___slx11">#REF!</definedName>
    <definedName name="___TG1">#REF!</definedName>
    <definedName name="___TG2">#REF!</definedName>
    <definedName name="___thu1">#REF!</definedName>
    <definedName name="___ttn11">#REF!</definedName>
    <definedName name="___ttx11">#REF!</definedName>
    <definedName name="___TVL1">#REF!</definedName>
    <definedName name="__B5" localSheetId="11" hidden="1">{#N/A,#N/A,FALSE,"Chung"}</definedName>
    <definedName name="__B5" localSheetId="15" hidden="1">{#N/A,#N/A,FALSE,"Chung"}</definedName>
    <definedName name="__B5" localSheetId="17" hidden="1">{#N/A,#N/A,FALSE,"Chung"}</definedName>
    <definedName name="__B5" localSheetId="20" hidden="1">{#N/A,#N/A,FALSE,"Chung"}</definedName>
    <definedName name="__B5" localSheetId="31" hidden="1">{#N/A,#N/A,FALSE,"Chung"}</definedName>
    <definedName name="__B5" localSheetId="32" hidden="1">{#N/A,#N/A,FALSE,"Chung"}</definedName>
    <definedName name="__B5" localSheetId="34" hidden="1">{#N/A,#N/A,FALSE,"Chung"}</definedName>
    <definedName name="__B5" localSheetId="35" hidden="1">{#N/A,#N/A,FALSE,"Chung"}</definedName>
    <definedName name="__B5" localSheetId="36" hidden="1">{#N/A,#N/A,FALSE,"Chung"}</definedName>
    <definedName name="__B5" localSheetId="37" hidden="1">{#N/A,#N/A,FALSE,"Chung"}</definedName>
    <definedName name="__B5" localSheetId="38" hidden="1">{#N/A,#N/A,FALSE,"Chung"}</definedName>
    <definedName name="__B5" localSheetId="3" hidden="1">{#N/A,#N/A,FALSE,"Chung"}</definedName>
    <definedName name="__B5" localSheetId="43" hidden="1">{#N/A,#N/A,FALSE,"Chung"}</definedName>
    <definedName name="__B5" localSheetId="44" hidden="1">{#N/A,#N/A,FALSE,"Chung"}</definedName>
    <definedName name="__B5" localSheetId="49" hidden="1">{#N/A,#N/A,FALSE,"Chung"}</definedName>
    <definedName name="__B5" localSheetId="5" hidden="1">{#N/A,#N/A,FALSE,"Chung"}</definedName>
    <definedName name="__B5" hidden="1">{#N/A,#N/A,FALSE,"Chung"}</definedName>
    <definedName name="__bcc102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ON1">#REF!</definedName>
    <definedName name="__CON2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h1" localSheetId="11" hidden="1">{"'TDTGT (theo Dphuong)'!$A$4:$F$75"}</definedName>
    <definedName name="__h1" localSheetId="15" hidden="1">{"'TDTGT (theo Dphuong)'!$A$4:$F$75"}</definedName>
    <definedName name="__h1" localSheetId="17" hidden="1">{"'TDTGT (theo Dphuong)'!$A$4:$F$75"}</definedName>
    <definedName name="__h1" localSheetId="20" hidden="1">{"'TDTGT (theo Dphuong)'!$A$4:$F$75"}</definedName>
    <definedName name="__h1" localSheetId="31" hidden="1">{"'TDTGT (theo Dphuong)'!$A$4:$F$75"}</definedName>
    <definedName name="__h1" localSheetId="32" hidden="1">{"'TDTGT (theo Dphuong)'!$A$4:$F$75"}</definedName>
    <definedName name="__h1" localSheetId="34" hidden="1">{"'TDTGT (theo Dphuong)'!$A$4:$F$75"}</definedName>
    <definedName name="__h1" localSheetId="35" hidden="1">{"'TDTGT (theo Dphuong)'!$A$4:$F$75"}</definedName>
    <definedName name="__h1" localSheetId="36" hidden="1">{"'TDTGT (theo Dphuong)'!$A$4:$F$75"}</definedName>
    <definedName name="__h1" localSheetId="37" hidden="1">{"'TDTGT (theo Dphuong)'!$A$4:$F$75"}</definedName>
    <definedName name="__h1" localSheetId="38" hidden="1">{"'TDTGT (theo Dphuong)'!$A$4:$F$75"}</definedName>
    <definedName name="__h1" localSheetId="3" hidden="1">{"'TDTGT (theo Dphuong)'!$A$4:$F$75"}</definedName>
    <definedName name="__h1" localSheetId="43" hidden="1">{"'TDTGT (theo Dphuong)'!$A$4:$F$75"}</definedName>
    <definedName name="__h1" localSheetId="44" hidden="1">{"'TDTGT (theo Dphuong)'!$A$4:$F$75"}</definedName>
    <definedName name="__h1" localSheetId="49" hidden="1">{"'TDTGT (theo Dphuong)'!$A$4:$F$75"}</definedName>
    <definedName name="__h1" localSheetId="5" hidden="1">{"'TDTGT (theo Dphuong)'!$A$4:$F$75"}</definedName>
    <definedName name="__h1" hidden="1">{"'TDTGT (theo Dphuong)'!$A$4:$F$75"}</definedName>
    <definedName name="__h2" localSheetId="11" hidden="1">{"'TDTGT (theo Dphuong)'!$A$4:$F$75"}</definedName>
    <definedName name="__h2" localSheetId="15" hidden="1">{"'TDTGT (theo Dphuong)'!$A$4:$F$75"}</definedName>
    <definedName name="__h2" localSheetId="17" hidden="1">{"'TDTGT (theo Dphuong)'!$A$4:$F$75"}</definedName>
    <definedName name="__h2" localSheetId="20" hidden="1">{"'TDTGT (theo Dphuong)'!$A$4:$F$75"}</definedName>
    <definedName name="__h2" localSheetId="31" hidden="1">{"'TDTGT (theo Dphuong)'!$A$4:$F$75"}</definedName>
    <definedName name="__h2" localSheetId="32" hidden="1">{"'TDTGT (theo Dphuong)'!$A$4:$F$75"}</definedName>
    <definedName name="__h2" localSheetId="34" hidden="1">{"'TDTGT (theo Dphuong)'!$A$4:$F$75"}</definedName>
    <definedName name="__h2" localSheetId="35" hidden="1">{"'TDTGT (theo Dphuong)'!$A$4:$F$75"}</definedName>
    <definedName name="__h2" localSheetId="36" hidden="1">{"'TDTGT (theo Dphuong)'!$A$4:$F$75"}</definedName>
    <definedName name="__h2" localSheetId="37" hidden="1">{"'TDTGT (theo Dphuong)'!$A$4:$F$75"}</definedName>
    <definedName name="__h2" localSheetId="38" hidden="1">{"'TDTGT (theo Dphuong)'!$A$4:$F$75"}</definedName>
    <definedName name="__h2" localSheetId="3" hidden="1">{"'TDTGT (theo Dphuong)'!$A$4:$F$75"}</definedName>
    <definedName name="__h2" localSheetId="43" hidden="1">{"'TDTGT (theo Dphuong)'!$A$4:$F$75"}</definedName>
    <definedName name="__h2" localSheetId="44" hidden="1">{"'TDTGT (theo Dphuong)'!$A$4:$F$75"}</definedName>
    <definedName name="__h2" localSheetId="49" hidden="1">{"'TDTGT (theo Dphuong)'!$A$4:$F$75"}</definedName>
    <definedName name="__h2" localSheetId="5" hidden="1">{"'TDTGT (theo Dphuong)'!$A$4:$F$75"}</definedName>
    <definedName name="__h2" hidden="1">{"'TDTGT (theo Dphuong)'!$A$4:$F$75"}</definedName>
    <definedName name="__hsT2">#REF!</definedName>
    <definedName name="__l1" localSheetId="15" hidden="1">{"'TDTGT (theo Dphuong)'!$A$4:$F$75"}</definedName>
    <definedName name="__l1" hidden="1">{"'TDTGT (theo Dphuong)'!$A$4:$F$75"}</definedName>
    <definedName name="__lap1">#REF!</definedName>
    <definedName name="__lap2">#REF!</definedName>
    <definedName name="__M9" localSheetId="15" hidden="1">{"'TDTGT (theo Dphuong)'!$A$4:$F$75"}</definedName>
    <definedName name="__M9" hidden="1">{"'TDTGT (theo Dphuong)'!$A$4:$F$75"}</definedName>
    <definedName name="__ma11">#REF!</definedName>
    <definedName name="__NET2">#REF!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ln11">#REF!</definedName>
    <definedName name="__slx11">#REF!</definedName>
    <definedName name="__TG1">#REF!</definedName>
    <definedName name="__TG2">#REF!</definedName>
    <definedName name="__thu1">#REF!</definedName>
    <definedName name="__ttn11">#REF!</definedName>
    <definedName name="__ttx11">#REF!</definedName>
    <definedName name="__TVL1">#REF!</definedName>
    <definedName name="_1">#REF!</definedName>
    <definedName name="_1000A01">#N/A</definedName>
    <definedName name="_1BA2500">#REF!</definedName>
    <definedName name="_1BA3250">#REF!</definedName>
    <definedName name="_1BA400P">#REF!</definedName>
    <definedName name="_1CAP001">#REF!</definedName>
    <definedName name="_1DAU002">#REF!</definedName>
    <definedName name="_1DDAY03">#REF!</definedName>
    <definedName name="_1DDTT01">#REF!</definedName>
    <definedName name="_1FCO101">#REF!</definedName>
    <definedName name="_1GIA101">#REF!</definedName>
    <definedName name="_1LA1001">#REF!</definedName>
    <definedName name="_1MCCBO2">#REF!</definedName>
    <definedName name="_1PKCAP1">#REF!</definedName>
    <definedName name="_1PKTT01">#REF!</definedName>
    <definedName name="_1TCD101">#REF!</definedName>
    <definedName name="_1TCD201">#REF!</definedName>
    <definedName name="_1TD2001">#REF!</definedName>
    <definedName name="_1TIHT01">#REF!</definedName>
    <definedName name="_1TRU121">#REF!</definedName>
    <definedName name="_2">#REF!</definedName>
    <definedName name="_2BLA100">#REF!</definedName>
    <definedName name="_2DAL201">#REF!</definedName>
    <definedName name="_3BLXMD">#REF!</definedName>
    <definedName name="_3TU0609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OSLCTT">#REF!</definedName>
    <definedName name="_7" localSheetId="15" hidden="1">{"'TDTGT (theo Dphuong)'!$A$4:$F$75"}</definedName>
    <definedName name="_7" hidden="1">{"'TDTGT (theo Dphuong)'!$A$4:$F$75"}</definedName>
    <definedName name="_B5" localSheetId="11" hidden="1">{#N/A,#N/A,FALSE,"Chung"}</definedName>
    <definedName name="_B5" localSheetId="15" hidden="1">{#N/A,#N/A,FALSE,"Chung"}</definedName>
    <definedName name="_B5" localSheetId="17" hidden="1">{#N/A,#N/A,FALSE,"Chung"}</definedName>
    <definedName name="_B5" localSheetId="20" hidden="1">{#N/A,#N/A,FALSE,"Chung"}</definedName>
    <definedName name="_B5" localSheetId="31" hidden="1">{#N/A,#N/A,FALSE,"Chung"}</definedName>
    <definedName name="_B5" localSheetId="32" hidden="1">{#N/A,#N/A,FALSE,"Chung"}</definedName>
    <definedName name="_B5" localSheetId="34" hidden="1">{#N/A,#N/A,FALSE,"Chung"}</definedName>
    <definedName name="_B5" localSheetId="35" hidden="1">{#N/A,#N/A,FALSE,"Chung"}</definedName>
    <definedName name="_B5" localSheetId="36" hidden="1">{#N/A,#N/A,FALSE,"Chung"}</definedName>
    <definedName name="_B5" localSheetId="37" hidden="1">{#N/A,#N/A,FALSE,"Chung"}</definedName>
    <definedName name="_B5" localSheetId="38" hidden="1">{#N/A,#N/A,FALSE,"Chung"}</definedName>
    <definedName name="_B5" localSheetId="3" hidden="1">{#N/A,#N/A,FALSE,"Chung"}</definedName>
    <definedName name="_B5" localSheetId="43" hidden="1">{#N/A,#N/A,FALSE,"Chung"}</definedName>
    <definedName name="_B5" localSheetId="44" hidden="1">{#N/A,#N/A,FALSE,"Chung"}</definedName>
    <definedName name="_B5" localSheetId="49" hidden="1">{#N/A,#N/A,FALSE,"Chung"}</definedName>
    <definedName name="_B5" localSheetId="5" hidden="1">{#N/A,#N/A,FALSE,"Chung"}</definedName>
    <definedName name="_B5" hidden="1">{#N/A,#N/A,FALSE,"Chung"}</definedName>
    <definedName name="_B8" localSheetId="15" hidden="1">{#N/A,#N/A,FALSE,"Chung"}</definedName>
    <definedName name="_B8" hidden="1">{#N/A,#N/A,FALSE,"Chung"}</definedName>
    <definedName name="_bcc102">#REF!</definedName>
    <definedName name="_Builtin155" hidden="1">#N/A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ON1">#REF!</definedName>
    <definedName name="_CON2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5" hidden="1">#REF!</definedName>
    <definedName name="_Fill" localSheetId="17" hidden="1">#REF!</definedName>
    <definedName name="_Fill" localSheetId="18" hidden="1">#REF!</definedName>
    <definedName name="_Fill" localSheetId="19" hidden="1">#REF!</definedName>
    <definedName name="_Fill" localSheetId="20" hidden="1">#REF!</definedName>
    <definedName name="_Fill" localSheetId="31" hidden="1">#REF!</definedName>
    <definedName name="_Fill" localSheetId="32" hidden="1">#REF!</definedName>
    <definedName name="_Fill" localSheetId="34" hidden="1">#REF!</definedName>
    <definedName name="_Fill" localSheetId="36" hidden="1">#REF!</definedName>
    <definedName name="_Fill" localSheetId="37" hidden="1">#REF!</definedName>
    <definedName name="_Fill" localSheetId="3" hidden="1">#REF!</definedName>
    <definedName name="_Fill" localSheetId="40" hidden="1">#REF!</definedName>
    <definedName name="_Fill" localSheetId="42" hidden="1">#REF!</definedName>
    <definedName name="_Fill" localSheetId="43" hidden="1">#REF!</definedName>
    <definedName name="_Fill" localSheetId="44" hidden="1">#REF!</definedName>
    <definedName name="_Fill" localSheetId="46" hidden="1">#REF!</definedName>
    <definedName name="_Fill" localSheetId="49" hidden="1">#REF!</definedName>
    <definedName name="_Fill" localSheetId="5" hidden="1">#REF!</definedName>
    <definedName name="_Fill" hidden="1">#REF!</definedName>
    <definedName name="_xlnm._FilterDatabase" localSheetId="17" hidden="1">'18. DN DK thanh lap'!$A$10:$C$10</definedName>
    <definedName name="_xlnm._FilterDatabase" localSheetId="18" hidden="1">'19. DN quay lai hoat dong'!$A$6:$D$6</definedName>
    <definedName name="_xlnm._FilterDatabase" localSheetId="19" hidden="1">'20. DN Ngừng có thời hạn'!$A$8:$D$8</definedName>
    <definedName name="_xlnm._FilterDatabase" localSheetId="20" hidden="1">'21. DN giải thể'!$A$8:$H$8</definedName>
    <definedName name="_xlnm._FilterDatabase">#REF!</definedName>
    <definedName name="_h1" localSheetId="11" hidden="1">{"'TDTGT (theo Dphuong)'!$A$4:$F$75"}</definedName>
    <definedName name="_h1" localSheetId="15" hidden="1">{"'TDTGT (theo Dphuong)'!$A$4:$F$75"}</definedName>
    <definedName name="_h1" localSheetId="17" hidden="1">{"'TDTGT (theo Dphuong)'!$A$4:$F$75"}</definedName>
    <definedName name="_h1" localSheetId="20" hidden="1">{"'TDTGT (theo Dphuong)'!$A$4:$F$75"}</definedName>
    <definedName name="_h1" localSheetId="31" hidden="1">{"'TDTGT (theo Dphuong)'!$A$4:$F$75"}</definedName>
    <definedName name="_h1" localSheetId="32" hidden="1">{"'TDTGT (theo Dphuong)'!$A$4:$F$75"}</definedName>
    <definedName name="_h1" localSheetId="34" hidden="1">{"'TDTGT (theo Dphuong)'!$A$4:$F$75"}</definedName>
    <definedName name="_h1" localSheetId="35" hidden="1">{"'TDTGT (theo Dphuong)'!$A$4:$F$75"}</definedName>
    <definedName name="_h1" localSheetId="36" hidden="1">{"'TDTGT (theo Dphuong)'!$A$4:$F$75"}</definedName>
    <definedName name="_h1" localSheetId="37" hidden="1">{"'TDTGT (theo Dphuong)'!$A$4:$F$75"}</definedName>
    <definedName name="_h1" localSheetId="38" hidden="1">{"'TDTGT (theo Dphuong)'!$A$4:$F$75"}</definedName>
    <definedName name="_h1" localSheetId="3" hidden="1">{"'TDTGT (theo Dphuong)'!$A$4:$F$75"}</definedName>
    <definedName name="_h1" localSheetId="43" hidden="1">{"'TDTGT (theo Dphuong)'!$A$4:$F$75"}</definedName>
    <definedName name="_h1" localSheetId="44" hidden="1">{"'TDTGT (theo Dphuong)'!$A$4:$F$75"}</definedName>
    <definedName name="_h1" localSheetId="49" hidden="1">{"'TDTGT (theo Dphuong)'!$A$4:$F$75"}</definedName>
    <definedName name="_h1" localSheetId="5" hidden="1">{"'TDTGT (theo Dphuong)'!$A$4:$F$75"}</definedName>
    <definedName name="_h1" hidden="1">{"'TDTGT (theo Dphuong)'!$A$4:$F$75"}</definedName>
    <definedName name="_h2" localSheetId="11" hidden="1">{"'TDTGT (theo Dphuong)'!$A$4:$F$75"}</definedName>
    <definedName name="_h2" localSheetId="15" hidden="1">{"'TDTGT (theo Dphuong)'!$A$4:$F$75"}</definedName>
    <definedName name="_h2" localSheetId="17" hidden="1">{"'TDTGT (theo Dphuong)'!$A$4:$F$75"}</definedName>
    <definedName name="_h2" localSheetId="20" hidden="1">{"'TDTGT (theo Dphuong)'!$A$4:$F$75"}</definedName>
    <definedName name="_h2" localSheetId="31" hidden="1">{"'TDTGT (theo Dphuong)'!$A$4:$F$75"}</definedName>
    <definedName name="_h2" localSheetId="32" hidden="1">{"'TDTGT (theo Dphuong)'!$A$4:$F$75"}</definedName>
    <definedName name="_h2" localSheetId="34" hidden="1">{"'TDTGT (theo Dphuong)'!$A$4:$F$75"}</definedName>
    <definedName name="_h2" localSheetId="35" hidden="1">{"'TDTGT (theo Dphuong)'!$A$4:$F$75"}</definedName>
    <definedName name="_h2" localSheetId="36" hidden="1">{"'TDTGT (theo Dphuong)'!$A$4:$F$75"}</definedName>
    <definedName name="_h2" localSheetId="37" hidden="1">{"'TDTGT (theo Dphuong)'!$A$4:$F$75"}</definedName>
    <definedName name="_h2" localSheetId="38" hidden="1">{"'TDTGT (theo Dphuong)'!$A$4:$F$75"}</definedName>
    <definedName name="_h2" localSheetId="3" hidden="1">{"'TDTGT (theo Dphuong)'!$A$4:$F$75"}</definedName>
    <definedName name="_h2" localSheetId="43" hidden="1">{"'TDTGT (theo Dphuong)'!$A$4:$F$75"}</definedName>
    <definedName name="_h2" localSheetId="44" hidden="1">{"'TDTGT (theo Dphuong)'!$A$4:$F$75"}</definedName>
    <definedName name="_h2" localSheetId="49" hidden="1">{"'TDTGT (theo Dphuong)'!$A$4:$F$75"}</definedName>
    <definedName name="_h2" localSheetId="5" hidden="1">{"'TDTGT (theo Dphuong)'!$A$4:$F$75"}</definedName>
    <definedName name="_h2" hidden="1">{"'TDTGT (theo Dphuong)'!$A$4:$F$75"}</definedName>
    <definedName name="_hsT2">#REF!</definedName>
    <definedName name="_K2" localSheetId="15" hidden="1">{#N/A,#N/A,FALSE,"Chung"}</definedName>
    <definedName name="_K2" hidden="1">{#N/A,#N/A,FALSE,"Chung"}</definedName>
    <definedName name="_K7" localSheetId="15" hidden="1">{"'TDTGT (theo Dphuong)'!$A$4:$F$75"}</definedName>
    <definedName name="_K7" hidden="1">{"'TDTGT (theo Dphuong)'!$A$4:$F$75"}</definedName>
    <definedName name="_Key1" hidden="1">#REF!</definedName>
    <definedName name="_Key2" hidden="1">#REF!</definedName>
    <definedName name="_lap1">#REF!</definedName>
    <definedName name="_lap2">#REF!</definedName>
    <definedName name="_ma11">#REF!</definedName>
    <definedName name="_NET2">#REF!</definedName>
    <definedName name="_Order1" hidden="1">255</definedName>
    <definedName name="_Order2" hidden="1">255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QL10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ln11">#REF!</definedName>
    <definedName name="_slx11">#REF!</definedName>
    <definedName name="_Sort" hidden="1">#REF!</definedName>
    <definedName name="_TG1">#REF!</definedName>
    <definedName name="_TG2">#REF!</definedName>
    <definedName name="_thu1">#REF!</definedName>
    <definedName name="_ttn11">#REF!</definedName>
    <definedName name="_ttx11">#REF!</definedName>
    <definedName name="_TVL1">#REF!</definedName>
    <definedName name="A" localSheetId="10">'[1]PNT-QUOT-#3'!#REF!</definedName>
    <definedName name="A" localSheetId="12">'[1]PNT-QUOT-#3'!#REF!</definedName>
    <definedName name="A" localSheetId="15">'[3]PNT-QUOT-#3'!#REF!</definedName>
    <definedName name="A" localSheetId="17">'[1]PNT-QUOT-#3'!#REF!</definedName>
    <definedName name="A" localSheetId="18">'[1]PNT-QUOT-#3'!#REF!</definedName>
    <definedName name="A" localSheetId="19">'[1]PNT-QUOT-#3'!#REF!</definedName>
    <definedName name="A" localSheetId="20">'[1]PNT-QUOT-#3'!#REF!</definedName>
    <definedName name="A" localSheetId="26">'[1]PNT-QUOT-#3'!#REF!</definedName>
    <definedName name="A" localSheetId="32">'[1]PNT-QUOT-#3'!#REF!</definedName>
    <definedName name="A" localSheetId="3">'[3]PNT-QUOT-#3'!#REF!</definedName>
    <definedName name="A" localSheetId="40">'[2]PNT-QUOT-#3'!#REF!</definedName>
    <definedName name="A" localSheetId="42">'[2]PNT-QUOT-#3'!#REF!</definedName>
    <definedName name="A" localSheetId="44">'[2]PNT-QUOT-#3'!#REF!</definedName>
    <definedName name="A" localSheetId="49">'[1]PNT-QUOT-#3'!#REF!</definedName>
    <definedName name="A" localSheetId="5">'[2]PNT-QUOT-#3'!#REF!</definedName>
    <definedName name="A">'[2]PNT-QUOT-#3'!#REF!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à6">[4]Tinh!#REF!</definedName>
    <definedName name="ã72">#REF!</definedName>
    <definedName name="AA">#REF!</definedName>
    <definedName name="AAA" localSheetId="10">'[5]MTL$-INTER'!#REF!</definedName>
    <definedName name="AAA" localSheetId="12">'[5]MTL$-INTER'!#REF!</definedName>
    <definedName name="AAA" localSheetId="15">'[6]MTL$-INTER'!#REF!</definedName>
    <definedName name="AAA" localSheetId="17">'[5]MTL$-INTER'!#REF!</definedName>
    <definedName name="AAA" localSheetId="18">'[5]MTL$-INTER'!#REF!</definedName>
    <definedName name="AAA" localSheetId="19">'[5]MTL$-INTER'!#REF!</definedName>
    <definedName name="AAA" localSheetId="20">'[5]MTL$-INTER'!#REF!</definedName>
    <definedName name="AAA" localSheetId="26">'[5]MTL$-INTER'!#REF!</definedName>
    <definedName name="AAA" localSheetId="32">'[5]MTL$-INTER'!#REF!</definedName>
    <definedName name="AAA" localSheetId="3">'[6]MTL$-INTER'!#REF!</definedName>
    <definedName name="AAA" localSheetId="40">'[6]MTL$-INTER'!#REF!</definedName>
    <definedName name="AAA" localSheetId="42">'[6]MTL$-INTER'!#REF!</definedName>
    <definedName name="AAA" localSheetId="44">'[6]MTL$-INTER'!#REF!</definedName>
    <definedName name="AAA" localSheetId="49">'[5]MTL$-INTER'!#REF!</definedName>
    <definedName name="AAA" localSheetId="5">'[6]MTL$-INTER'!#REF!</definedName>
    <definedName name="AAA">'[6]MTL$-INTER'!#REF!</definedName>
    <definedName name="abc" localSheetId="11" hidden="1">{"'TDTGT (theo Dphuong)'!$A$4:$F$75"}</definedName>
    <definedName name="abc" localSheetId="15" hidden="1">{"'TDTGT (theo Dphuong)'!$A$4:$F$75"}</definedName>
    <definedName name="abc" localSheetId="17" hidden="1">{"'TDTGT (theo Dphuong)'!$A$4:$F$75"}</definedName>
    <definedName name="abc" localSheetId="20" hidden="1">{"'TDTGT (theo Dphuong)'!$A$4:$F$75"}</definedName>
    <definedName name="abc" localSheetId="31" hidden="1">{"'TDTGT (theo Dphuong)'!$A$4:$F$75"}</definedName>
    <definedName name="abc" localSheetId="32" hidden="1">{"'TDTGT (theo Dphuong)'!$A$4:$F$75"}</definedName>
    <definedName name="abc" localSheetId="34" hidden="1">{"'TDTGT (theo Dphuong)'!$A$4:$F$75"}</definedName>
    <definedName name="abc" localSheetId="35" hidden="1">{"'TDTGT (theo Dphuong)'!$A$4:$F$75"}</definedName>
    <definedName name="abc" localSheetId="36" hidden="1">{"'TDTGT (theo Dphuong)'!$A$4:$F$75"}</definedName>
    <definedName name="abc" localSheetId="37" hidden="1">{"'TDTGT (theo Dphuong)'!$A$4:$F$75"}</definedName>
    <definedName name="abc" localSheetId="38" hidden="1">{"'TDTGT (theo Dphuong)'!$A$4:$F$75"}</definedName>
    <definedName name="abc" localSheetId="3" hidden="1">{"'TDTGT (theo Dphuong)'!$A$4:$F$75"}</definedName>
    <definedName name="abc" localSheetId="43" hidden="1">{"'TDTGT (theo Dphuong)'!$A$4:$F$75"}</definedName>
    <definedName name="abc" localSheetId="44" hidden="1">{"'TDTGT (theo Dphuong)'!$A$4:$F$75"}</definedName>
    <definedName name="abc" localSheetId="49" hidden="1">{"'TDTGT (theo Dphuong)'!$A$4:$F$75"}</definedName>
    <definedName name="abc" localSheetId="5" hidden="1">{"'TDTGT (theo Dphuong)'!$A$4:$F$75"}</definedName>
    <definedName name="abc" hidden="1">{"'TDTGT (theo Dphuong)'!$A$4:$F$75"}</definedName>
    <definedName name="ac">3</definedName>
    <definedName name="AccessDatabase" hidden="1">"C:\add-ins\socaia.mdb"</definedName>
    <definedName name="ad">3</definedName>
    <definedName name="adsf" localSheetId="10">#REF!</definedName>
    <definedName name="adsf" localSheetId="11">#REF!</definedName>
    <definedName name="adsf" localSheetId="12">#REF!</definedName>
    <definedName name="adsf" localSheetId="15">#REF!</definedName>
    <definedName name="adsf" localSheetId="17">#REF!</definedName>
    <definedName name="adsf" localSheetId="18">#REF!</definedName>
    <definedName name="adsf" localSheetId="19">#REF!</definedName>
    <definedName name="adsf" localSheetId="20">#REF!</definedName>
    <definedName name="adsf" localSheetId="31">#REF!</definedName>
    <definedName name="adsf" localSheetId="32">#REF!</definedName>
    <definedName name="adsf" localSheetId="34">#REF!</definedName>
    <definedName name="adsf" localSheetId="36">#REF!</definedName>
    <definedName name="adsf" localSheetId="37">#REF!</definedName>
    <definedName name="adsf" localSheetId="38">#REF!</definedName>
    <definedName name="adsf" localSheetId="3">#REF!</definedName>
    <definedName name="adsf" localSheetId="40">#REF!</definedName>
    <definedName name="adsf" localSheetId="42">#REF!</definedName>
    <definedName name="adsf" localSheetId="43">#REF!</definedName>
    <definedName name="adsf" localSheetId="44">#REF!</definedName>
    <definedName name="adsf" localSheetId="49">#REF!</definedName>
    <definedName name="adsf" localSheetId="5">#REF!</definedName>
    <definedName name="adsf">#REF!</definedName>
    <definedName name="All_Item">#REF!</definedName>
    <definedName name="ALPIN">#N/A</definedName>
    <definedName name="ALPJYOU">#N/A</definedName>
    <definedName name="ALPTOI">#N/A</definedName>
    <definedName name="anhpaa">#REF!</definedName>
    <definedName name="anpha" localSheetId="10">#REF!</definedName>
    <definedName name="anpha" localSheetId="11">#REF!</definedName>
    <definedName name="anpha" localSheetId="12">#REF!</definedName>
    <definedName name="anpha" localSheetId="15">#REF!</definedName>
    <definedName name="anpha" localSheetId="17">#REF!</definedName>
    <definedName name="anpha" localSheetId="18">#REF!</definedName>
    <definedName name="anpha" localSheetId="19">#REF!</definedName>
    <definedName name="anpha" localSheetId="20">#REF!</definedName>
    <definedName name="anpha" localSheetId="31">#REF!</definedName>
    <definedName name="anpha" localSheetId="32">#REF!</definedName>
    <definedName name="anpha" localSheetId="34">#REF!</definedName>
    <definedName name="anpha" localSheetId="3">#REF!</definedName>
    <definedName name="anpha" localSheetId="40">#REF!</definedName>
    <definedName name="anpha" localSheetId="42">#REF!</definedName>
    <definedName name="anpha" localSheetId="43">#REF!</definedName>
    <definedName name="anpha" localSheetId="44">#REF!</definedName>
    <definedName name="anpha" localSheetId="49">#REF!</definedName>
    <definedName name="anpha" localSheetId="5">#REF!</definedName>
    <definedName name="anpha">#REF!</definedName>
    <definedName name="B" localSheetId="10">'[1]PNT-QUOT-#3'!#REF!</definedName>
    <definedName name="B" localSheetId="11">'[2]PNT-QUOT-#3'!#REF!</definedName>
    <definedName name="B" localSheetId="12">'[1]PNT-QUOT-#3'!#REF!</definedName>
    <definedName name="B" localSheetId="15">'[3]PNT-QUOT-#3'!#REF!</definedName>
    <definedName name="B" localSheetId="17">'[1]PNT-QUOT-#3'!#REF!</definedName>
    <definedName name="B" localSheetId="18">'[1]PNT-QUOT-#3'!#REF!</definedName>
    <definedName name="B" localSheetId="19">'[1]PNT-QUOT-#3'!#REF!</definedName>
    <definedName name="B" localSheetId="20">'[1]PNT-QUOT-#3'!#REF!</definedName>
    <definedName name="B" localSheetId="26">'[1]PNT-QUOT-#3'!#REF!</definedName>
    <definedName name="B" localSheetId="32">'[1]PNT-QUOT-#3'!#REF!</definedName>
    <definedName name="B" localSheetId="3">'[3]PNT-QUOT-#3'!#REF!</definedName>
    <definedName name="B" localSheetId="40">'[2]PNT-QUOT-#3'!#REF!</definedName>
    <definedName name="B" localSheetId="42">'[2]PNT-QUOT-#3'!#REF!</definedName>
    <definedName name="B" localSheetId="44">'[2]PNT-QUOT-#3'!#REF!</definedName>
    <definedName name="B" localSheetId="49">'[1]PNT-QUOT-#3'!#REF!</definedName>
    <definedName name="B" localSheetId="5">'[2]PNT-QUOT-#3'!#REF!</definedName>
    <definedName name="B">'[2]PNT-QUOT-#3'!#REF!</definedName>
    <definedName name="B5new" localSheetId="11" hidden="1">{"'TDTGT (theo Dphuong)'!$A$4:$F$75"}</definedName>
    <definedName name="B5new" localSheetId="15" hidden="1">{"'TDTGT (theo Dphuong)'!$A$4:$F$75"}</definedName>
    <definedName name="B5new" localSheetId="17" hidden="1">{"'TDTGT (theo Dphuong)'!$A$4:$F$75"}</definedName>
    <definedName name="B5new" localSheetId="20" hidden="1">{"'TDTGT (theo Dphuong)'!$A$4:$F$75"}</definedName>
    <definedName name="B5new" localSheetId="31" hidden="1">{"'TDTGT (theo Dphuong)'!$A$4:$F$75"}</definedName>
    <definedName name="B5new" localSheetId="32" hidden="1">{"'TDTGT (theo Dphuong)'!$A$4:$F$75"}</definedName>
    <definedName name="B5new" localSheetId="34" hidden="1">{"'TDTGT (theo Dphuong)'!$A$4:$F$75"}</definedName>
    <definedName name="B5new" localSheetId="35" hidden="1">{"'TDTGT (theo Dphuong)'!$A$4:$F$75"}</definedName>
    <definedName name="B5new" localSheetId="36" hidden="1">{"'TDTGT (theo Dphuong)'!$A$4:$F$75"}</definedName>
    <definedName name="B5new" localSheetId="37" hidden="1">{"'TDTGT (theo Dphuong)'!$A$4:$F$75"}</definedName>
    <definedName name="B5new" localSheetId="38" hidden="1">{"'TDTGT (theo Dphuong)'!$A$4:$F$75"}</definedName>
    <definedName name="B5new" localSheetId="3" hidden="1">{"'TDTGT (theo Dphuong)'!$A$4:$F$75"}</definedName>
    <definedName name="B5new" localSheetId="43" hidden="1">{"'TDTGT (theo Dphuong)'!$A$4:$F$75"}</definedName>
    <definedName name="B5new" localSheetId="44" hidden="1">{"'TDTGT (theo Dphuong)'!$A$4:$F$75"}</definedName>
    <definedName name="B5new" localSheetId="49" hidden="1">{"'TDTGT (theo Dphuong)'!$A$4:$F$75"}</definedName>
    <definedName name="B5new" localSheetId="5" hidden="1">{"'TDTGT (theo Dphuong)'!$A$4:$F$75"}</definedName>
    <definedName name="B5new" hidden="1">{"'TDTGT (theo Dphuong)'!$A$4:$F$75"}</definedName>
    <definedName name="BaiChay">#REF!</definedName>
    <definedName name="bangchamcong">#REF!</definedName>
    <definedName name="bangchu">#REF!</definedName>
    <definedName name="BÁO_CÁO_ƯỚC">#REF!</definedName>
    <definedName name="BB">#REF!</definedName>
    <definedName name="bcc_T10">#REF!</definedName>
    <definedName name="bcc_T121">#REF!</definedName>
    <definedName name="bccT1">#REF!</definedName>
    <definedName name="bccT112">#REF!</definedName>
    <definedName name="bccT122">#REF!</definedName>
    <definedName name="bccT2">#REF!</definedName>
    <definedName name="BCCT3">#REF!</definedName>
    <definedName name="bcct4">#REF!</definedName>
    <definedName name="bccT5">#REF!</definedName>
    <definedName name="bccT6">#REF!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cdsps">#REF!</definedName>
    <definedName name="bcx">#REF!</definedName>
    <definedName name="bengam">#REF!</definedName>
    <definedName name="benuoc">#REF!</definedName>
    <definedName name="beta" localSheetId="10">#REF!</definedName>
    <definedName name="beta" localSheetId="11">#REF!</definedName>
    <definedName name="beta" localSheetId="12">#REF!</definedName>
    <definedName name="beta" localSheetId="15">#REF!</definedName>
    <definedName name="beta" localSheetId="17">#REF!</definedName>
    <definedName name="beta" localSheetId="18">#REF!</definedName>
    <definedName name="beta" localSheetId="19">#REF!</definedName>
    <definedName name="beta" localSheetId="20">#REF!</definedName>
    <definedName name="beta" localSheetId="31">#REF!</definedName>
    <definedName name="beta" localSheetId="32">#REF!</definedName>
    <definedName name="beta" localSheetId="34">#REF!</definedName>
    <definedName name="beta" localSheetId="36">#REF!</definedName>
    <definedName name="beta" localSheetId="37">#REF!</definedName>
    <definedName name="beta" localSheetId="38">#REF!</definedName>
    <definedName name="beta" localSheetId="3">#REF!</definedName>
    <definedName name="beta" localSheetId="40">#REF!</definedName>
    <definedName name="beta" localSheetId="42">#REF!</definedName>
    <definedName name="beta" localSheetId="43">#REF!</definedName>
    <definedName name="beta" localSheetId="44">#REF!</definedName>
    <definedName name="beta" localSheetId="49">#REF!</definedName>
    <definedName name="beta" localSheetId="5">#REF!</definedName>
    <definedName name="beta">#REF!</definedName>
    <definedName name="BOI">#REF!</definedName>
    <definedName name="BOQ">#REF!</definedName>
    <definedName name="BRICK">#REF!</definedName>
    <definedName name="BT" localSheetId="10">#REF!</definedName>
    <definedName name="BT" localSheetId="11">#REF!</definedName>
    <definedName name="BT" localSheetId="12">#REF!</definedName>
    <definedName name="BT" localSheetId="15">#REF!</definedName>
    <definedName name="BT" localSheetId="17">#REF!</definedName>
    <definedName name="BT" localSheetId="18">#REF!</definedName>
    <definedName name="BT" localSheetId="19">#REF!</definedName>
    <definedName name="BT" localSheetId="20">#REF!</definedName>
    <definedName name="BT" localSheetId="31">#REF!</definedName>
    <definedName name="BT" localSheetId="32">#REF!</definedName>
    <definedName name="BT" localSheetId="34">#REF!</definedName>
    <definedName name="BT" localSheetId="3">#REF!</definedName>
    <definedName name="BT" localSheetId="40">#REF!</definedName>
    <definedName name="BT" localSheetId="42">#REF!</definedName>
    <definedName name="BT" localSheetId="43">#REF!</definedName>
    <definedName name="BT" localSheetId="44">#REF!</definedName>
    <definedName name="BT" localSheetId="46">#REF!</definedName>
    <definedName name="BT" localSheetId="49">#REF!</definedName>
    <definedName name="BT" localSheetId="5">#REF!</definedName>
    <definedName name="BT">#REF!</definedName>
    <definedName name="bv" localSheetId="10">#REF!</definedName>
    <definedName name="bv" localSheetId="11">#REF!</definedName>
    <definedName name="bv" localSheetId="12">#REF!</definedName>
    <definedName name="bv" localSheetId="15">#REF!</definedName>
    <definedName name="bv" localSheetId="17">#REF!</definedName>
    <definedName name="bv" localSheetId="18">#REF!</definedName>
    <definedName name="bv" localSheetId="19">#REF!</definedName>
    <definedName name="bv" localSheetId="20">#REF!</definedName>
    <definedName name="bv" localSheetId="31">#REF!</definedName>
    <definedName name="bv" localSheetId="32">#REF!</definedName>
    <definedName name="bv" localSheetId="34">#REF!</definedName>
    <definedName name="bv" localSheetId="3">#REF!</definedName>
    <definedName name="bv" localSheetId="40">#REF!</definedName>
    <definedName name="bv" localSheetId="42">#REF!</definedName>
    <definedName name="bv" localSheetId="43">#REF!</definedName>
    <definedName name="bv" localSheetId="44">#REF!</definedName>
    <definedName name="bv" localSheetId="49">#REF!</definedName>
    <definedName name="bv" localSheetId="5">#REF!</definedName>
    <definedName name="bv">#REF!</definedName>
    <definedName name="BVCISUMMARY">#REF!</definedName>
    <definedName name="CA">#REF!</definedName>
    <definedName name="cao">#REF!</definedName>
    <definedName name="cap">#REF!</definedName>
    <definedName name="cap0.7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ùp_ñoàng_traàn_75mm2">#REF!</definedName>
    <definedName name="CauQL1GD2">#REF!</definedName>
    <definedName name="CauQL1GD3">#REF!</definedName>
    <definedName name="cfk">[7]THKP!#REF!</definedName>
    <definedName name="chi.tieu">#REF!</definedName>
    <definedName name="chitieu">#REF!</definedName>
    <definedName name="CL">#REF!</definedName>
    <definedName name="CLVC3">0.1</definedName>
    <definedName name="Co">#REF!</definedName>
    <definedName name="Co_dau_ky">#REF!</definedName>
    <definedName name="COAT" localSheetId="10">'[1]PNT-QUOT-#3'!#REF!</definedName>
    <definedName name="COAT" localSheetId="11">'[2]PNT-QUOT-#3'!#REF!</definedName>
    <definedName name="COAT" localSheetId="12">'[1]PNT-QUOT-#3'!#REF!</definedName>
    <definedName name="COAT" localSheetId="15">'[3]PNT-QUOT-#3'!#REF!</definedName>
    <definedName name="COAT" localSheetId="17">'[1]PNT-QUOT-#3'!#REF!</definedName>
    <definedName name="COAT" localSheetId="18">'[1]PNT-QUOT-#3'!#REF!</definedName>
    <definedName name="COAT" localSheetId="19">'[1]PNT-QUOT-#3'!#REF!</definedName>
    <definedName name="COAT" localSheetId="20">'[1]PNT-QUOT-#3'!#REF!</definedName>
    <definedName name="COAT" localSheetId="32">'[2]PNT-QUOT-#3'!#REF!</definedName>
    <definedName name="COAT" localSheetId="3">'[3]PNT-QUOT-#3'!#REF!</definedName>
    <definedName name="COAT" localSheetId="40">'[2]PNT-QUOT-#3'!#REF!</definedName>
    <definedName name="COAT" localSheetId="42">'[2]PNT-QUOT-#3'!#REF!</definedName>
    <definedName name="COAT" localSheetId="44">'[2]PNT-QUOT-#3'!#REF!</definedName>
    <definedName name="COAT" localSheetId="49">'[1]PNT-QUOT-#3'!#REF!</definedName>
    <definedName name="COAT" localSheetId="5">'[2]PNT-QUOT-#3'!#REF!</definedName>
    <definedName name="COAT">'[2]PNT-QUOT-#3'!#REF!</definedName>
    <definedName name="coc">#REF!</definedName>
    <definedName name="cocbtct">#REF!</definedName>
    <definedName name="cocot">#REF!</definedName>
    <definedName name="cocott">#REF!</definedName>
    <definedName name="COMMON">#REF!</definedName>
    <definedName name="comong">#REF!</definedName>
    <definedName name="CON_EQP_COS">#REF!</definedName>
    <definedName name="CON_EQP_COST">#REF!</definedName>
    <definedName name="concrete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ttron">#REF!</definedName>
    <definedName name="cotvuong">#REF!</definedName>
    <definedName name="COVER">#REF!</definedName>
    <definedName name="CRITINST">#REF!</definedName>
    <definedName name="CRITPURC">#REF!</definedName>
    <definedName name="CS_10" localSheetId="10">#REF!</definedName>
    <definedName name="CS_10" localSheetId="11">#REF!</definedName>
    <definedName name="CS_10" localSheetId="12">#REF!</definedName>
    <definedName name="CS_10" localSheetId="15">#REF!</definedName>
    <definedName name="CS_10" localSheetId="17">#REF!</definedName>
    <definedName name="CS_10" localSheetId="18">#REF!</definedName>
    <definedName name="CS_10" localSheetId="19">#REF!</definedName>
    <definedName name="CS_10" localSheetId="20">#REF!</definedName>
    <definedName name="CS_10" localSheetId="31">#REF!</definedName>
    <definedName name="CS_10" localSheetId="32">#REF!</definedName>
    <definedName name="CS_10" localSheetId="34">#REF!</definedName>
    <definedName name="CS_10" localSheetId="36">#REF!</definedName>
    <definedName name="CS_10" localSheetId="37">#REF!</definedName>
    <definedName name="CS_10" localSheetId="38">#REF!</definedName>
    <definedName name="CS_10" localSheetId="3">#REF!</definedName>
    <definedName name="CS_10" localSheetId="40">#REF!</definedName>
    <definedName name="CS_10" localSheetId="42">#REF!</definedName>
    <definedName name="CS_10" localSheetId="43">#REF!</definedName>
    <definedName name="CS_10" localSheetId="44">#REF!</definedName>
    <definedName name="CS_10" localSheetId="46">#REF!</definedName>
    <definedName name="CS_10" localSheetId="49">#REF!</definedName>
    <definedName name="CS_10" localSheetId="5">#REF!</definedName>
    <definedName name="CS_10">#REF!</definedName>
    <definedName name="CS_100" localSheetId="10">#REF!</definedName>
    <definedName name="CS_100" localSheetId="11">#REF!</definedName>
    <definedName name="CS_100" localSheetId="12">#REF!</definedName>
    <definedName name="CS_100" localSheetId="15">#REF!</definedName>
    <definedName name="CS_100" localSheetId="17">#REF!</definedName>
    <definedName name="CS_100" localSheetId="18">#REF!</definedName>
    <definedName name="CS_100" localSheetId="19">#REF!</definedName>
    <definedName name="CS_100" localSheetId="20">#REF!</definedName>
    <definedName name="CS_100" localSheetId="31">#REF!</definedName>
    <definedName name="CS_100" localSheetId="32">#REF!</definedName>
    <definedName name="CS_100" localSheetId="34">#REF!</definedName>
    <definedName name="CS_100" localSheetId="3">#REF!</definedName>
    <definedName name="CS_100" localSheetId="40">#REF!</definedName>
    <definedName name="CS_100" localSheetId="42">#REF!</definedName>
    <definedName name="CS_100" localSheetId="43">#REF!</definedName>
    <definedName name="CS_100" localSheetId="44">#REF!</definedName>
    <definedName name="CS_100" localSheetId="46">#REF!</definedName>
    <definedName name="CS_100" localSheetId="49">#REF!</definedName>
    <definedName name="CS_100" localSheetId="5">#REF!</definedName>
    <definedName name="CS_100">#REF!</definedName>
    <definedName name="CS_10S" localSheetId="10">#REF!</definedName>
    <definedName name="CS_10S" localSheetId="11">#REF!</definedName>
    <definedName name="CS_10S" localSheetId="12">#REF!</definedName>
    <definedName name="CS_10S" localSheetId="15">#REF!</definedName>
    <definedName name="CS_10S" localSheetId="17">#REF!</definedName>
    <definedName name="CS_10S" localSheetId="18">#REF!</definedName>
    <definedName name="CS_10S" localSheetId="19">#REF!</definedName>
    <definedName name="CS_10S" localSheetId="20">#REF!</definedName>
    <definedName name="CS_10S" localSheetId="31">#REF!</definedName>
    <definedName name="CS_10S" localSheetId="32">#REF!</definedName>
    <definedName name="CS_10S" localSheetId="34">#REF!</definedName>
    <definedName name="CS_10S" localSheetId="3">#REF!</definedName>
    <definedName name="CS_10S" localSheetId="40">#REF!</definedName>
    <definedName name="CS_10S" localSheetId="42">#REF!</definedName>
    <definedName name="CS_10S" localSheetId="43">#REF!</definedName>
    <definedName name="CS_10S" localSheetId="44">#REF!</definedName>
    <definedName name="CS_10S" localSheetId="46">#REF!</definedName>
    <definedName name="CS_10S" localSheetId="49">#REF!</definedName>
    <definedName name="CS_10S" localSheetId="5">#REF!</definedName>
    <definedName name="CS_10S">#REF!</definedName>
    <definedName name="CS_120" localSheetId="10">#REF!</definedName>
    <definedName name="CS_120" localSheetId="11">#REF!</definedName>
    <definedName name="CS_120" localSheetId="12">#REF!</definedName>
    <definedName name="CS_120" localSheetId="15">#REF!</definedName>
    <definedName name="CS_120" localSheetId="17">#REF!</definedName>
    <definedName name="CS_120" localSheetId="18">#REF!</definedName>
    <definedName name="CS_120" localSheetId="19">#REF!</definedName>
    <definedName name="CS_120" localSheetId="20">#REF!</definedName>
    <definedName name="CS_120" localSheetId="31">#REF!</definedName>
    <definedName name="CS_120" localSheetId="32">#REF!</definedName>
    <definedName name="CS_120" localSheetId="34">#REF!</definedName>
    <definedName name="CS_120" localSheetId="3">#REF!</definedName>
    <definedName name="CS_120" localSheetId="40">#REF!</definedName>
    <definedName name="CS_120" localSheetId="42">#REF!</definedName>
    <definedName name="CS_120" localSheetId="43">#REF!</definedName>
    <definedName name="CS_120" localSheetId="44">#REF!</definedName>
    <definedName name="CS_120" localSheetId="46">#REF!</definedName>
    <definedName name="CS_120" localSheetId="49">#REF!</definedName>
    <definedName name="CS_120" localSheetId="5">#REF!</definedName>
    <definedName name="CS_120">#REF!</definedName>
    <definedName name="CS_140" localSheetId="10">#REF!</definedName>
    <definedName name="CS_140" localSheetId="11">#REF!</definedName>
    <definedName name="CS_140" localSheetId="12">#REF!</definedName>
    <definedName name="CS_140" localSheetId="15">#REF!</definedName>
    <definedName name="CS_140" localSheetId="17">#REF!</definedName>
    <definedName name="CS_140" localSheetId="18">#REF!</definedName>
    <definedName name="CS_140" localSheetId="19">#REF!</definedName>
    <definedName name="CS_140" localSheetId="20">#REF!</definedName>
    <definedName name="CS_140" localSheetId="31">#REF!</definedName>
    <definedName name="CS_140" localSheetId="32">#REF!</definedName>
    <definedName name="CS_140" localSheetId="34">#REF!</definedName>
    <definedName name="CS_140" localSheetId="3">#REF!</definedName>
    <definedName name="CS_140" localSheetId="40">#REF!</definedName>
    <definedName name="CS_140" localSheetId="42">#REF!</definedName>
    <definedName name="CS_140" localSheetId="43">#REF!</definedName>
    <definedName name="CS_140" localSheetId="44">#REF!</definedName>
    <definedName name="CS_140" localSheetId="46">#REF!</definedName>
    <definedName name="CS_140" localSheetId="49">#REF!</definedName>
    <definedName name="CS_140" localSheetId="5">#REF!</definedName>
    <definedName name="CS_140">#REF!</definedName>
    <definedName name="CS_160" localSheetId="10">#REF!</definedName>
    <definedName name="CS_160" localSheetId="11">#REF!</definedName>
    <definedName name="CS_160" localSheetId="12">#REF!</definedName>
    <definedName name="CS_160" localSheetId="15">#REF!</definedName>
    <definedName name="CS_160" localSheetId="17">#REF!</definedName>
    <definedName name="CS_160" localSheetId="18">#REF!</definedName>
    <definedName name="CS_160" localSheetId="19">#REF!</definedName>
    <definedName name="CS_160" localSheetId="20">#REF!</definedName>
    <definedName name="CS_160" localSheetId="31">#REF!</definedName>
    <definedName name="CS_160" localSheetId="32">#REF!</definedName>
    <definedName name="CS_160" localSheetId="34">#REF!</definedName>
    <definedName name="CS_160" localSheetId="3">#REF!</definedName>
    <definedName name="CS_160" localSheetId="40">#REF!</definedName>
    <definedName name="CS_160" localSheetId="42">#REF!</definedName>
    <definedName name="CS_160" localSheetId="43">#REF!</definedName>
    <definedName name="CS_160" localSheetId="44">#REF!</definedName>
    <definedName name="CS_160" localSheetId="46">#REF!</definedName>
    <definedName name="CS_160" localSheetId="49">#REF!</definedName>
    <definedName name="CS_160" localSheetId="5">#REF!</definedName>
    <definedName name="CS_160">#REF!</definedName>
    <definedName name="CS_20" localSheetId="10">#REF!</definedName>
    <definedName name="CS_20" localSheetId="11">#REF!</definedName>
    <definedName name="CS_20" localSheetId="12">#REF!</definedName>
    <definedName name="CS_20" localSheetId="15">#REF!</definedName>
    <definedName name="CS_20" localSheetId="17">#REF!</definedName>
    <definedName name="CS_20" localSheetId="18">#REF!</definedName>
    <definedName name="CS_20" localSheetId="19">#REF!</definedName>
    <definedName name="CS_20" localSheetId="20">#REF!</definedName>
    <definedName name="CS_20" localSheetId="31">#REF!</definedName>
    <definedName name="CS_20" localSheetId="32">#REF!</definedName>
    <definedName name="CS_20" localSheetId="34">#REF!</definedName>
    <definedName name="CS_20" localSheetId="3">#REF!</definedName>
    <definedName name="CS_20" localSheetId="40">#REF!</definedName>
    <definedName name="CS_20" localSheetId="42">#REF!</definedName>
    <definedName name="CS_20" localSheetId="43">#REF!</definedName>
    <definedName name="CS_20" localSheetId="44">#REF!</definedName>
    <definedName name="CS_20" localSheetId="46">#REF!</definedName>
    <definedName name="CS_20" localSheetId="49">#REF!</definedName>
    <definedName name="CS_20" localSheetId="5">#REF!</definedName>
    <definedName name="CS_20">#REF!</definedName>
    <definedName name="CS_30" localSheetId="10">#REF!</definedName>
    <definedName name="CS_30" localSheetId="11">#REF!</definedName>
    <definedName name="CS_30" localSheetId="12">#REF!</definedName>
    <definedName name="CS_30" localSheetId="15">#REF!</definedName>
    <definedName name="CS_30" localSheetId="17">#REF!</definedName>
    <definedName name="CS_30" localSheetId="18">#REF!</definedName>
    <definedName name="CS_30" localSheetId="19">#REF!</definedName>
    <definedName name="CS_30" localSheetId="20">#REF!</definedName>
    <definedName name="CS_30" localSheetId="31">#REF!</definedName>
    <definedName name="CS_30" localSheetId="32">#REF!</definedName>
    <definedName name="CS_30" localSheetId="34">#REF!</definedName>
    <definedName name="CS_30" localSheetId="3">#REF!</definedName>
    <definedName name="CS_30" localSheetId="40">#REF!</definedName>
    <definedName name="CS_30" localSheetId="42">#REF!</definedName>
    <definedName name="CS_30" localSheetId="43">#REF!</definedName>
    <definedName name="CS_30" localSheetId="44">#REF!</definedName>
    <definedName name="CS_30" localSheetId="46">#REF!</definedName>
    <definedName name="CS_30" localSheetId="49">#REF!</definedName>
    <definedName name="CS_30" localSheetId="5">#REF!</definedName>
    <definedName name="CS_30">#REF!</definedName>
    <definedName name="CS_40" localSheetId="10">#REF!</definedName>
    <definedName name="CS_40" localSheetId="11">#REF!</definedName>
    <definedName name="CS_40" localSheetId="12">#REF!</definedName>
    <definedName name="CS_40" localSheetId="15">#REF!</definedName>
    <definedName name="CS_40" localSheetId="17">#REF!</definedName>
    <definedName name="CS_40" localSheetId="18">#REF!</definedName>
    <definedName name="CS_40" localSheetId="19">#REF!</definedName>
    <definedName name="CS_40" localSheetId="20">#REF!</definedName>
    <definedName name="CS_40" localSheetId="31">#REF!</definedName>
    <definedName name="CS_40" localSheetId="32">#REF!</definedName>
    <definedName name="CS_40" localSheetId="34">#REF!</definedName>
    <definedName name="CS_40" localSheetId="3">#REF!</definedName>
    <definedName name="CS_40" localSheetId="40">#REF!</definedName>
    <definedName name="CS_40" localSheetId="42">#REF!</definedName>
    <definedName name="CS_40" localSheetId="43">#REF!</definedName>
    <definedName name="CS_40" localSheetId="44">#REF!</definedName>
    <definedName name="CS_40" localSheetId="46">#REF!</definedName>
    <definedName name="CS_40" localSheetId="49">#REF!</definedName>
    <definedName name="CS_40" localSheetId="5">#REF!</definedName>
    <definedName name="CS_40">#REF!</definedName>
    <definedName name="CS_40S" localSheetId="10">#REF!</definedName>
    <definedName name="CS_40S" localSheetId="11">#REF!</definedName>
    <definedName name="CS_40S" localSheetId="12">#REF!</definedName>
    <definedName name="CS_40S" localSheetId="15">#REF!</definedName>
    <definedName name="CS_40S" localSheetId="17">#REF!</definedName>
    <definedName name="CS_40S" localSheetId="18">#REF!</definedName>
    <definedName name="CS_40S" localSheetId="19">#REF!</definedName>
    <definedName name="CS_40S" localSheetId="20">#REF!</definedName>
    <definedName name="CS_40S" localSheetId="31">#REF!</definedName>
    <definedName name="CS_40S" localSheetId="32">#REF!</definedName>
    <definedName name="CS_40S" localSheetId="34">#REF!</definedName>
    <definedName name="CS_40S" localSheetId="3">#REF!</definedName>
    <definedName name="CS_40S" localSheetId="40">#REF!</definedName>
    <definedName name="CS_40S" localSheetId="42">#REF!</definedName>
    <definedName name="CS_40S" localSheetId="43">#REF!</definedName>
    <definedName name="CS_40S" localSheetId="44">#REF!</definedName>
    <definedName name="CS_40S" localSheetId="46">#REF!</definedName>
    <definedName name="CS_40S" localSheetId="49">#REF!</definedName>
    <definedName name="CS_40S" localSheetId="5">#REF!</definedName>
    <definedName name="CS_40S">#REF!</definedName>
    <definedName name="CS_5S" localSheetId="10">#REF!</definedName>
    <definedName name="CS_5S" localSheetId="11">#REF!</definedName>
    <definedName name="CS_5S" localSheetId="12">#REF!</definedName>
    <definedName name="CS_5S" localSheetId="15">#REF!</definedName>
    <definedName name="CS_5S" localSheetId="17">#REF!</definedName>
    <definedName name="CS_5S" localSheetId="18">#REF!</definedName>
    <definedName name="CS_5S" localSheetId="19">#REF!</definedName>
    <definedName name="CS_5S" localSheetId="20">#REF!</definedName>
    <definedName name="CS_5S" localSheetId="31">#REF!</definedName>
    <definedName name="CS_5S" localSheetId="32">#REF!</definedName>
    <definedName name="CS_5S" localSheetId="34">#REF!</definedName>
    <definedName name="CS_5S" localSheetId="3">#REF!</definedName>
    <definedName name="CS_5S" localSheetId="40">#REF!</definedName>
    <definedName name="CS_5S" localSheetId="42">#REF!</definedName>
    <definedName name="CS_5S" localSheetId="43">#REF!</definedName>
    <definedName name="CS_5S" localSheetId="44">#REF!</definedName>
    <definedName name="CS_5S" localSheetId="46">#REF!</definedName>
    <definedName name="CS_5S" localSheetId="49">#REF!</definedName>
    <definedName name="CS_5S" localSheetId="5">#REF!</definedName>
    <definedName name="CS_5S">#REF!</definedName>
    <definedName name="CS_60" localSheetId="10">#REF!</definedName>
    <definedName name="CS_60" localSheetId="11">#REF!</definedName>
    <definedName name="CS_60" localSheetId="12">#REF!</definedName>
    <definedName name="CS_60" localSheetId="15">#REF!</definedName>
    <definedName name="CS_60" localSheetId="17">#REF!</definedName>
    <definedName name="CS_60" localSheetId="18">#REF!</definedName>
    <definedName name="CS_60" localSheetId="19">#REF!</definedName>
    <definedName name="CS_60" localSheetId="20">#REF!</definedName>
    <definedName name="CS_60" localSheetId="31">#REF!</definedName>
    <definedName name="CS_60" localSheetId="32">#REF!</definedName>
    <definedName name="CS_60" localSheetId="34">#REF!</definedName>
    <definedName name="CS_60" localSheetId="3">#REF!</definedName>
    <definedName name="CS_60" localSheetId="40">#REF!</definedName>
    <definedName name="CS_60" localSheetId="42">#REF!</definedName>
    <definedName name="CS_60" localSheetId="43">#REF!</definedName>
    <definedName name="CS_60" localSheetId="44">#REF!</definedName>
    <definedName name="CS_60" localSheetId="46">#REF!</definedName>
    <definedName name="CS_60" localSheetId="49">#REF!</definedName>
    <definedName name="CS_60" localSheetId="5">#REF!</definedName>
    <definedName name="CS_60">#REF!</definedName>
    <definedName name="CS_80" localSheetId="10">#REF!</definedName>
    <definedName name="CS_80" localSheetId="11">#REF!</definedName>
    <definedName name="CS_80" localSheetId="12">#REF!</definedName>
    <definedName name="CS_80" localSheetId="15">#REF!</definedName>
    <definedName name="CS_80" localSheetId="17">#REF!</definedName>
    <definedName name="CS_80" localSheetId="18">#REF!</definedName>
    <definedName name="CS_80" localSheetId="19">#REF!</definedName>
    <definedName name="CS_80" localSheetId="20">#REF!</definedName>
    <definedName name="CS_80" localSheetId="31">#REF!</definedName>
    <definedName name="CS_80" localSheetId="32">#REF!</definedName>
    <definedName name="CS_80" localSheetId="34">#REF!</definedName>
    <definedName name="CS_80" localSheetId="3">#REF!</definedName>
    <definedName name="CS_80" localSheetId="40">#REF!</definedName>
    <definedName name="CS_80" localSheetId="42">#REF!</definedName>
    <definedName name="CS_80" localSheetId="43">#REF!</definedName>
    <definedName name="CS_80" localSheetId="44">#REF!</definedName>
    <definedName name="CS_80" localSheetId="46">#REF!</definedName>
    <definedName name="CS_80" localSheetId="49">#REF!</definedName>
    <definedName name="CS_80" localSheetId="5">#REF!</definedName>
    <definedName name="CS_80">#REF!</definedName>
    <definedName name="CS_80S" localSheetId="10">#REF!</definedName>
    <definedName name="CS_80S" localSheetId="11">#REF!</definedName>
    <definedName name="CS_80S" localSheetId="12">#REF!</definedName>
    <definedName name="CS_80S" localSheetId="15">#REF!</definedName>
    <definedName name="CS_80S" localSheetId="17">#REF!</definedName>
    <definedName name="CS_80S" localSheetId="18">#REF!</definedName>
    <definedName name="CS_80S" localSheetId="19">#REF!</definedName>
    <definedName name="CS_80S" localSheetId="20">#REF!</definedName>
    <definedName name="CS_80S" localSheetId="31">#REF!</definedName>
    <definedName name="CS_80S" localSheetId="32">#REF!</definedName>
    <definedName name="CS_80S" localSheetId="34">#REF!</definedName>
    <definedName name="CS_80S" localSheetId="3">#REF!</definedName>
    <definedName name="CS_80S" localSheetId="40">#REF!</definedName>
    <definedName name="CS_80S" localSheetId="42">#REF!</definedName>
    <definedName name="CS_80S" localSheetId="43">#REF!</definedName>
    <definedName name="CS_80S" localSheetId="44">#REF!</definedName>
    <definedName name="CS_80S" localSheetId="46">#REF!</definedName>
    <definedName name="CS_80S" localSheetId="49">#REF!</definedName>
    <definedName name="CS_80S" localSheetId="5">#REF!</definedName>
    <definedName name="CS_80S">#REF!</definedName>
    <definedName name="CS_STD" localSheetId="10">#REF!</definedName>
    <definedName name="CS_STD" localSheetId="11">#REF!</definedName>
    <definedName name="CS_STD" localSheetId="12">#REF!</definedName>
    <definedName name="CS_STD" localSheetId="15">#REF!</definedName>
    <definedName name="CS_STD" localSheetId="17">#REF!</definedName>
    <definedName name="CS_STD" localSheetId="18">#REF!</definedName>
    <definedName name="CS_STD" localSheetId="19">#REF!</definedName>
    <definedName name="CS_STD" localSheetId="20">#REF!</definedName>
    <definedName name="CS_STD" localSheetId="31">#REF!</definedName>
    <definedName name="CS_STD" localSheetId="32">#REF!</definedName>
    <definedName name="CS_STD" localSheetId="34">#REF!</definedName>
    <definedName name="CS_STD" localSheetId="3">#REF!</definedName>
    <definedName name="CS_STD" localSheetId="40">#REF!</definedName>
    <definedName name="CS_STD" localSheetId="42">#REF!</definedName>
    <definedName name="CS_STD" localSheetId="43">#REF!</definedName>
    <definedName name="CS_STD" localSheetId="44">#REF!</definedName>
    <definedName name="CS_STD" localSheetId="46">#REF!</definedName>
    <definedName name="CS_STD" localSheetId="49">#REF!</definedName>
    <definedName name="CS_STD" localSheetId="5">#REF!</definedName>
    <definedName name="CS_STD">#REF!</definedName>
    <definedName name="CS_XS" localSheetId="10">#REF!</definedName>
    <definedName name="CS_XS" localSheetId="11">#REF!</definedName>
    <definedName name="CS_XS" localSheetId="12">#REF!</definedName>
    <definedName name="CS_XS" localSheetId="15">#REF!</definedName>
    <definedName name="CS_XS" localSheetId="17">#REF!</definedName>
    <definedName name="CS_XS" localSheetId="18">#REF!</definedName>
    <definedName name="CS_XS" localSheetId="19">#REF!</definedName>
    <definedName name="CS_XS" localSheetId="20">#REF!</definedName>
    <definedName name="CS_XS" localSheetId="31">#REF!</definedName>
    <definedName name="CS_XS" localSheetId="32">#REF!</definedName>
    <definedName name="CS_XS" localSheetId="34">#REF!</definedName>
    <definedName name="CS_XS" localSheetId="3">#REF!</definedName>
    <definedName name="CS_XS" localSheetId="40">#REF!</definedName>
    <definedName name="CS_XS" localSheetId="42">#REF!</definedName>
    <definedName name="CS_XS" localSheetId="43">#REF!</definedName>
    <definedName name="CS_XS" localSheetId="44">#REF!</definedName>
    <definedName name="CS_XS" localSheetId="46">#REF!</definedName>
    <definedName name="CS_XS" localSheetId="49">#REF!</definedName>
    <definedName name="CS_XS" localSheetId="5">#REF!</definedName>
    <definedName name="CS_XS">#REF!</definedName>
    <definedName name="CS_XXS" localSheetId="10">#REF!</definedName>
    <definedName name="CS_XXS" localSheetId="11">#REF!</definedName>
    <definedName name="CS_XXS" localSheetId="12">#REF!</definedName>
    <definedName name="CS_XXS" localSheetId="15">#REF!</definedName>
    <definedName name="CS_XXS" localSheetId="17">#REF!</definedName>
    <definedName name="CS_XXS" localSheetId="18">#REF!</definedName>
    <definedName name="CS_XXS" localSheetId="19">#REF!</definedName>
    <definedName name="CS_XXS" localSheetId="20">#REF!</definedName>
    <definedName name="CS_XXS" localSheetId="31">#REF!</definedName>
    <definedName name="CS_XXS" localSheetId="32">#REF!</definedName>
    <definedName name="CS_XXS" localSheetId="34">#REF!</definedName>
    <definedName name="CS_XXS" localSheetId="3">#REF!</definedName>
    <definedName name="CS_XXS" localSheetId="40">#REF!</definedName>
    <definedName name="CS_XXS" localSheetId="42">#REF!</definedName>
    <definedName name="CS_XXS" localSheetId="43">#REF!</definedName>
    <definedName name="CS_XXS" localSheetId="44">#REF!</definedName>
    <definedName name="CS_XXS" localSheetId="46">#REF!</definedName>
    <definedName name="CS_XXS" localSheetId="49">#REF!</definedName>
    <definedName name="CS_XXS" localSheetId="5">#REF!</definedName>
    <definedName name="CS_XXS">#REF!</definedName>
    <definedName name="CT">#REF!</definedName>
    <definedName name="CTA">#REF!</definedName>
    <definedName name="ctdn9697">#REF!</definedName>
    <definedName name="CTGS">#REF!</definedName>
    <definedName name="cua">#REF!</definedName>
    <definedName name="CURRENCY">#REF!</definedName>
    <definedName name="cv" localSheetId="11" hidden="1">{"'TDTGT (theo Dphuong)'!$A$4:$F$75"}</definedName>
    <definedName name="cv" localSheetId="15" hidden="1">{"'TDTGT (theo Dphuong)'!$A$4:$F$75"}</definedName>
    <definedName name="cv" localSheetId="17" hidden="1">{"'TDTGT (theo Dphuong)'!$A$4:$F$75"}</definedName>
    <definedName name="cv" localSheetId="20" hidden="1">{"'TDTGT (theo Dphuong)'!$A$4:$F$75"}</definedName>
    <definedName name="cv" localSheetId="31" hidden="1">{"'TDTGT (theo Dphuong)'!$A$4:$F$75"}</definedName>
    <definedName name="cv" localSheetId="32" hidden="1">{"'TDTGT (theo Dphuong)'!$A$4:$F$75"}</definedName>
    <definedName name="cv" localSheetId="34" hidden="1">{"'TDTGT (theo Dphuong)'!$A$4:$F$75"}</definedName>
    <definedName name="cv" localSheetId="35" hidden="1">{"'TDTGT (theo Dphuong)'!$A$4:$F$75"}</definedName>
    <definedName name="cv" localSheetId="36" hidden="1">{"'TDTGT (theo Dphuong)'!$A$4:$F$75"}</definedName>
    <definedName name="cv" localSheetId="37" hidden="1">{"'TDTGT (theo Dphuong)'!$A$4:$F$75"}</definedName>
    <definedName name="cv" localSheetId="38" hidden="1">{"'TDTGT (theo Dphuong)'!$A$4:$F$75"}</definedName>
    <definedName name="cv" localSheetId="3" hidden="1">{"'TDTGT (theo Dphuong)'!$A$4:$F$75"}</definedName>
    <definedName name="cv" localSheetId="43" hidden="1">{"'TDTGT (theo Dphuong)'!$A$4:$F$75"}</definedName>
    <definedName name="cv" localSheetId="44" hidden="1">{"'TDTGT (theo Dphuong)'!$A$4:$F$75"}</definedName>
    <definedName name="cv" localSheetId="49" hidden="1">{"'TDTGT (theo Dphuong)'!$A$4:$F$75"}</definedName>
    <definedName name="cv" localSheetId="5" hidden="1">{"'TDTGT (theo Dphuong)'!$A$4:$F$75"}</definedName>
    <definedName name="cv" hidden="1">{"'TDTGT (theo Dphuong)'!$A$4:$F$75"}</definedName>
    <definedName name="cx" localSheetId="10">#REF!</definedName>
    <definedName name="cx" localSheetId="11">#REF!</definedName>
    <definedName name="cx" localSheetId="12">#REF!</definedName>
    <definedName name="cx" localSheetId="15">#REF!</definedName>
    <definedName name="cx" localSheetId="17">#REF!</definedName>
    <definedName name="cx" localSheetId="18">#REF!</definedName>
    <definedName name="cx" localSheetId="19">#REF!</definedName>
    <definedName name="cx" localSheetId="20">#REF!</definedName>
    <definedName name="cx" localSheetId="31">#REF!</definedName>
    <definedName name="cx" localSheetId="32">#REF!</definedName>
    <definedName name="cx" localSheetId="34">#REF!</definedName>
    <definedName name="cx" localSheetId="36">#REF!</definedName>
    <definedName name="cx" localSheetId="37">#REF!</definedName>
    <definedName name="cx" localSheetId="38">#REF!</definedName>
    <definedName name="cx" localSheetId="3">#REF!</definedName>
    <definedName name="cx" localSheetId="40">#REF!</definedName>
    <definedName name="cx" localSheetId="42">#REF!</definedName>
    <definedName name="cx" localSheetId="43">#REF!</definedName>
    <definedName name="cx" localSheetId="44">#REF!</definedName>
    <definedName name="cx" localSheetId="46">#REF!</definedName>
    <definedName name="cx" localSheetId="49">#REF!</definedName>
    <definedName name="cx" localSheetId="5">#REF!</definedName>
    <definedName name="cx">#REF!</definedName>
    <definedName name="d" localSheetId="10" hidden="1">#REF!</definedName>
    <definedName name="d" localSheetId="11" hidden="1">#REF!</definedName>
    <definedName name="d" localSheetId="12" hidden="1">#REF!</definedName>
    <definedName name="d" localSheetId="15" hidden="1">#REF!</definedName>
    <definedName name="d" localSheetId="17" hidden="1">#REF!</definedName>
    <definedName name="d" localSheetId="18" hidden="1">#REF!</definedName>
    <definedName name="d" localSheetId="19" hidden="1">#REF!</definedName>
    <definedName name="d" localSheetId="20" hidden="1">#REF!</definedName>
    <definedName name="d" localSheetId="31" hidden="1">#REF!</definedName>
    <definedName name="d" localSheetId="32" hidden="1">#REF!</definedName>
    <definedName name="d" localSheetId="34" hidden="1">#REF!</definedName>
    <definedName name="d" localSheetId="3" hidden="1">#REF!</definedName>
    <definedName name="d" localSheetId="40" hidden="1">#REF!</definedName>
    <definedName name="d" localSheetId="42" hidden="1">#REF!</definedName>
    <definedName name="d" localSheetId="43" hidden="1">#REF!</definedName>
    <definedName name="d" localSheetId="44" hidden="1">#REF!</definedName>
    <definedName name="d" localSheetId="46" hidden="1">#REF!</definedName>
    <definedName name="d" localSheetId="49" hidden="1">#REF!</definedName>
    <definedName name="d" localSheetId="5" hidden="1">#REF!</definedName>
    <definedName name="d" hidden="1">#REF!</definedName>
    <definedName name="D_7101A_B">#REF!</definedName>
    <definedName name="dam">#REF!</definedName>
    <definedName name="danducsan">#REF!</definedName>
    <definedName name="Data">#REF!</definedName>
    <definedName name="DATA_DATA2_List">#REF!</definedName>
    <definedName name="_xlnm.Database">#REF!</definedName>
    <definedName name="DATATKDT">#REF!</definedName>
    <definedName name="dd" localSheetId="10">#REF!</definedName>
    <definedName name="dd" localSheetId="11">#REF!</definedName>
    <definedName name="dd" localSheetId="12">#REF!</definedName>
    <definedName name="dd" localSheetId="15">#REF!</definedName>
    <definedName name="dd" localSheetId="17">#REF!</definedName>
    <definedName name="dd" localSheetId="18">#REF!</definedName>
    <definedName name="dd" localSheetId="19">#REF!</definedName>
    <definedName name="dd" localSheetId="20">#REF!</definedName>
    <definedName name="dd" localSheetId="31">#REF!</definedName>
    <definedName name="dd" localSheetId="32">#REF!</definedName>
    <definedName name="dd" localSheetId="34">#REF!</definedName>
    <definedName name="dd" localSheetId="3">#REF!</definedName>
    <definedName name="dd" localSheetId="40">#REF!</definedName>
    <definedName name="dd" localSheetId="42">#REF!</definedName>
    <definedName name="dd" localSheetId="43">#REF!</definedName>
    <definedName name="dd" localSheetId="44">#REF!</definedName>
    <definedName name="dd" localSheetId="49">#REF!</definedName>
    <definedName name="dd" localSheetId="5">#REF!</definedName>
    <definedName name="dd">#REF!</definedName>
    <definedName name="dđ" localSheetId="32" hidden="1">{"'Sheet1'!$L$16"}</definedName>
    <definedName name="dđ" localSheetId="49" hidden="1">{"'Sheet1'!$L$16"}</definedName>
    <definedName name="dđ" localSheetId="5" hidden="1">{"'Sheet1'!$L$16"}</definedName>
    <definedName name="dđ" hidden="1">{"'Sheet1'!$L$16"}</definedName>
    <definedName name="DDAY">#REF!</definedName>
    <definedName name="ddddd">#REF!</definedName>
    <definedName name="dddggg">#REF!</definedName>
    <definedName name="den_bu">#REF!</definedName>
    <definedName name="df" localSheetId="10" hidden="1">#REF!</definedName>
    <definedName name="df" localSheetId="11" hidden="1">#REF!</definedName>
    <definedName name="df" localSheetId="12" hidden="1">#REF!</definedName>
    <definedName name="df" localSheetId="15" hidden="1">#REF!</definedName>
    <definedName name="df" localSheetId="17" hidden="1">#REF!</definedName>
    <definedName name="df" localSheetId="18" hidden="1">#REF!</definedName>
    <definedName name="df" localSheetId="19" hidden="1">#REF!</definedName>
    <definedName name="df" localSheetId="20" hidden="1">#REF!</definedName>
    <definedName name="df" localSheetId="31" hidden="1">#REF!</definedName>
    <definedName name="df" localSheetId="32" hidden="1">#REF!</definedName>
    <definedName name="df" localSheetId="34" hidden="1">#REF!</definedName>
    <definedName name="df" localSheetId="3" hidden="1">#REF!</definedName>
    <definedName name="df" localSheetId="40" hidden="1">#REF!</definedName>
    <definedName name="df" localSheetId="42" hidden="1">#REF!</definedName>
    <definedName name="df" localSheetId="43" hidden="1">#REF!</definedName>
    <definedName name="df" localSheetId="44" hidden="1">#REF!</definedName>
    <definedName name="df" localSheetId="46" hidden="1">#REF!</definedName>
    <definedName name="df" localSheetId="49" hidden="1">#REF!</definedName>
    <definedName name="df" localSheetId="5" hidden="1">#REF!</definedName>
    <definedName name="df" hidden="1">#REF!</definedName>
    <definedName name="dg" localSheetId="10">#REF!</definedName>
    <definedName name="dg" localSheetId="11">#REF!</definedName>
    <definedName name="dg" localSheetId="12">#REF!</definedName>
    <definedName name="dg" localSheetId="15">#REF!</definedName>
    <definedName name="dg" localSheetId="17">#REF!</definedName>
    <definedName name="dg" localSheetId="18">#REF!</definedName>
    <definedName name="dg" localSheetId="19">#REF!</definedName>
    <definedName name="dg" localSheetId="20">#REF!</definedName>
    <definedName name="dg" localSheetId="31">#REF!</definedName>
    <definedName name="dg" localSheetId="32">#REF!</definedName>
    <definedName name="dg" localSheetId="34">#REF!</definedName>
    <definedName name="dg" localSheetId="3">#REF!</definedName>
    <definedName name="dg" localSheetId="40">#REF!</definedName>
    <definedName name="dg" localSheetId="42">#REF!</definedName>
    <definedName name="dg" localSheetId="43">#REF!</definedName>
    <definedName name="dg" localSheetId="44">#REF!</definedName>
    <definedName name="dg" localSheetId="49">#REF!</definedName>
    <definedName name="dg" localSheetId="5">#REF!</definedName>
    <definedName name="dg">#REF!</definedName>
    <definedName name="DGVUA">#REF!</definedName>
    <definedName name="DGXDTT">#REF!</definedName>
    <definedName name="dien" localSheetId="10">#REF!</definedName>
    <definedName name="dien" localSheetId="11">#REF!</definedName>
    <definedName name="dien" localSheetId="12">#REF!</definedName>
    <definedName name="dien" localSheetId="15">#REF!</definedName>
    <definedName name="dien" localSheetId="17">#REF!</definedName>
    <definedName name="dien" localSheetId="18">#REF!</definedName>
    <definedName name="dien" localSheetId="19">#REF!</definedName>
    <definedName name="dien" localSheetId="20">#REF!</definedName>
    <definedName name="dien" localSheetId="31">#REF!</definedName>
    <definedName name="dien" localSheetId="32">#REF!</definedName>
    <definedName name="dien" localSheetId="34">#REF!</definedName>
    <definedName name="dien" localSheetId="3">#REF!</definedName>
    <definedName name="dien" localSheetId="40">#REF!</definedName>
    <definedName name="dien" localSheetId="42">#REF!</definedName>
    <definedName name="dien" localSheetId="43">#REF!</definedName>
    <definedName name="dien" localSheetId="44">#REF!</definedName>
    <definedName name="dien" localSheetId="49">#REF!</definedName>
    <definedName name="dien" localSheetId="5">#REF!</definedName>
    <definedName name="dien">#REF!</definedName>
    <definedName name="dientichck">#REF!</definedName>
    <definedName name="đil">#REF!</definedName>
    <definedName name="DIRECT_COST_ACC">#REF!</definedName>
    <definedName name="DM">#REF!</definedName>
    <definedName name="dmvt">#REF!</definedName>
    <definedName name="dmvt11">#REF!</definedName>
    <definedName name="dn" localSheetId="11" hidden="1">{"'TDTGT (theo Dphuong)'!$A$4:$F$75"}</definedName>
    <definedName name="dn" localSheetId="15" hidden="1">{"'TDTGT (theo Dphuong)'!$A$4:$F$75"}</definedName>
    <definedName name="dn" localSheetId="17" hidden="1">{"'TDTGT (theo Dphuong)'!$A$4:$F$75"}</definedName>
    <definedName name="dn" localSheetId="20" hidden="1">{"'TDTGT (theo Dphuong)'!$A$4:$F$75"}</definedName>
    <definedName name="dn" localSheetId="31" hidden="1">{"'TDTGT (theo Dphuong)'!$A$4:$F$75"}</definedName>
    <definedName name="dn" localSheetId="32" hidden="1">{"'TDTGT (theo Dphuong)'!$A$4:$F$75"}</definedName>
    <definedName name="dn" localSheetId="34" hidden="1">{"'TDTGT (theo Dphuong)'!$A$4:$F$75"}</definedName>
    <definedName name="dn" localSheetId="35" hidden="1">{"'TDTGT (theo Dphuong)'!$A$4:$F$75"}</definedName>
    <definedName name="dn" localSheetId="36" hidden="1">{"'TDTGT (theo Dphuong)'!$A$4:$F$75"}</definedName>
    <definedName name="dn" localSheetId="37" hidden="1">{"'TDTGT (theo Dphuong)'!$A$4:$F$75"}</definedName>
    <definedName name="dn" localSheetId="38" hidden="1">{"'TDTGT (theo Dphuong)'!$A$4:$F$75"}</definedName>
    <definedName name="dn" localSheetId="3" hidden="1">{"'TDTGT (theo Dphuong)'!$A$4:$F$75"}</definedName>
    <definedName name="dn" localSheetId="43" hidden="1">{"'TDTGT (theo Dphuong)'!$A$4:$F$75"}</definedName>
    <definedName name="dn" localSheetId="44" hidden="1">{"'TDTGT (theo Dphuong)'!$A$4:$F$75"}</definedName>
    <definedName name="dn" localSheetId="49" hidden="1">{"'TDTGT (theo Dphuong)'!$A$4:$F$75"}</definedName>
    <definedName name="dn" localSheetId="5" hidden="1">{"'TDTGT (theo Dphuong)'!$A$4:$F$75"}</definedName>
    <definedName name="dn" hidden="1">{"'TDTGT (theo Dphuong)'!$A$4:$F$75"}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ument_array" localSheetId="32">{"Thuxm2.xls","Sheet1"}</definedName>
    <definedName name="Document_array" localSheetId="49">{"Thuxm2.xls","Sheet1"}</definedName>
    <definedName name="Document_array" localSheetId="5">{"Thuxm2.xls","Sheet1"}</definedName>
    <definedName name="Document_array">{"Thuxm2.xls","Sheet1"}</definedName>
    <definedName name="DOOR1_H">#REF!</definedName>
    <definedName name="DOOR1_W">#REF!</definedName>
    <definedName name="DOOR2_H">#REF!</definedName>
    <definedName name="DOOR2_W">#REF!</definedName>
    <definedName name="DOOR3_H">#REF!</definedName>
    <definedName name="DOOR3_N">#REF!</definedName>
    <definedName name="DOOR3_W">#REF!</definedName>
    <definedName name="DSTD_Clear">#N/A</definedName>
    <definedName name="DSUMDATA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e.">#REF!</definedName>
    <definedName name="Ea">2100000</definedName>
    <definedName name="EARTH">#REF!</definedName>
    <definedName name="Eb">240000</definedName>
    <definedName name="En">240000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Q">#REF!</definedName>
    <definedName name="_xlnm.Extract">#REF!</definedName>
    <definedName name="f">#REF!</definedName>
    <definedName name="FAC">#REF!</definedName>
    <definedName name="FACTOR">#REF!</definedName>
    <definedName name="FDFDSFDSFDF">#REF!</definedName>
    <definedName name="fdk">#REF!</definedName>
    <definedName name="ffddg" localSheetId="10">#REF!</definedName>
    <definedName name="ffddg" localSheetId="11">#REF!</definedName>
    <definedName name="ffddg" localSheetId="12">#REF!</definedName>
    <definedName name="ffddg" localSheetId="15">#REF!</definedName>
    <definedName name="ffddg" localSheetId="17">#REF!</definedName>
    <definedName name="ffddg" localSheetId="18">#REF!</definedName>
    <definedName name="ffddg" localSheetId="19">#REF!</definedName>
    <definedName name="ffddg" localSheetId="20">#REF!</definedName>
    <definedName name="ffddg" localSheetId="31">#REF!</definedName>
    <definedName name="ffddg" localSheetId="32">#REF!</definedName>
    <definedName name="ffddg" localSheetId="34">#REF!</definedName>
    <definedName name="ffddg" localSheetId="36">#REF!</definedName>
    <definedName name="ffddg" localSheetId="37">#REF!</definedName>
    <definedName name="ffddg" localSheetId="38">#REF!</definedName>
    <definedName name="ffddg" localSheetId="3">#REF!</definedName>
    <definedName name="ffddg" localSheetId="40">#REF!</definedName>
    <definedName name="ffddg" localSheetId="42">#REF!</definedName>
    <definedName name="ffddg" localSheetId="43">#REF!</definedName>
    <definedName name="ffddg" localSheetId="44">#REF!</definedName>
    <definedName name="ffddg" localSheetId="49">#REF!</definedName>
    <definedName name="ffddg" localSheetId="5">#REF!</definedName>
    <definedName name="ffddg">#REF!</definedName>
    <definedName name="FINISH">#REF!</definedName>
    <definedName name="FP" localSheetId="10">'[1]COAT&amp;WRAP-QIOT-#3'!#REF!</definedName>
    <definedName name="FP" localSheetId="12">'[1]COAT&amp;WRAP-QIOT-#3'!#REF!</definedName>
    <definedName name="FP" localSheetId="15">'[3]COAT&amp;WRAP-QIOT-#3'!#REF!</definedName>
    <definedName name="FP" localSheetId="17">'[1]COAT&amp;WRAP-QIOT-#3'!#REF!</definedName>
    <definedName name="FP" localSheetId="18">'[1]COAT&amp;WRAP-QIOT-#3'!#REF!</definedName>
    <definedName name="FP" localSheetId="19">'[1]COAT&amp;WRAP-QIOT-#3'!#REF!</definedName>
    <definedName name="FP" localSheetId="20">'[1]COAT&amp;WRAP-QIOT-#3'!#REF!</definedName>
    <definedName name="FP" localSheetId="26">'[1]COAT&amp;WRAP-QIOT-#3'!#REF!</definedName>
    <definedName name="FP" localSheetId="32">'[1]COAT&amp;WRAP-QIOT-#3'!#REF!</definedName>
    <definedName name="FP" localSheetId="3">'[3]COAT&amp;WRAP-QIOT-#3'!#REF!</definedName>
    <definedName name="FP" localSheetId="40">'[2]COAT&amp;WRAP-QIOT-#3'!#REF!</definedName>
    <definedName name="FP" localSheetId="42">'[2]COAT&amp;WRAP-QIOT-#3'!#REF!</definedName>
    <definedName name="FP" localSheetId="44">'[2]COAT&amp;WRAP-QIOT-#3'!#REF!</definedName>
    <definedName name="FP" localSheetId="49">'[1]COAT&amp;WRAP-QIOT-#3'!#REF!</definedName>
    <definedName name="FP" localSheetId="5">'[2]COAT&amp;WRAP-QIOT-#3'!#REF!</definedName>
    <definedName name="FP">'[2]COAT&amp;WRAP-QIOT-#3'!#REF!</definedName>
    <definedName name="gcm">#REF!</definedName>
    <definedName name="gd" localSheetId="32" hidden="1">{"'TDTGT (theo Dphuong)'!$A$4:$F$75"}</definedName>
    <definedName name="gd" localSheetId="49" hidden="1">{"'TDTGT (theo Dphuong)'!$A$4:$F$75"}</definedName>
    <definedName name="gd" localSheetId="5" hidden="1">{"'TDTGT (theo Dphuong)'!$A$4:$F$75"}</definedName>
    <definedName name="gd" hidden="1">{"'TDTGT (theo Dphuong)'!$A$4:$F$75"}</definedName>
    <definedName name="ggg">#REF!</definedName>
    <definedName name="Ghi_chó">#REF!</definedName>
    <definedName name="gia_tien_BTN">#REF!</definedName>
    <definedName name="GIAVT">#REF!</definedName>
    <definedName name="GM">'[8]VT,NC,M'!$D$1:$E$65536</definedName>
    <definedName name="gnc">#REF!</definedName>
    <definedName name="Gthe">#REF!</definedName>
    <definedName name="gthep">1</definedName>
    <definedName name="GTNT1">#REF!</definedName>
    <definedName name="GTNT2">#REF!</definedName>
    <definedName name="gvt">#REF!</definedName>
    <definedName name="h" localSheetId="11" hidden="1">{"'TDTGT (theo Dphuong)'!$A$4:$F$75"}</definedName>
    <definedName name="h" localSheetId="15" hidden="1">{"'TDTGT (theo Dphuong)'!$A$4:$F$75"}</definedName>
    <definedName name="h" localSheetId="17" hidden="1">{"'TDTGT (theo Dphuong)'!$A$4:$F$75"}</definedName>
    <definedName name="h" localSheetId="20" hidden="1">{"'TDTGT (theo Dphuong)'!$A$4:$F$75"}</definedName>
    <definedName name="h" localSheetId="31" hidden="1">{"'TDTGT (theo Dphuong)'!$A$4:$F$75"}</definedName>
    <definedName name="h" localSheetId="32" hidden="1">{"'TDTGT (theo Dphuong)'!$A$4:$F$75"}</definedName>
    <definedName name="h" localSheetId="34" hidden="1">{"'TDTGT (theo Dphuong)'!$A$4:$F$75"}</definedName>
    <definedName name="h" localSheetId="35" hidden="1">{"'TDTGT (theo Dphuong)'!$A$4:$F$75"}</definedName>
    <definedName name="h" localSheetId="36" hidden="1">{"'TDTGT (theo Dphuong)'!$A$4:$F$75"}</definedName>
    <definedName name="h" localSheetId="37" hidden="1">{"'TDTGT (theo Dphuong)'!$A$4:$F$75"}</definedName>
    <definedName name="h" localSheetId="38" hidden="1">{"'TDTGT (theo Dphuong)'!$A$4:$F$75"}</definedName>
    <definedName name="h" localSheetId="3" hidden="1">{"'TDTGT (theo Dphuong)'!$A$4:$F$75"}</definedName>
    <definedName name="h" localSheetId="43" hidden="1">{"'TDTGT (theo Dphuong)'!$A$4:$F$75"}</definedName>
    <definedName name="h" localSheetId="44" hidden="1">{"'TDTGT (theo Dphuong)'!$A$4:$F$75"}</definedName>
    <definedName name="h" localSheetId="49" hidden="1">{"'TDTGT (theo Dphuong)'!$A$4:$F$75"}</definedName>
    <definedName name="h" localSheetId="5" hidden="1">{"'TDTGT (theo Dphuong)'!$A$4:$F$75"}</definedName>
    <definedName name="h" hidden="1">{"'TDTGT (theo Dphuong)'!$A$4:$F$75"}</definedName>
    <definedName name="hab" localSheetId="10">#REF!</definedName>
    <definedName name="hab" localSheetId="11">#REF!</definedName>
    <definedName name="hab" localSheetId="12">#REF!</definedName>
    <definedName name="hab" localSheetId="15">#REF!</definedName>
    <definedName name="hab" localSheetId="17">#REF!</definedName>
    <definedName name="hab" localSheetId="18">#REF!</definedName>
    <definedName name="hab" localSheetId="19">#REF!</definedName>
    <definedName name="hab" localSheetId="20">#REF!</definedName>
    <definedName name="hab" localSheetId="31">#REF!</definedName>
    <definedName name="hab" localSheetId="32">#REF!</definedName>
    <definedName name="hab" localSheetId="34">#REF!</definedName>
    <definedName name="hab" localSheetId="36">#REF!</definedName>
    <definedName name="hab" localSheetId="37">#REF!</definedName>
    <definedName name="hab" localSheetId="38">#REF!</definedName>
    <definedName name="hab" localSheetId="3">#REF!</definedName>
    <definedName name="hab" localSheetId="40">#REF!</definedName>
    <definedName name="hab" localSheetId="42">#REF!</definedName>
    <definedName name="hab" localSheetId="43">#REF!</definedName>
    <definedName name="hab" localSheetId="44">#REF!</definedName>
    <definedName name="hab" localSheetId="46">#REF!</definedName>
    <definedName name="hab" localSheetId="49">#REF!</definedName>
    <definedName name="hab" localSheetId="5">#REF!</definedName>
    <definedName name="hab">#REF!</definedName>
    <definedName name="habac" localSheetId="10">#REF!</definedName>
    <definedName name="habac" localSheetId="11">#REF!</definedName>
    <definedName name="habac" localSheetId="12">#REF!</definedName>
    <definedName name="habac" localSheetId="15">#REF!</definedName>
    <definedName name="habac" localSheetId="17">#REF!</definedName>
    <definedName name="habac" localSheetId="18">#REF!</definedName>
    <definedName name="habac" localSheetId="19">#REF!</definedName>
    <definedName name="habac" localSheetId="20">#REF!</definedName>
    <definedName name="habac" localSheetId="31">#REF!</definedName>
    <definedName name="habac" localSheetId="32">#REF!</definedName>
    <definedName name="habac" localSheetId="34">#REF!</definedName>
    <definedName name="habac" localSheetId="3">#REF!</definedName>
    <definedName name="habac" localSheetId="40">#REF!</definedName>
    <definedName name="habac" localSheetId="42">#REF!</definedName>
    <definedName name="habac" localSheetId="43">#REF!</definedName>
    <definedName name="habac" localSheetId="44">#REF!</definedName>
    <definedName name="habac" localSheetId="46">#REF!</definedName>
    <definedName name="habac" localSheetId="49">#REF!</definedName>
    <definedName name="habac" localSheetId="5">#REF!</definedName>
    <definedName name="habac">#REF!</definedName>
    <definedName name="Habac1">'[9]7 THAI NGUYEN'!$A$11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DGTT">#REF!</definedName>
    <definedName name="Heä_soá_laép_xaø_H">1.7</definedName>
    <definedName name="hhg" localSheetId="10">#REF!</definedName>
    <definedName name="hhg" localSheetId="11">#REF!</definedName>
    <definedName name="hhg" localSheetId="12">#REF!</definedName>
    <definedName name="hhg" localSheetId="15">#REF!</definedName>
    <definedName name="hhg" localSheetId="17">#REF!</definedName>
    <definedName name="hhg" localSheetId="18">#REF!</definedName>
    <definedName name="hhg" localSheetId="19">#REF!</definedName>
    <definedName name="hhg" localSheetId="20">#REF!</definedName>
    <definedName name="hhg" localSheetId="31">#REF!</definedName>
    <definedName name="hhg" localSheetId="32">#REF!</definedName>
    <definedName name="hhg" localSheetId="34">#REF!</definedName>
    <definedName name="hhg" localSheetId="36">#REF!</definedName>
    <definedName name="hhg" localSheetId="37">#REF!</definedName>
    <definedName name="hhg" localSheetId="38">#REF!</definedName>
    <definedName name="hhg" localSheetId="3">#REF!</definedName>
    <definedName name="hhg" localSheetId="40">#REF!</definedName>
    <definedName name="hhg" localSheetId="42">#REF!</definedName>
    <definedName name="hhg" localSheetId="43">#REF!</definedName>
    <definedName name="hhg" localSheetId="44">#REF!</definedName>
    <definedName name="hhg" localSheetId="46">#REF!</definedName>
    <definedName name="hhg" localSheetId="49">#REF!</definedName>
    <definedName name="hhg" localSheetId="5">#REF!</definedName>
    <definedName name="hhg">#REF!</definedName>
    <definedName name="HM">#REF!</definedName>
    <definedName name="Hmong">#REF!</definedName>
    <definedName name="hoa_luu">#REF!</definedName>
    <definedName name="HOME_MANP">#REF!</definedName>
    <definedName name="HOMEOFFICE_COST">#REF!</definedName>
    <definedName name="HOSO_TCTK_2005">#REF!</definedName>
    <definedName name="HS">#REF!</definedName>
    <definedName name="hs_HS">#REF!</definedName>
    <definedName name="HSCT3">0.1</definedName>
    <definedName name="HSDN">2.5</definedName>
    <definedName name="hsnv">#REF!</definedName>
    <definedName name="ht" localSheetId="32" hidden="1">{"'TDTGT (theo Dphuong)'!$A$4:$F$75"}</definedName>
    <definedName name="ht" localSheetId="49" hidden="1">{"'TDTGT (theo Dphuong)'!$A$4:$F$75"}</definedName>
    <definedName name="ht" localSheetId="5" hidden="1">{"'TDTGT (theo Dphuong)'!$A$4:$F$75"}</definedName>
    <definedName name="ht" hidden="1">{"'TDTGT (theo Dphuong)'!$A$4:$F$75"}</definedName>
    <definedName name="HTML" localSheetId="32" hidden="1">{"'TDTGT (theo Dphuong)'!$A$4:$F$75"}</definedName>
    <definedName name="HTML" localSheetId="49" hidden="1">{"'TDTGT (theo Dphuong)'!$A$4:$F$75"}</definedName>
    <definedName name="HTML" localSheetId="5" hidden="1">{"'TDTGT (theo Dphuong)'!$A$4:$F$75"}</definedName>
    <definedName name="HTML" hidden="1">{"'TDTGT (theo Dphuong)'!$A$4:$F$75"}</definedName>
    <definedName name="HTML_CodePage" hidden="1">1252</definedName>
    <definedName name="HTML_Control" localSheetId="11" hidden="1">{"'TDTGT (theo Dphuong)'!$A$4:$F$75"}</definedName>
    <definedName name="HTML_Control" localSheetId="15" hidden="1">{"'TDTGT (theo Dphuong)'!$A$4:$F$75"}</definedName>
    <definedName name="HTML_Control" localSheetId="17" hidden="1">{"'TDTGT (theo Dphuong)'!$A$4:$F$75"}</definedName>
    <definedName name="HTML_Control" localSheetId="20" hidden="1">{"'TDTGT (theo Dphuong)'!$A$4:$F$75"}</definedName>
    <definedName name="HTML_Control" localSheetId="2" hidden="1">{"'TDTGT (theo Dphuong)'!$A$4:$F$75"}</definedName>
    <definedName name="HTML_Control" localSheetId="31" hidden="1">{"'TDTGT (theo Dphuong)'!$A$4:$F$75"}</definedName>
    <definedName name="HTML_Control" localSheetId="32" hidden="1">{"'TDTGT (theo Dphuong)'!$A$4:$F$75"}</definedName>
    <definedName name="HTML_Control" localSheetId="34" hidden="1">{"'TDTGT (theo Dphuong)'!$A$4:$F$75"}</definedName>
    <definedName name="HTML_Control" localSheetId="35" hidden="1">{"'TDTGT (theo Dphuong)'!$A$4:$F$75"}</definedName>
    <definedName name="HTML_Control" localSheetId="36" hidden="1">{"'TDTGT (theo Dphuong)'!$A$4:$F$75"}</definedName>
    <definedName name="HTML_Control" localSheetId="37" hidden="1">{"'TDTGT (theo Dphuong)'!$A$4:$F$75"}</definedName>
    <definedName name="HTML_Control" localSheetId="38" hidden="1">{"'TDTGT (theo Dphuong)'!$A$4:$F$75"}</definedName>
    <definedName name="HTML_Control" localSheetId="3" hidden="1">{"'TDTGT (theo Dphuong)'!$A$4:$F$75"}</definedName>
    <definedName name="HTML_Control" localSheetId="43" hidden="1">{"'TDTGT (theo Dphuong)'!$A$4:$F$75"}</definedName>
    <definedName name="HTML_Control" localSheetId="44" hidden="1">{"'TDTGT (theo Dphuong)'!$A$4:$F$75"}</definedName>
    <definedName name="HTML_Control" localSheetId="46" hidden="1">{"'TDTGT (theo Dphuong)'!$A$4:$F$75"}</definedName>
    <definedName name="HTML_Control" localSheetId="49" hidden="1">{"'TDTGT (theo Dphuong)'!$A$4:$F$75"}</definedName>
    <definedName name="HTML_Control" localSheetId="5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httk">#REF!</definedName>
    <definedName name="huy" localSheetId="32" hidden="1">{"'Sheet1'!$L$16"}</definedName>
    <definedName name="huy" localSheetId="49" hidden="1">{"'Sheet1'!$L$16"}</definedName>
    <definedName name="huy" localSheetId="5" hidden="1">{"'Sheet1'!$L$16"}</definedName>
    <definedName name="huy" hidden="1">{"'Sheet1'!$L$16"}</definedName>
    <definedName name="HVLDP">#REF!</definedName>
    <definedName name="i" localSheetId="11" hidden="1">{#N/A,#N/A,FALSE,"Chung"}</definedName>
    <definedName name="i" localSheetId="15" hidden="1">{#N/A,#N/A,FALSE,"Chung"}</definedName>
    <definedName name="i" localSheetId="17" hidden="1">{#N/A,#N/A,FALSE,"Chung"}</definedName>
    <definedName name="i" localSheetId="20" hidden="1">{#N/A,#N/A,FALSE,"Chung"}</definedName>
    <definedName name="i" localSheetId="31" hidden="1">{#N/A,#N/A,FALSE,"Chung"}</definedName>
    <definedName name="i" localSheetId="32" hidden="1">{#N/A,#N/A,FALSE,"Chung"}</definedName>
    <definedName name="i" localSheetId="34" hidden="1">{#N/A,#N/A,FALSE,"Chung"}</definedName>
    <definedName name="i" localSheetId="35" hidden="1">{#N/A,#N/A,FALSE,"Chung"}</definedName>
    <definedName name="i" localSheetId="36" hidden="1">{#N/A,#N/A,FALSE,"Chung"}</definedName>
    <definedName name="i" localSheetId="37" hidden="1">{#N/A,#N/A,FALSE,"Chung"}</definedName>
    <definedName name="i" localSheetId="38" hidden="1">{#N/A,#N/A,FALSE,"Chung"}</definedName>
    <definedName name="i" localSheetId="3" hidden="1">{#N/A,#N/A,FALSE,"Chung"}</definedName>
    <definedName name="i" localSheetId="43" hidden="1">{#N/A,#N/A,FALSE,"Chung"}</definedName>
    <definedName name="i" localSheetId="44" hidden="1">{#N/A,#N/A,FALSE,"Chung"}</definedName>
    <definedName name="i" localSheetId="49" hidden="1">{#N/A,#N/A,FALSE,"Chung"}</definedName>
    <definedName name="i" localSheetId="5" hidden="1">{#N/A,#N/A,FALSE,"Chung"}</definedName>
    <definedName name="i" hidden="1">{#N/A,#N/A,FALSE,"Chung"}</definedName>
    <definedName name="IDLAB_COST">#REF!</definedName>
    <definedName name="IN_SITU">#REF!</definedName>
    <definedName name="IND_LAB">#REF!</definedName>
    <definedName name="INDMANP">#REF!</definedName>
    <definedName name="IO" localSheetId="10">'[1]COAT&amp;WRAP-QIOT-#3'!#REF!</definedName>
    <definedName name="IO" localSheetId="12">'[1]COAT&amp;WRAP-QIOT-#3'!#REF!</definedName>
    <definedName name="IO" localSheetId="15">'[3]COAT&amp;WRAP-QIOT-#3'!#REF!</definedName>
    <definedName name="IO" localSheetId="17">'[1]COAT&amp;WRAP-QIOT-#3'!#REF!</definedName>
    <definedName name="IO" localSheetId="18">'[1]COAT&amp;WRAP-QIOT-#3'!#REF!</definedName>
    <definedName name="IO" localSheetId="19">'[1]COAT&amp;WRAP-QIOT-#3'!#REF!</definedName>
    <definedName name="IO" localSheetId="20">'[1]COAT&amp;WRAP-QIOT-#3'!#REF!</definedName>
    <definedName name="IO" localSheetId="26">'[1]COAT&amp;WRAP-QIOT-#3'!#REF!</definedName>
    <definedName name="IO" localSheetId="32">'[1]COAT&amp;WRAP-QIOT-#3'!#REF!</definedName>
    <definedName name="IO" localSheetId="3">'[3]COAT&amp;WRAP-QIOT-#3'!#REF!</definedName>
    <definedName name="IO" localSheetId="40">'[2]COAT&amp;WRAP-QIOT-#3'!#REF!</definedName>
    <definedName name="IO" localSheetId="42">'[2]COAT&amp;WRAP-QIOT-#3'!#REF!</definedName>
    <definedName name="IO" localSheetId="44">'[2]COAT&amp;WRAP-QIOT-#3'!#REF!</definedName>
    <definedName name="IO" localSheetId="49">'[1]COAT&amp;WRAP-QIOT-#3'!#REF!</definedName>
    <definedName name="IO" localSheetId="5">'[2]COAT&amp;WRAP-QIOT-#3'!#REF!</definedName>
    <definedName name="IO">'[2]COAT&amp;WRAP-QIOT-#3'!#REF!</definedName>
    <definedName name="jflksdjlsfk">#REF!</definedName>
    <definedName name="K">#REF!</definedName>
    <definedName name="khee">#REF!</definedName>
    <definedName name="kiem">#REF!</definedName>
    <definedName name="kjh" localSheetId="11" hidden="1">{#N/A,#N/A,FALSE,"Chung"}</definedName>
    <definedName name="kjh" localSheetId="15" hidden="1">{#N/A,#N/A,FALSE,"Chung"}</definedName>
    <definedName name="kjh" localSheetId="17" hidden="1">{#N/A,#N/A,FALSE,"Chung"}</definedName>
    <definedName name="kjh" localSheetId="20" hidden="1">{#N/A,#N/A,FALSE,"Chung"}</definedName>
    <definedName name="kjh" localSheetId="31" hidden="1">{#N/A,#N/A,FALSE,"Chung"}</definedName>
    <definedName name="kjh" localSheetId="32" hidden="1">{#N/A,#N/A,FALSE,"Chung"}</definedName>
    <definedName name="kjh" localSheetId="34" hidden="1">{#N/A,#N/A,FALSE,"Chung"}</definedName>
    <definedName name="kjh" localSheetId="35" hidden="1">{#N/A,#N/A,FALSE,"Chung"}</definedName>
    <definedName name="kjh" localSheetId="36" hidden="1">{#N/A,#N/A,FALSE,"Chung"}</definedName>
    <definedName name="kjh" localSheetId="37" hidden="1">{#N/A,#N/A,FALSE,"Chung"}</definedName>
    <definedName name="kjh" localSheetId="38" hidden="1">{#N/A,#N/A,FALSE,"Chung"}</definedName>
    <definedName name="kjh" localSheetId="3" hidden="1">{#N/A,#N/A,FALSE,"Chung"}</definedName>
    <definedName name="kjh" localSheetId="43" hidden="1">{#N/A,#N/A,FALSE,"Chung"}</definedName>
    <definedName name="kjh" localSheetId="44" hidden="1">{#N/A,#N/A,FALSE,"Chung"}</definedName>
    <definedName name="kjh" localSheetId="49" hidden="1">{#N/A,#N/A,FALSE,"Chung"}</definedName>
    <definedName name="kjh" localSheetId="5" hidden="1">{#N/A,#N/A,FALSE,"Chung"}</definedName>
    <definedName name="kjh" hidden="1">{#N/A,#N/A,FALSE,"Chung"}</definedName>
    <definedName name="kjhjfhdjkfndfndf" localSheetId="10">#REF!</definedName>
    <definedName name="kjhjfhdjkfndfndf" localSheetId="11">#REF!</definedName>
    <definedName name="kjhjfhdjkfndfndf" localSheetId="12">#REF!</definedName>
    <definedName name="kjhjfhdjkfndfndf" localSheetId="15">#REF!</definedName>
    <definedName name="kjhjfhdjkfndfndf" localSheetId="17">#REF!</definedName>
    <definedName name="kjhjfhdjkfndfndf" localSheetId="18">#REF!</definedName>
    <definedName name="kjhjfhdjkfndfndf" localSheetId="19">#REF!</definedName>
    <definedName name="kjhjfhdjkfndfndf" localSheetId="20">#REF!</definedName>
    <definedName name="kjhjfhdjkfndfndf" localSheetId="31">#REF!</definedName>
    <definedName name="kjhjfhdjkfndfndf" localSheetId="32">#REF!</definedName>
    <definedName name="kjhjfhdjkfndfndf" localSheetId="34">#REF!</definedName>
    <definedName name="kjhjfhdjkfndfndf" localSheetId="36">#REF!</definedName>
    <definedName name="kjhjfhdjkfndfndf" localSheetId="37">#REF!</definedName>
    <definedName name="kjhjfhdjkfndfndf" localSheetId="38">#REF!</definedName>
    <definedName name="kjhjfhdjkfndfndf" localSheetId="3">#REF!</definedName>
    <definedName name="kjhjfhdjkfndfndf" localSheetId="40">#REF!</definedName>
    <definedName name="kjhjfhdjkfndfndf" localSheetId="42">#REF!</definedName>
    <definedName name="kjhjfhdjkfndfndf" localSheetId="43">#REF!</definedName>
    <definedName name="kjhjfhdjkfndfndf" localSheetId="44">#REF!</definedName>
    <definedName name="kjhjfhdjkfndfndf" localSheetId="46">#REF!</definedName>
    <definedName name="kjhjfhdjkfndfndf" localSheetId="49">#REF!</definedName>
    <definedName name="kjhjfhdjkfndfndf" localSheetId="5">#REF!</definedName>
    <definedName name="kjhjfhdjkfndfndf">#REF!</definedName>
    <definedName name="KLVL">#REF!</definedName>
    <definedName name="KLVL1">#REF!</definedName>
    <definedName name="KLVLV">#REF!</definedName>
    <definedName name="KVC">#REF!</definedName>
    <definedName name="l" localSheetId="15" hidden="1">{"'TDTGT (theo Dphuong)'!$A$4:$F$75"}</definedName>
    <definedName name="L">#REF!</definedName>
    <definedName name="lanhto">#REF!</definedName>
    <definedName name="LM">#REF!</definedName>
    <definedName name="LUI">#REF!</definedName>
    <definedName name="lVC">#REF!</definedName>
    <definedName name="m" localSheetId="11" hidden="1">{"'TDTGT (theo Dphuong)'!$A$4:$F$75"}</definedName>
    <definedName name="m" localSheetId="15" hidden="1">{"'TDTGT (theo Dphuong)'!$A$4:$F$75"}</definedName>
    <definedName name="m" localSheetId="17" hidden="1">{"'TDTGT (theo Dphuong)'!$A$4:$F$75"}</definedName>
    <definedName name="m" localSheetId="20" hidden="1">{"'TDTGT (theo Dphuong)'!$A$4:$F$75"}</definedName>
    <definedName name="m" localSheetId="31" hidden="1">{"'TDTGT (theo Dphuong)'!$A$4:$F$75"}</definedName>
    <definedName name="m" localSheetId="32" hidden="1">{"'TDTGT (theo Dphuong)'!$A$4:$F$75"}</definedName>
    <definedName name="m" localSheetId="34" hidden="1">{"'TDTGT (theo Dphuong)'!$A$4:$F$75"}</definedName>
    <definedName name="m" localSheetId="35" hidden="1">{"'TDTGT (theo Dphuong)'!$A$4:$F$75"}</definedName>
    <definedName name="m" localSheetId="36" hidden="1">{"'TDTGT (theo Dphuong)'!$A$4:$F$75"}</definedName>
    <definedName name="m" localSheetId="37" hidden="1">{"'TDTGT (theo Dphuong)'!$A$4:$F$75"}</definedName>
    <definedName name="m" localSheetId="38" hidden="1">{"'TDTGT (theo Dphuong)'!$A$4:$F$75"}</definedName>
    <definedName name="m" localSheetId="3" hidden="1">{"'TDTGT (theo Dphuong)'!$A$4:$F$75"}</definedName>
    <definedName name="m" localSheetId="43" hidden="1">{"'TDTGT (theo Dphuong)'!$A$4:$F$75"}</definedName>
    <definedName name="m" localSheetId="44" hidden="1">{"'TDTGT (theo Dphuong)'!$A$4:$F$75"}</definedName>
    <definedName name="m" localSheetId="49" hidden="1">{"'TDTGT (theo Dphuong)'!$A$4:$F$75"}</definedName>
    <definedName name="m" localSheetId="5" hidden="1">{"'TDTGT (theo Dphuong)'!$A$4:$F$75"}</definedName>
    <definedName name="m" hidden="1">{"'TDTGT (theo Dphuong)'!$A$4:$F$75"}</definedName>
    <definedName name="Macro2">#REF!</definedName>
    <definedName name="MAHANGXK">#REF!</definedName>
    <definedName name="MAJ_CON_EQP">#REF!</definedName>
    <definedName name="MAT" localSheetId="10">'[1]COAT&amp;WRAP-QIOT-#3'!#REF!</definedName>
    <definedName name="MAT" localSheetId="12">'[1]COAT&amp;WRAP-QIOT-#3'!#REF!</definedName>
    <definedName name="MAT" localSheetId="15">'[3]COAT&amp;WRAP-QIOT-#3'!#REF!</definedName>
    <definedName name="MAT" localSheetId="17">'[1]COAT&amp;WRAP-QIOT-#3'!#REF!</definedName>
    <definedName name="MAT" localSheetId="18">'[1]COAT&amp;WRAP-QIOT-#3'!#REF!</definedName>
    <definedName name="MAT" localSheetId="19">'[1]COAT&amp;WRAP-QIOT-#3'!#REF!</definedName>
    <definedName name="MAT" localSheetId="20">'[1]COAT&amp;WRAP-QIOT-#3'!#REF!</definedName>
    <definedName name="MAT" localSheetId="26">'[1]COAT&amp;WRAP-QIOT-#3'!#REF!</definedName>
    <definedName name="MAT" localSheetId="32">'[1]COAT&amp;WRAP-QIOT-#3'!#REF!</definedName>
    <definedName name="MAT" localSheetId="3">'[3]COAT&amp;WRAP-QIOT-#3'!#REF!</definedName>
    <definedName name="MAT" localSheetId="40">'[2]COAT&amp;WRAP-QIOT-#3'!#REF!</definedName>
    <definedName name="MAT" localSheetId="42">'[2]COAT&amp;WRAP-QIOT-#3'!#REF!</definedName>
    <definedName name="MAT" localSheetId="44">'[2]COAT&amp;WRAP-QIOT-#3'!#REF!</definedName>
    <definedName name="MAT" localSheetId="49">'[1]COAT&amp;WRAP-QIOT-#3'!#REF!</definedName>
    <definedName name="MAT" localSheetId="5">'[2]COAT&amp;WRAP-QIOT-#3'!#REF!</definedName>
    <definedName name="MAT">'[2]COAT&amp;WRAP-QIOT-#3'!#REF!</definedName>
    <definedName name="MAVL">#REF!</definedName>
    <definedName name="MAVLV">#REF!</definedName>
    <definedName name="MAVT">#REF!</definedName>
    <definedName name="mc" localSheetId="10">#REF!</definedName>
    <definedName name="mc" localSheetId="11">#REF!</definedName>
    <definedName name="mc" localSheetId="12">#REF!</definedName>
    <definedName name="mc" localSheetId="15">#REF!</definedName>
    <definedName name="mc" localSheetId="17">#REF!</definedName>
    <definedName name="mc" localSheetId="18">#REF!</definedName>
    <definedName name="mc" localSheetId="19">#REF!</definedName>
    <definedName name="mc" localSheetId="20">#REF!</definedName>
    <definedName name="mc" localSheetId="31">#REF!</definedName>
    <definedName name="mc" localSheetId="32">#REF!</definedName>
    <definedName name="mc" localSheetId="34">#REF!</definedName>
    <definedName name="mc" localSheetId="36">#REF!</definedName>
    <definedName name="mc" localSheetId="37">#REF!</definedName>
    <definedName name="mc" localSheetId="38">#REF!</definedName>
    <definedName name="mc" localSheetId="3">#REF!</definedName>
    <definedName name="mc" localSheetId="40">#REF!</definedName>
    <definedName name="mc" localSheetId="42">#REF!</definedName>
    <definedName name="mc" localSheetId="43">#REF!</definedName>
    <definedName name="mc" localSheetId="44">#REF!</definedName>
    <definedName name="mc" localSheetId="46">#REF!</definedName>
    <definedName name="mc" localSheetId="49">#REF!</definedName>
    <definedName name="mc" localSheetId="5">#REF!</definedName>
    <definedName name="mc">#REF!</definedName>
    <definedName name="MF" localSheetId="10">'[1]COAT&amp;WRAP-QIOT-#3'!#REF!</definedName>
    <definedName name="MF" localSheetId="12">'[1]COAT&amp;WRAP-QIOT-#3'!#REF!</definedName>
    <definedName name="MF" localSheetId="15">'[3]COAT&amp;WRAP-QIOT-#3'!#REF!</definedName>
    <definedName name="MF" localSheetId="17">'[1]COAT&amp;WRAP-QIOT-#3'!#REF!</definedName>
    <definedName name="MF" localSheetId="18">'[1]COAT&amp;WRAP-QIOT-#3'!#REF!</definedName>
    <definedName name="MF" localSheetId="19">'[1]COAT&amp;WRAP-QIOT-#3'!#REF!</definedName>
    <definedName name="MF" localSheetId="20">'[1]COAT&amp;WRAP-QIOT-#3'!#REF!</definedName>
    <definedName name="MF" localSheetId="26">'[1]COAT&amp;WRAP-QIOT-#3'!#REF!</definedName>
    <definedName name="MF" localSheetId="32">'[1]COAT&amp;WRAP-QIOT-#3'!#REF!</definedName>
    <definedName name="MF" localSheetId="3">'[3]COAT&amp;WRAP-QIOT-#3'!#REF!</definedName>
    <definedName name="MF" localSheetId="40">'[2]COAT&amp;WRAP-QIOT-#3'!#REF!</definedName>
    <definedName name="MF" localSheetId="42">'[2]COAT&amp;WRAP-QIOT-#3'!#REF!</definedName>
    <definedName name="MF" localSheetId="44">'[2]COAT&amp;WRAP-QIOT-#3'!#REF!</definedName>
    <definedName name="MF" localSheetId="49">'[1]COAT&amp;WRAP-QIOT-#3'!#REF!</definedName>
    <definedName name="MF" localSheetId="5">'[2]COAT&amp;WRAP-QIOT-#3'!#REF!</definedName>
    <definedName name="MF">'[2]COAT&amp;WRAP-QIOT-#3'!#REF!</definedName>
    <definedName name="MG_A">#REF!</definedName>
    <definedName name="mhh">#REF!</definedName>
    <definedName name="mnh" localSheetId="10">'[10]2.74'!#REF!</definedName>
    <definedName name="mnh" localSheetId="12">'[10]2.74'!#REF!</definedName>
    <definedName name="mnh" localSheetId="15">'[11]2.74'!#REF!</definedName>
    <definedName name="mnh" localSheetId="17">'[12]2.74'!#REF!</definedName>
    <definedName name="mnh" localSheetId="18">'[12]2.74'!#REF!</definedName>
    <definedName name="mnh" localSheetId="19">'[12]2.74'!#REF!</definedName>
    <definedName name="mnh" localSheetId="20">'[12]2.74'!#REF!</definedName>
    <definedName name="mnh" localSheetId="26">'[13]2.74'!#REF!</definedName>
    <definedName name="mnh" localSheetId="32">'[13]2.74'!#REF!</definedName>
    <definedName name="mnh" localSheetId="3">'[13]2.74'!#REF!</definedName>
    <definedName name="mnh" localSheetId="40">'[13]2.74'!#REF!</definedName>
    <definedName name="mnh" localSheetId="42">'[13]2.74'!#REF!</definedName>
    <definedName name="mnh" localSheetId="44">'[13]2.74'!#REF!</definedName>
    <definedName name="mnh" localSheetId="49">'[13]2.74'!#REF!</definedName>
    <definedName name="mnh" localSheetId="5">'[12]2.74'!#REF!</definedName>
    <definedName name="mnh">'[12]2.74'!#REF!</definedName>
    <definedName name="Mong">#REF!</definedName>
    <definedName name="mongbang">#REF!</definedName>
    <definedName name="mongdon">#REF!</definedName>
    <definedName name="MRday">#REF!</definedName>
    <definedName name="mvt">#REF!</definedName>
    <definedName name="n" localSheetId="10">'[10]2.74'!#REF!</definedName>
    <definedName name="n" localSheetId="12">'[10]2.74'!#REF!</definedName>
    <definedName name="n" localSheetId="15">'[11]2.74'!#REF!</definedName>
    <definedName name="n" localSheetId="18">'[12]2.74'!#REF!</definedName>
    <definedName name="n" localSheetId="19">'[12]2.74'!#REF!</definedName>
    <definedName name="n" localSheetId="20">'[12]2.74'!#REF!</definedName>
    <definedName name="n" localSheetId="26">'[13]2.74'!#REF!</definedName>
    <definedName name="n" localSheetId="32">'[13]2.74'!#REF!</definedName>
    <definedName name="n" localSheetId="3">'[13]2.74'!#REF!</definedName>
    <definedName name="n" localSheetId="40">'[13]2.74'!#REF!</definedName>
    <definedName name="n" localSheetId="42">'[13]2.74'!#REF!</definedName>
    <definedName name="n" localSheetId="44">'[13]2.74'!#REF!</definedName>
    <definedName name="n" localSheetId="49">'[13]2.74'!#REF!</definedName>
    <definedName name="n" localSheetId="5">'[12]2.74'!#REF!</definedName>
    <definedName name="n">'[12]2.74'!#REF!</definedName>
    <definedName name="Năm">[14]Năm!$H$2:$H$27</definedName>
    <definedName name="nc">#REF!</definedName>
    <definedName name="NCcap0.7">#REF!</definedName>
    <definedName name="NCcap1">#REF!</definedName>
    <definedName name="nct_DL">#REF!</definedName>
    <definedName name="nctleft_DL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han" localSheetId="10">#REF!</definedName>
    <definedName name="nhan" localSheetId="11">#REF!</definedName>
    <definedName name="nhan" localSheetId="12">#REF!</definedName>
    <definedName name="nhan" localSheetId="15">#REF!</definedName>
    <definedName name="nhan" localSheetId="17">#REF!</definedName>
    <definedName name="nhan" localSheetId="18">#REF!</definedName>
    <definedName name="nhan" localSheetId="19">#REF!</definedName>
    <definedName name="nhan" localSheetId="20">#REF!</definedName>
    <definedName name="nhan" localSheetId="31">#REF!</definedName>
    <definedName name="nhan" localSheetId="32">#REF!</definedName>
    <definedName name="nhan" localSheetId="34">#REF!</definedName>
    <definedName name="nhan" localSheetId="36">#REF!</definedName>
    <definedName name="nhan" localSheetId="37">#REF!</definedName>
    <definedName name="nhan" localSheetId="3">#REF!</definedName>
    <definedName name="nhan" localSheetId="40">#REF!</definedName>
    <definedName name="nhan" localSheetId="42">#REF!</definedName>
    <definedName name="nhan" localSheetId="43">#REF!</definedName>
    <definedName name="nhan" localSheetId="44">#REF!</definedName>
    <definedName name="nhan" localSheetId="46">#REF!</definedName>
    <definedName name="nhan" localSheetId="49">#REF!</definedName>
    <definedName name="nhan" localSheetId="5">#REF!</definedName>
    <definedName name="nhan">#REF!</definedName>
    <definedName name="Nhan_xet_cua_dai">"Picture 1"</definedName>
    <definedName name="No">#REF!</definedName>
    <definedName name="No_dau_ky">#REF!</definedName>
    <definedName name="nuoc" localSheetId="10">#REF!</definedName>
    <definedName name="nuoc" localSheetId="11">#REF!</definedName>
    <definedName name="nuoc" localSheetId="12">#REF!</definedName>
    <definedName name="nuoc" localSheetId="15">#REF!</definedName>
    <definedName name="nuoc" localSheetId="17">#REF!</definedName>
    <definedName name="nuoc" localSheetId="18">#REF!</definedName>
    <definedName name="nuoc" localSheetId="19">#REF!</definedName>
    <definedName name="nuoc" localSheetId="20">#REF!</definedName>
    <definedName name="nuoc" localSheetId="31">#REF!</definedName>
    <definedName name="nuoc" localSheetId="32">#REF!</definedName>
    <definedName name="nuoc" localSheetId="34">#REF!</definedName>
    <definedName name="nuoc" localSheetId="36">#REF!</definedName>
    <definedName name="nuoc" localSheetId="37">#REF!</definedName>
    <definedName name="nuoc" localSheetId="38">#REF!</definedName>
    <definedName name="nuoc" localSheetId="3">#REF!</definedName>
    <definedName name="nuoc" localSheetId="40">#REF!</definedName>
    <definedName name="nuoc" localSheetId="42">#REF!</definedName>
    <definedName name="nuoc" localSheetId="43">#REF!</definedName>
    <definedName name="nuoc" localSheetId="44">#REF!</definedName>
    <definedName name="nuoc" localSheetId="49">#REF!</definedName>
    <definedName name="nuoc" localSheetId="5">#REF!</definedName>
    <definedName name="nuoc">#REF!</definedName>
    <definedName name="oanh" localSheetId="11" hidden="1">{#N/A,#N/A,FALSE,"Chung"}</definedName>
    <definedName name="oanh" localSheetId="15" hidden="1">{#N/A,#N/A,FALSE,"Chung"}</definedName>
    <definedName name="oanh" localSheetId="17" hidden="1">{#N/A,#N/A,FALSE,"Chung"}</definedName>
    <definedName name="oanh" localSheetId="20" hidden="1">{#N/A,#N/A,FALSE,"Chung"}</definedName>
    <definedName name="oanh" localSheetId="31" hidden="1">{#N/A,#N/A,FALSE,"Chung"}</definedName>
    <definedName name="oanh" localSheetId="32" hidden="1">{#N/A,#N/A,FALSE,"Chung"}</definedName>
    <definedName name="oanh" localSheetId="34" hidden="1">{#N/A,#N/A,FALSE,"Chung"}</definedName>
    <definedName name="oanh" localSheetId="35" hidden="1">{#N/A,#N/A,FALSE,"Chung"}</definedName>
    <definedName name="oanh" localSheetId="36" hidden="1">{#N/A,#N/A,FALSE,"Chung"}</definedName>
    <definedName name="oanh" localSheetId="37" hidden="1">{#N/A,#N/A,FALSE,"Chung"}</definedName>
    <definedName name="oanh" localSheetId="38" hidden="1">{#N/A,#N/A,FALSE,"Chung"}</definedName>
    <definedName name="oanh" localSheetId="3" hidden="1">{#N/A,#N/A,FALSE,"Chung"}</definedName>
    <definedName name="oanh" localSheetId="43" hidden="1">{#N/A,#N/A,FALSE,"Chung"}</definedName>
    <definedName name="oanh" localSheetId="44" hidden="1">{#N/A,#N/A,FALSE,"Chung"}</definedName>
    <definedName name="oanh" localSheetId="46" hidden="1">{#N/A,#N/A,FALSE,"Chung"}</definedName>
    <definedName name="oanh" localSheetId="49" hidden="1">{#N/A,#N/A,FALSE,"Chung"}</definedName>
    <definedName name="oanh" localSheetId="5" hidden="1">{#N/A,#N/A,FALSE,"Chung"}</definedName>
    <definedName name="oanh" hidden="1">{#N/A,#N/A,FALSE,"Chung"}</definedName>
    <definedName name="OFF">#REF!</definedName>
    <definedName name="ổi">#REF!</definedName>
    <definedName name="P" localSheetId="10">'[1]PNT-QUOT-#3'!#REF!</definedName>
    <definedName name="P" localSheetId="12">'[1]PNT-QUOT-#3'!#REF!</definedName>
    <definedName name="P" localSheetId="15">'[3]PNT-QUOT-#3'!#REF!</definedName>
    <definedName name="P" localSheetId="17">'[1]PNT-QUOT-#3'!#REF!</definedName>
    <definedName name="P" localSheetId="18">'[1]PNT-QUOT-#3'!#REF!</definedName>
    <definedName name="P" localSheetId="19">'[1]PNT-QUOT-#3'!#REF!</definedName>
    <definedName name="P" localSheetId="20">'[1]PNT-QUOT-#3'!#REF!</definedName>
    <definedName name="P" localSheetId="26">'[1]PNT-QUOT-#3'!#REF!</definedName>
    <definedName name="P" localSheetId="32">'[1]PNT-QUOT-#3'!#REF!</definedName>
    <definedName name="P" localSheetId="3">'[3]PNT-QUOT-#3'!#REF!</definedName>
    <definedName name="P" localSheetId="40">'[2]PNT-QUOT-#3'!#REF!</definedName>
    <definedName name="P" localSheetId="42">'[2]PNT-QUOT-#3'!#REF!</definedName>
    <definedName name="P" localSheetId="44">'[2]PNT-QUOT-#3'!#REF!</definedName>
    <definedName name="P" localSheetId="49">'[1]PNT-QUOT-#3'!#REF!</definedName>
    <definedName name="P" localSheetId="5">'[2]PNT-QUOT-#3'!#REF!</definedName>
    <definedName name="P">'[2]PNT-QUOT-#3'!#REF!</definedName>
    <definedName name="PA">#REF!</definedName>
    <definedName name="panen">#REF!</definedName>
    <definedName name="PAYMENT">#REF!</definedName>
    <definedName name="PEJM" localSheetId="10">'[1]COAT&amp;WRAP-QIOT-#3'!#REF!</definedName>
    <definedName name="PEJM" localSheetId="12">'[1]COAT&amp;WRAP-QIOT-#3'!#REF!</definedName>
    <definedName name="PEJM" localSheetId="15">'[3]COAT&amp;WRAP-QIOT-#3'!#REF!</definedName>
    <definedName name="PEJM" localSheetId="17">'[1]COAT&amp;WRAP-QIOT-#3'!#REF!</definedName>
    <definedName name="PEJM" localSheetId="18">'[1]COAT&amp;WRAP-QIOT-#3'!#REF!</definedName>
    <definedName name="PEJM" localSheetId="19">'[1]COAT&amp;WRAP-QIOT-#3'!#REF!</definedName>
    <definedName name="PEJM" localSheetId="20">'[1]COAT&amp;WRAP-QIOT-#3'!#REF!</definedName>
    <definedName name="PEJM" localSheetId="26">'[1]COAT&amp;WRAP-QIOT-#3'!#REF!</definedName>
    <definedName name="PEJM" localSheetId="32">'[1]COAT&amp;WRAP-QIOT-#3'!#REF!</definedName>
    <definedName name="PEJM" localSheetId="3">'[3]COAT&amp;WRAP-QIOT-#3'!#REF!</definedName>
    <definedName name="PEJM" localSheetId="40">'[2]COAT&amp;WRAP-QIOT-#3'!#REF!</definedName>
    <definedName name="PEJM" localSheetId="42">'[2]COAT&amp;WRAP-QIOT-#3'!#REF!</definedName>
    <definedName name="PEJM" localSheetId="44">'[2]COAT&amp;WRAP-QIOT-#3'!#REF!</definedName>
    <definedName name="PEJM" localSheetId="49">'[1]COAT&amp;WRAP-QIOT-#3'!#REF!</definedName>
    <definedName name="PEJM" localSheetId="5">'[2]COAT&amp;WRAP-QIOT-#3'!#REF!</definedName>
    <definedName name="PEJM">'[2]COAT&amp;WRAP-QIOT-#3'!#REF!</definedName>
    <definedName name="PF" localSheetId="10">'[1]PNT-QUOT-#3'!#REF!</definedName>
    <definedName name="PF" localSheetId="12">'[1]PNT-QUOT-#3'!#REF!</definedName>
    <definedName name="PF" localSheetId="15">'[3]PNT-QUOT-#3'!#REF!</definedName>
    <definedName name="PF" localSheetId="17">'[1]PNT-QUOT-#3'!#REF!</definedName>
    <definedName name="PF" localSheetId="18">'[1]PNT-QUOT-#3'!#REF!</definedName>
    <definedName name="PF" localSheetId="19">'[1]PNT-QUOT-#3'!#REF!</definedName>
    <definedName name="PF" localSheetId="20">'[1]PNT-QUOT-#3'!#REF!</definedName>
    <definedName name="PF" localSheetId="26">'[1]PNT-QUOT-#3'!#REF!</definedName>
    <definedName name="PF" localSheetId="32">'[1]PNT-QUOT-#3'!#REF!</definedName>
    <definedName name="PF" localSheetId="3">'[3]PNT-QUOT-#3'!#REF!</definedName>
    <definedName name="PF" localSheetId="40">'[2]PNT-QUOT-#3'!#REF!</definedName>
    <definedName name="PF" localSheetId="42">'[2]PNT-QUOT-#3'!#REF!</definedName>
    <definedName name="PF" localSheetId="44">'[2]PNT-QUOT-#3'!#REF!</definedName>
    <definedName name="PF" localSheetId="49">'[1]PNT-QUOT-#3'!#REF!</definedName>
    <definedName name="PF" localSheetId="5">'[2]PNT-QUOT-#3'!#REF!</definedName>
    <definedName name="PF">'[2]PNT-QUOT-#3'!#REF!</definedName>
    <definedName name="PH">#REF!</definedName>
    <definedName name="PILE">#REF!</definedName>
    <definedName name="PILE_LENG">#REF!</definedName>
    <definedName name="PILE_TYPE">#REF!</definedName>
    <definedName name="pj" localSheetId="15" hidden="1">{"'TDTGT (theo Dphuong)'!$A$4:$F$75"}</definedName>
    <definedName name="pj" hidden="1">{"'TDTGT (theo Dphuong)'!$A$4:$F$75"}</definedName>
    <definedName name="PM" localSheetId="15">[15]IBASE!$AH$16:$AV$110</definedName>
    <definedName name="PM" localSheetId="17">[16]IBASE!$AH$16:$AV$110</definedName>
    <definedName name="PM" localSheetId="20">[16]IBASE!$AH$16:$AV$110</definedName>
    <definedName name="PM" localSheetId="32">[16]IBASE!$AH$16:$AV$110</definedName>
    <definedName name="PM" localSheetId="3">[15]IBASE!$AH$16:$AV$110</definedName>
    <definedName name="PM" localSheetId="49">[16]IBASE!$AH$16:$AV$110</definedName>
    <definedName name="PM">[17]IBASE!$AH$16:$AV$110</definedName>
    <definedName name="PRICE">#REF!</definedName>
    <definedName name="PRICE1">#REF!</definedName>
    <definedName name="_xlnm.Print_Area">#REF!</definedName>
    <definedName name="Print_Area_MI" localSheetId="15">[18]ESTI.!$A$1:$U$52</definedName>
    <definedName name="Print_Area_MI" localSheetId="17">[19]ESTI.!$A$1:$U$52</definedName>
    <definedName name="Print_Area_MI" localSheetId="20">[19]ESTI.!$A$1:$U$52</definedName>
    <definedName name="Print_Area_MI" localSheetId="32">[19]ESTI.!$A$1:$U$52</definedName>
    <definedName name="Print_Area_MI" localSheetId="49">[19]ESTI.!$A$1:$U$52</definedName>
    <definedName name="Print_Area_MI">[18]ESTI.!$A$1:$U$52</definedName>
    <definedName name="_xlnm.Print_Titles" localSheetId="11">'[20]TiÕn ®é thùc hiÖn KC'!#REF!</definedName>
    <definedName name="_xlnm.Print_Titles" localSheetId="15">'[20]TiÕn ®é thùc hiÖn KC'!#REF!</definedName>
    <definedName name="_xlnm.Print_Titles" localSheetId="18">'[20]TiÕn ®é thùc hiÖn KC'!#REF!</definedName>
    <definedName name="_xlnm.Print_Titles" localSheetId="19">'[20]TiÕn ®é thùc hiÖn KC'!#REF!</definedName>
    <definedName name="_xlnm.Print_Titles" localSheetId="31">'[20]TiÕn ®é thùc hiÖn KC'!#REF!</definedName>
    <definedName name="_xlnm.Print_Titles" localSheetId="32">'[20]TiÕn ®é thùc hiÖn KC'!#REF!</definedName>
    <definedName name="_xlnm.Print_Titles" localSheetId="3">'[20]TiÕn ®é thùc hiÖn KC'!#REF!</definedName>
    <definedName name="_xlnm.Print_Titles" localSheetId="40">'[20]TiÕn ®é thùc hiÖn KC'!#REF!</definedName>
    <definedName name="_xlnm.Print_Titles" localSheetId="42">'[20]TiÕn ®é thùc hiÖn KC'!#REF!</definedName>
    <definedName name="_xlnm.Print_Titles" localSheetId="44">'[20]TiÕn ®é thùc hiÖn KC'!#REF!</definedName>
    <definedName name="_xlnm.Print_Titles" localSheetId="49">'[20]TiÕn ®é thùc hiÖn KC'!#REF!</definedName>
    <definedName name="_xlnm.Print_Titles" localSheetId="5">'[20]TiÕn ®é thùc hiÖn KC'!#REF!</definedName>
    <definedName name="_xlnm.Print_Titles">'[20]TiÕn ®é thùc hiÖn KC'!#REF!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POSAL">#REF!</definedName>
    <definedName name="pt" localSheetId="10">#REF!</definedName>
    <definedName name="pt" localSheetId="11">#REF!</definedName>
    <definedName name="pt" localSheetId="12">#REF!</definedName>
    <definedName name="pt" localSheetId="15">#REF!</definedName>
    <definedName name="pt" localSheetId="17">#REF!</definedName>
    <definedName name="pt" localSheetId="18">#REF!</definedName>
    <definedName name="pt" localSheetId="19">#REF!</definedName>
    <definedName name="pt" localSheetId="20">#REF!</definedName>
    <definedName name="pt" localSheetId="31">#REF!</definedName>
    <definedName name="pt" localSheetId="32">#REF!</definedName>
    <definedName name="pt" localSheetId="34">#REF!</definedName>
    <definedName name="pt" localSheetId="36">#REF!</definedName>
    <definedName name="pt" localSheetId="37">#REF!</definedName>
    <definedName name="pt" localSheetId="38">#REF!</definedName>
    <definedName name="pt" localSheetId="3">#REF!</definedName>
    <definedName name="pt" localSheetId="40">#REF!</definedName>
    <definedName name="pt" localSheetId="42">#REF!</definedName>
    <definedName name="pt" localSheetId="43">#REF!</definedName>
    <definedName name="pt" localSheetId="44">#REF!</definedName>
    <definedName name="pt" localSheetId="49">#REF!</definedName>
    <definedName name="pt" localSheetId="5">#REF!</definedName>
    <definedName name="pt">#REF!</definedName>
    <definedName name="PtichDTL">#N/A</definedName>
    <definedName name="ptr" localSheetId="10">#REF!</definedName>
    <definedName name="ptr" localSheetId="11">#REF!</definedName>
    <definedName name="ptr" localSheetId="12">#REF!</definedName>
    <definedName name="ptr" localSheetId="15">#REF!</definedName>
    <definedName name="ptr" localSheetId="17">#REF!</definedName>
    <definedName name="ptr" localSheetId="18">#REF!</definedName>
    <definedName name="ptr" localSheetId="19">#REF!</definedName>
    <definedName name="ptr" localSheetId="20">#REF!</definedName>
    <definedName name="ptr" localSheetId="31">#REF!</definedName>
    <definedName name="ptr" localSheetId="32">#REF!</definedName>
    <definedName name="ptr" localSheetId="34">#REF!</definedName>
    <definedName name="ptr" localSheetId="3">#REF!</definedName>
    <definedName name="ptr" localSheetId="40">#REF!</definedName>
    <definedName name="ptr" localSheetId="42">#REF!</definedName>
    <definedName name="ptr" localSheetId="43">#REF!</definedName>
    <definedName name="ptr" localSheetId="44">#REF!</definedName>
    <definedName name="ptr" localSheetId="49">#REF!</definedName>
    <definedName name="ptr" localSheetId="5">#REF!</definedName>
    <definedName name="ptr">#REF!</definedName>
    <definedName name="ptvt">'[21]ma-pt'!$A$6:$IV$228</definedName>
    <definedName name="PTVT_B">#REF!</definedName>
    <definedName name="QL18CLBC">#REF!</definedName>
    <definedName name="QL18conlai">#REF!</definedName>
    <definedName name="qưeqwrqw" localSheetId="11" hidden="1">{#N/A,#N/A,FALSE,"Chung"}</definedName>
    <definedName name="qưeqwrqw" localSheetId="15" hidden="1">{#N/A,#N/A,FALSE,"Chung"}</definedName>
    <definedName name="qưeqwrqw" localSheetId="17" hidden="1">{#N/A,#N/A,FALSE,"Chung"}</definedName>
    <definedName name="qưeqwrqw" localSheetId="20" hidden="1">{#N/A,#N/A,FALSE,"Chung"}</definedName>
    <definedName name="qưeqwrqw" localSheetId="31" hidden="1">{#N/A,#N/A,FALSE,"Chung"}</definedName>
    <definedName name="qưeqwrqw" localSheetId="32" hidden="1">{#N/A,#N/A,FALSE,"Chung"}</definedName>
    <definedName name="qưeqwrqw" localSheetId="34" hidden="1">{#N/A,#N/A,FALSE,"Chung"}</definedName>
    <definedName name="qưeqwrqw" localSheetId="35" hidden="1">{#N/A,#N/A,FALSE,"Chung"}</definedName>
    <definedName name="qưeqwrqw" localSheetId="36" hidden="1">{#N/A,#N/A,FALSE,"Chung"}</definedName>
    <definedName name="qưeqwrqw" localSheetId="37" hidden="1">{#N/A,#N/A,FALSE,"Chung"}</definedName>
    <definedName name="qưeqwrqw" localSheetId="38" hidden="1">{#N/A,#N/A,FALSE,"Chung"}</definedName>
    <definedName name="qưeqwrqw" localSheetId="3" hidden="1">{#N/A,#N/A,FALSE,"Chung"}</definedName>
    <definedName name="qưeqwrqw" localSheetId="43" hidden="1">{#N/A,#N/A,FALSE,"Chung"}</definedName>
    <definedName name="qưeqwrqw" localSheetId="44" hidden="1">{#N/A,#N/A,FALSE,"Chung"}</definedName>
    <definedName name="qưeqwrqw" localSheetId="49" hidden="1">{#N/A,#N/A,FALSE,"Chung"}</definedName>
    <definedName name="qưeqwrqw" localSheetId="5" hidden="1">{#N/A,#N/A,FALSE,"Chung"}</definedName>
    <definedName name="qưeqwrqw" hidden="1">{#N/A,#N/A,FALSE,"Chung"}</definedName>
    <definedName name="Ra">2100</definedName>
    <definedName name="_xlnm.Recorder">#REF!</definedName>
    <definedName name="RECOUT">#N/A</definedName>
    <definedName name="RETENTION">#REF!</definedName>
    <definedName name="RFnOTHER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k">7.5</definedName>
    <definedName name="Rn">90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T" localSheetId="10">'[1]COAT&amp;WRAP-QIOT-#3'!#REF!</definedName>
    <definedName name="RT" localSheetId="12">'[1]COAT&amp;WRAP-QIOT-#3'!#REF!</definedName>
    <definedName name="RT" localSheetId="15">'[3]COAT&amp;WRAP-QIOT-#3'!#REF!</definedName>
    <definedName name="RT" localSheetId="17">'[1]COAT&amp;WRAP-QIOT-#3'!#REF!</definedName>
    <definedName name="RT" localSheetId="18">'[1]COAT&amp;WRAP-QIOT-#3'!#REF!</definedName>
    <definedName name="RT" localSheetId="19">'[1]COAT&amp;WRAP-QIOT-#3'!#REF!</definedName>
    <definedName name="RT" localSheetId="20">'[1]COAT&amp;WRAP-QIOT-#3'!#REF!</definedName>
    <definedName name="RT" localSheetId="26">'[1]COAT&amp;WRAP-QIOT-#3'!#REF!</definedName>
    <definedName name="RT" localSheetId="32">'[1]COAT&amp;WRAP-QIOT-#3'!#REF!</definedName>
    <definedName name="RT" localSheetId="3">'[3]COAT&amp;WRAP-QIOT-#3'!#REF!</definedName>
    <definedName name="RT" localSheetId="40">'[2]COAT&amp;WRAP-QIOT-#3'!#REF!</definedName>
    <definedName name="RT" localSheetId="42">'[2]COAT&amp;WRAP-QIOT-#3'!#REF!</definedName>
    <definedName name="RT" localSheetId="44">'[2]COAT&amp;WRAP-QIOT-#3'!#REF!</definedName>
    <definedName name="RT" localSheetId="49">'[1]COAT&amp;WRAP-QIOT-#3'!#REF!</definedName>
    <definedName name="RT" localSheetId="5">'[2]COAT&amp;WRAP-QIOT-#3'!#REF!</definedName>
    <definedName name="RT">'[2]COAT&amp;WRAP-QIOT-#3'!#REF!</definedName>
    <definedName name="san">#REF!</definedName>
    <definedName name="SB" localSheetId="15">[15]IBASE!$AH$7:$AL$14</definedName>
    <definedName name="SB" localSheetId="17">[16]IBASE!$AH$7:$AL$14</definedName>
    <definedName name="SB" localSheetId="20">[16]IBASE!$AH$7:$AL$14</definedName>
    <definedName name="SB" localSheetId="32">[16]IBASE!$AH$7:$AL$14</definedName>
    <definedName name="SB" localSheetId="3">[15]IBASE!$AH$7:$AL$14</definedName>
    <definedName name="SB" localSheetId="49">[16]IBASE!$AH$7:$AL$14</definedName>
    <definedName name="SB">[17]IBASE!$AH$7:$AL$14</definedName>
    <definedName name="SCH">#REF!</definedName>
    <definedName name="SIZE">#REF!</definedName>
    <definedName name="SL">#REF!</definedName>
    <definedName name="slg">#REF!</definedName>
    <definedName name="slh">#REF!</definedName>
    <definedName name="sln">#REF!</definedName>
    <definedName name="slx">#REF!</definedName>
    <definedName name="So_du_Co">#REF!</definedName>
    <definedName name="So_du_No">#REF!</definedName>
    <definedName name="So_TK">#REF!</definedName>
    <definedName name="SORT" localSheetId="10">#REF!</definedName>
    <definedName name="SORT" localSheetId="11">#REF!</definedName>
    <definedName name="SORT" localSheetId="12">#REF!</definedName>
    <definedName name="SORT" localSheetId="15">#REF!</definedName>
    <definedName name="SORT" localSheetId="17">#REF!</definedName>
    <definedName name="SORT" localSheetId="18">#REF!</definedName>
    <definedName name="SORT" localSheetId="19">#REF!</definedName>
    <definedName name="SORT" localSheetId="20">#REF!</definedName>
    <definedName name="SORT" localSheetId="31">#REF!</definedName>
    <definedName name="SORT" localSheetId="32">#REF!</definedName>
    <definedName name="SORT" localSheetId="34">#REF!</definedName>
    <definedName name="SORT" localSheetId="36">#REF!</definedName>
    <definedName name="SORT" localSheetId="37">#REF!</definedName>
    <definedName name="SORT" localSheetId="38">#REF!</definedName>
    <definedName name="SORT" localSheetId="3">#REF!</definedName>
    <definedName name="SORT" localSheetId="40">#REF!</definedName>
    <definedName name="SORT" localSheetId="42">#REF!</definedName>
    <definedName name="SORT" localSheetId="43">#REF!</definedName>
    <definedName name="SORT" localSheetId="44">#REF!</definedName>
    <definedName name="SORT" localSheetId="46">#REF!</definedName>
    <definedName name="SORT" localSheetId="49">#REF!</definedName>
    <definedName name="SORT" localSheetId="5">#REF!</definedName>
    <definedName name="SORT">#REF!</definedName>
    <definedName name="SORT_AREA" localSheetId="15">'[18]DI-ESTI'!$A$8:$R$489</definedName>
    <definedName name="SORT_AREA" localSheetId="17">'[19]DI-ESTI'!$A$8:$R$489</definedName>
    <definedName name="SORT_AREA" localSheetId="20">'[19]DI-ESTI'!$A$8:$R$489</definedName>
    <definedName name="SORT_AREA" localSheetId="32">'[19]DI-ESTI'!$A$8:$R$489</definedName>
    <definedName name="SORT_AREA" localSheetId="49">'[19]DI-ESTI'!$A$8:$R$489</definedName>
    <definedName name="SORT_AREA">'[18]DI-ESTI'!$A$8:$R$489</definedName>
    <definedName name="SP" localSheetId="10">'[1]PNT-QUOT-#3'!#REF!</definedName>
    <definedName name="SP" localSheetId="11">'[2]PNT-QUOT-#3'!#REF!</definedName>
    <definedName name="SP" localSheetId="12">'[1]PNT-QUOT-#3'!#REF!</definedName>
    <definedName name="SP" localSheetId="15">'[3]PNT-QUOT-#3'!#REF!</definedName>
    <definedName name="SP" localSheetId="17">'[1]PNT-QUOT-#3'!#REF!</definedName>
    <definedName name="SP" localSheetId="18">'[1]PNT-QUOT-#3'!#REF!</definedName>
    <definedName name="SP" localSheetId="19">'[1]PNT-QUOT-#3'!#REF!</definedName>
    <definedName name="SP" localSheetId="20">'[1]PNT-QUOT-#3'!#REF!</definedName>
    <definedName name="SP" localSheetId="32">'[2]PNT-QUOT-#3'!#REF!</definedName>
    <definedName name="SP" localSheetId="3">'[3]PNT-QUOT-#3'!#REF!</definedName>
    <definedName name="SP" localSheetId="40">'[2]PNT-QUOT-#3'!#REF!</definedName>
    <definedName name="SP" localSheetId="42">'[2]PNT-QUOT-#3'!#REF!</definedName>
    <definedName name="SP" localSheetId="44">'[2]PNT-QUOT-#3'!#REF!</definedName>
    <definedName name="SP" localSheetId="49">'[1]PNT-QUOT-#3'!#REF!</definedName>
    <definedName name="SP" localSheetId="5">'[2]PNT-QUOT-#3'!#REF!</definedName>
    <definedName name="SP">'[2]PNT-QUOT-#3'!#REF!</definedName>
    <definedName name="SPEC">#REF!</definedName>
    <definedName name="SPECSUMMARY">#REF!</definedName>
    <definedName name="Sprack">#REF!</definedName>
    <definedName name="sps">#REF!</definedName>
    <definedName name="sps_DL">#REF!</definedName>
    <definedName name="sss" localSheetId="10">#REF!</definedName>
    <definedName name="sss" localSheetId="11">#REF!</definedName>
    <definedName name="sss" localSheetId="12">#REF!</definedName>
    <definedName name="sss" localSheetId="15">#REF!</definedName>
    <definedName name="sss" localSheetId="17">#REF!</definedName>
    <definedName name="sss" localSheetId="18">#REF!</definedName>
    <definedName name="sss" localSheetId="19">#REF!</definedName>
    <definedName name="sss" localSheetId="20">#REF!</definedName>
    <definedName name="sss" localSheetId="31">#REF!</definedName>
    <definedName name="sss" localSheetId="32">#REF!</definedName>
    <definedName name="sss" localSheetId="34">#REF!</definedName>
    <definedName name="sss" localSheetId="36">#REF!</definedName>
    <definedName name="sss" localSheetId="37">#REF!</definedName>
    <definedName name="sss" localSheetId="38">#REF!</definedName>
    <definedName name="sss" localSheetId="3">#REF!</definedName>
    <definedName name="sss" localSheetId="40">#REF!</definedName>
    <definedName name="sss" localSheetId="42">#REF!</definedName>
    <definedName name="sss" localSheetId="43">#REF!</definedName>
    <definedName name="sss" localSheetId="44">#REF!</definedName>
    <definedName name="sss" localSheetId="46">#REF!</definedName>
    <definedName name="sss" localSheetId="49">#REF!</definedName>
    <definedName name="sss" localSheetId="5">#REF!</definedName>
    <definedName name="sss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vn">#REF!</definedName>
    <definedName name="SUM">#REF!,#REF!</definedName>
    <definedName name="SUMMARY">#REF!</definedName>
    <definedName name="Super_Str">#REF!</definedName>
    <definedName name="svl">50</definedName>
    <definedName name="T">#REF!</definedName>
    <definedName name="TAMTINH">#REF!</definedName>
    <definedName name="TANK">#REF!</definedName>
    <definedName name="TaxTV">10%</definedName>
    <definedName name="TaxXL">5%</definedName>
    <definedName name="TBA" localSheetId="10">#REF!</definedName>
    <definedName name="TBA" localSheetId="11">#REF!</definedName>
    <definedName name="TBA" localSheetId="12">#REF!</definedName>
    <definedName name="TBA" localSheetId="15">#REF!</definedName>
    <definedName name="TBA" localSheetId="17">#REF!</definedName>
    <definedName name="TBA" localSheetId="18">#REF!</definedName>
    <definedName name="TBA" localSheetId="19">#REF!</definedName>
    <definedName name="TBA" localSheetId="20">#REF!</definedName>
    <definedName name="TBA" localSheetId="31">#REF!</definedName>
    <definedName name="TBA" localSheetId="32">#REF!</definedName>
    <definedName name="TBA" localSheetId="34">#REF!</definedName>
    <definedName name="TBA" localSheetId="3">#REF!</definedName>
    <definedName name="TBA" localSheetId="40">#REF!</definedName>
    <definedName name="TBA" localSheetId="42">#REF!</definedName>
    <definedName name="TBA" localSheetId="43">#REF!</definedName>
    <definedName name="TBA" localSheetId="44">#REF!</definedName>
    <definedName name="TBA" localSheetId="46">#REF!</definedName>
    <definedName name="TBA" localSheetId="49">#REF!</definedName>
    <definedName name="TBA" localSheetId="5">#REF!</definedName>
    <definedName name="TBA">#REF!</definedName>
    <definedName name="td" localSheetId="10">#REF!</definedName>
    <definedName name="td" localSheetId="11">#REF!</definedName>
    <definedName name="td" localSheetId="12">#REF!</definedName>
    <definedName name="td" localSheetId="15">#REF!</definedName>
    <definedName name="td" localSheetId="17">#REF!</definedName>
    <definedName name="td" localSheetId="18">#REF!</definedName>
    <definedName name="td" localSheetId="19">#REF!</definedName>
    <definedName name="td" localSheetId="20">#REF!</definedName>
    <definedName name="td" localSheetId="31">#REF!</definedName>
    <definedName name="td" localSheetId="32">#REF!</definedName>
    <definedName name="td" localSheetId="34">#REF!</definedName>
    <definedName name="td" localSheetId="3">#REF!</definedName>
    <definedName name="td" localSheetId="40">#REF!</definedName>
    <definedName name="td" localSheetId="42">#REF!</definedName>
    <definedName name="td" localSheetId="43">#REF!</definedName>
    <definedName name="td" localSheetId="44">#REF!</definedName>
    <definedName name="td" localSheetId="49">#REF!</definedName>
    <definedName name="td" localSheetId="5">#REF!</definedName>
    <definedName name="td">#REF!</definedName>
    <definedName name="tenck">#REF!</definedName>
    <definedName name="test">#REF!</definedName>
    <definedName name="th_bl" localSheetId="10">#REF!</definedName>
    <definedName name="th_bl" localSheetId="11">#REF!</definedName>
    <definedName name="th_bl" localSheetId="12">#REF!</definedName>
    <definedName name="th_bl" localSheetId="15">#REF!</definedName>
    <definedName name="th_bl" localSheetId="17">#REF!</definedName>
    <definedName name="th_bl" localSheetId="18">#REF!</definedName>
    <definedName name="th_bl" localSheetId="19">#REF!</definedName>
    <definedName name="th_bl" localSheetId="20">#REF!</definedName>
    <definedName name="th_bl" localSheetId="31">#REF!</definedName>
    <definedName name="th_bl" localSheetId="32">#REF!</definedName>
    <definedName name="th_bl" localSheetId="34">#REF!</definedName>
    <definedName name="th_bl" localSheetId="36">#REF!</definedName>
    <definedName name="th_bl" localSheetId="37">#REF!</definedName>
    <definedName name="th_bl" localSheetId="38">#REF!</definedName>
    <definedName name="th_bl" localSheetId="3">#REF!</definedName>
    <definedName name="th_bl" localSheetId="40">#REF!</definedName>
    <definedName name="th_bl" localSheetId="42">#REF!</definedName>
    <definedName name="th_bl" localSheetId="43">#REF!</definedName>
    <definedName name="th_bl" localSheetId="44">#REF!</definedName>
    <definedName name="th_bl" localSheetId="46">#REF!</definedName>
    <definedName name="th_bl" localSheetId="49">#REF!</definedName>
    <definedName name="th_bl" localSheetId="5">#REF!</definedName>
    <definedName name="th_bl">#REF!</definedName>
    <definedName name="thang">#REF!</definedName>
    <definedName name="Tháng">'[14]Thời gian'!$D$2:$D$21</definedName>
    <definedName name="thanh" localSheetId="11" hidden="1">{"'TDTGT (theo Dphuong)'!$A$4:$F$75"}</definedName>
    <definedName name="thanh" localSheetId="15" hidden="1">{"'TDTGT (theo Dphuong)'!$A$4:$F$75"}</definedName>
    <definedName name="thanh" localSheetId="17" hidden="1">{"'TDTGT (theo Dphuong)'!$A$4:$F$75"}</definedName>
    <definedName name="thanh" localSheetId="20" hidden="1">{"'TDTGT (theo Dphuong)'!$A$4:$F$75"}</definedName>
    <definedName name="thanh" localSheetId="31" hidden="1">{"'TDTGT (theo Dphuong)'!$A$4:$F$75"}</definedName>
    <definedName name="thanh" localSheetId="32" hidden="1">{"'TDTGT (theo Dphuong)'!$A$4:$F$75"}</definedName>
    <definedName name="thanh" localSheetId="34" hidden="1">{"'TDTGT (theo Dphuong)'!$A$4:$F$75"}</definedName>
    <definedName name="thanh" localSheetId="35" hidden="1">{"'TDTGT (theo Dphuong)'!$A$4:$F$75"}</definedName>
    <definedName name="thanh" localSheetId="36" hidden="1">{"'TDTGT (theo Dphuong)'!$A$4:$F$75"}</definedName>
    <definedName name="thanh" localSheetId="37" hidden="1">{"'TDTGT (theo Dphuong)'!$A$4:$F$75"}</definedName>
    <definedName name="thanh" localSheetId="38" hidden="1">{"'TDTGT (theo Dphuong)'!$A$4:$F$75"}</definedName>
    <definedName name="thanh" localSheetId="3" hidden="1">{"'TDTGT (theo Dphuong)'!$A$4:$F$75"}</definedName>
    <definedName name="thanh" localSheetId="43" hidden="1">{"'TDTGT (theo Dphuong)'!$A$4:$F$75"}</definedName>
    <definedName name="thanh" localSheetId="44" hidden="1">{"'TDTGT (theo Dphuong)'!$A$4:$F$75"}</definedName>
    <definedName name="thanh" localSheetId="49" hidden="1">{"'TDTGT (theo Dphuong)'!$A$4:$F$75"}</definedName>
    <definedName name="thanh" localSheetId="5" hidden="1">{"'TDTGT (theo Dphuong)'!$A$4:$F$75"}</definedName>
    <definedName name="thanh" hidden="1">{"'TDTGT (theo Dphuong)'!$A$4:$F$75"}</definedName>
    <definedName name="thanhtien">#REF!</definedName>
    <definedName name="thepban">#REF!</definedName>
    <definedName name="thetichck">#REF!</definedName>
    <definedName name="THI">#REF!</definedName>
    <definedName name="THK" localSheetId="10">'[1]COAT&amp;WRAP-QIOT-#3'!#REF!</definedName>
    <definedName name="THK" localSheetId="12">'[1]COAT&amp;WRAP-QIOT-#3'!#REF!</definedName>
    <definedName name="THK" localSheetId="15">'[3]COAT&amp;WRAP-QIOT-#3'!#REF!</definedName>
    <definedName name="THK" localSheetId="17">'[1]COAT&amp;WRAP-QIOT-#3'!#REF!</definedName>
    <definedName name="THK" localSheetId="18">'[1]COAT&amp;WRAP-QIOT-#3'!#REF!</definedName>
    <definedName name="THK" localSheetId="19">'[1]COAT&amp;WRAP-QIOT-#3'!#REF!</definedName>
    <definedName name="THK" localSheetId="20">'[1]COAT&amp;WRAP-QIOT-#3'!#REF!</definedName>
    <definedName name="THK" localSheetId="26">'[1]COAT&amp;WRAP-QIOT-#3'!#REF!</definedName>
    <definedName name="THK" localSheetId="32">'[1]COAT&amp;WRAP-QIOT-#3'!#REF!</definedName>
    <definedName name="THK" localSheetId="3">'[3]COAT&amp;WRAP-QIOT-#3'!#REF!</definedName>
    <definedName name="THK" localSheetId="40">'[2]COAT&amp;WRAP-QIOT-#3'!#REF!</definedName>
    <definedName name="THK" localSheetId="42">'[2]COAT&amp;WRAP-QIOT-#3'!#REF!</definedName>
    <definedName name="THK" localSheetId="44">'[2]COAT&amp;WRAP-QIOT-#3'!#REF!</definedName>
    <definedName name="THK" localSheetId="49">'[1]COAT&amp;WRAP-QIOT-#3'!#REF!</definedName>
    <definedName name="THK" localSheetId="5">'[2]COAT&amp;WRAP-QIOT-#3'!#REF!</definedName>
    <definedName name="THK">'[2]COAT&amp;WRAP-QIOT-#3'!#REF!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ue">#REF!</definedName>
    <definedName name="THUEMA">#REF!</definedName>
    <definedName name="Tien">#REF!</definedName>
    <definedName name="Tinh">#REF!</definedName>
    <definedName name="Tỉnh">#REF!</definedName>
    <definedName name="Tinh_Vung">[14]Tỉnh!$H$1:$H$69</definedName>
    <definedName name="TITAN">#REF!</definedName>
    <definedName name="tkc">#REF!</definedName>
    <definedName name="tkc_DL">#REF!</definedName>
    <definedName name="tkco">#REF!</definedName>
    <definedName name="TKM" localSheetId="32" hidden="1">{"'TDTGT (theo Dphuong)'!$A$4:$F$75"}</definedName>
    <definedName name="TKM" localSheetId="49" hidden="1">{"'TDTGT (theo Dphuong)'!$A$4:$F$75"}</definedName>
    <definedName name="TKM" localSheetId="5" hidden="1">{"'TDTGT (theo Dphuong)'!$A$4:$F$75"}</definedName>
    <definedName name="TKM" hidden="1">{"'TDTGT (theo Dphuong)'!$A$4:$F$75"}</definedName>
    <definedName name="tkn">#REF!</definedName>
    <definedName name="tkn_DL">#REF!</definedName>
    <definedName name="tkno">#REF!</definedName>
    <definedName name="TKYB">"TKYB"</definedName>
    <definedName name="TMBLCSG" localSheetId="11">#REF!</definedName>
    <definedName name="TMBLCSG" localSheetId="15">#REF!</definedName>
    <definedName name="TMBLCSG" localSheetId="26">#REF!</definedName>
    <definedName name="TMBLCSG" localSheetId="31">#REF!</definedName>
    <definedName name="TMBLCSG" localSheetId="32">#REF!</definedName>
    <definedName name="TMBLCSG" localSheetId="3">#REF!</definedName>
    <definedName name="TMBLCSG" localSheetId="40">#REF!</definedName>
    <definedName name="TMBLCSG" localSheetId="42">#REF!</definedName>
    <definedName name="TMBLCSG" localSheetId="44">#REF!</definedName>
    <definedName name="TMBLCSG" localSheetId="49">#REF!</definedName>
    <definedName name="TMBLCSG" localSheetId="5">#REF!</definedName>
    <definedName name="TMBLCSG">#REF!</definedName>
    <definedName name="Tnghiep" localSheetId="11" hidden="1">{"'TDTGT (theo Dphuong)'!$A$4:$F$75"}</definedName>
    <definedName name="Tnghiep" localSheetId="15" hidden="1">{"'TDTGT (theo Dphuong)'!$A$4:$F$75"}</definedName>
    <definedName name="Tnghiep" localSheetId="17" hidden="1">{"'TDTGT (theo Dphuong)'!$A$4:$F$75"}</definedName>
    <definedName name="Tnghiep" localSheetId="20" hidden="1">{"'TDTGT (theo Dphuong)'!$A$4:$F$75"}</definedName>
    <definedName name="Tnghiep" localSheetId="31" hidden="1">{"'TDTGT (theo Dphuong)'!$A$4:$F$75"}</definedName>
    <definedName name="Tnghiep" localSheetId="32" hidden="1">{"'TDTGT (theo Dphuong)'!$A$4:$F$75"}</definedName>
    <definedName name="Tnghiep" localSheetId="34" hidden="1">{"'TDTGT (theo Dphuong)'!$A$4:$F$75"}</definedName>
    <definedName name="Tnghiep" localSheetId="35" hidden="1">{"'TDTGT (theo Dphuong)'!$A$4:$F$75"}</definedName>
    <definedName name="Tnghiep" localSheetId="36" hidden="1">{"'TDTGT (theo Dphuong)'!$A$4:$F$75"}</definedName>
    <definedName name="Tnghiep" localSheetId="37" hidden="1">{"'TDTGT (theo Dphuong)'!$A$4:$F$75"}</definedName>
    <definedName name="Tnghiep" localSheetId="38" hidden="1">{"'TDTGT (theo Dphuong)'!$A$4:$F$75"}</definedName>
    <definedName name="Tnghiep" localSheetId="3" hidden="1">{"'TDTGT (theo Dphuong)'!$A$4:$F$75"}</definedName>
    <definedName name="Tnghiep" localSheetId="43" hidden="1">{"'TDTGT (theo Dphuong)'!$A$4:$F$75"}</definedName>
    <definedName name="Tnghiep" localSheetId="44" hidden="1">{"'TDTGT (theo Dphuong)'!$A$4:$F$75"}</definedName>
    <definedName name="Tnghiep" localSheetId="49" hidden="1">{"'TDTGT (theo Dphuong)'!$A$4:$F$75"}</definedName>
    <definedName name="Tnghiep" localSheetId="5" hidden="1">{"'TDTGT (theo Dphuong)'!$A$4:$F$75"}</definedName>
    <definedName name="Tnghiep" hidden="1">{"'TDTGT (theo Dphuong)'!$A$4:$F$75"}</definedName>
    <definedName name="TONG_DL">#REF!</definedName>
    <definedName name="tongbt">#REF!</definedName>
    <definedName name="tongcong">#REF!</definedName>
    <definedName name="tongdientich">#REF!</definedName>
    <definedName name="Tonghop">#REF!</definedName>
    <definedName name="TonghopHtxH">#REF!</definedName>
    <definedName name="TonghopHtxT">#REF!</definedName>
    <definedName name="tongthep">#REF!</definedName>
    <definedName name="tongthetich">#REF!</definedName>
    <definedName name="TOTAL">#REF!</definedName>
    <definedName name="TPLRP">#REF!</definedName>
    <definedName name="TPVT">#REF!</definedName>
    <definedName name="TR">#REF!</definedName>
    <definedName name="Tra_don_gia_KS">#REF!</definedName>
    <definedName name="TRADE2">#REF!</definedName>
    <definedName name="TRISO">#REF!</definedName>
    <definedName name="TT_chung">#REF!</definedName>
    <definedName name="ttbt">#REF!</definedName>
    <definedName name="ttn">#REF!</definedName>
    <definedName name="ttt" localSheetId="10">#REF!</definedName>
    <definedName name="ttt" localSheetId="11">#REF!</definedName>
    <definedName name="ttt" localSheetId="12">#REF!</definedName>
    <definedName name="ttt" localSheetId="15">#REF!</definedName>
    <definedName name="ttt" localSheetId="17">#REF!</definedName>
    <definedName name="ttt" localSheetId="18">#REF!</definedName>
    <definedName name="ttt" localSheetId="19">#REF!</definedName>
    <definedName name="ttt" localSheetId="20">#REF!</definedName>
    <definedName name="ttt" localSheetId="31">#REF!</definedName>
    <definedName name="ttt" localSheetId="32">#REF!</definedName>
    <definedName name="ttt" localSheetId="34">#REF!</definedName>
    <definedName name="ttt" localSheetId="36">#REF!</definedName>
    <definedName name="ttt" localSheetId="37">#REF!</definedName>
    <definedName name="ttt" localSheetId="38">#REF!</definedName>
    <definedName name="ttt" localSheetId="3">#REF!</definedName>
    <definedName name="ttt" localSheetId="40">#REF!</definedName>
    <definedName name="ttt" localSheetId="42">#REF!</definedName>
    <definedName name="ttt" localSheetId="43">#REF!</definedName>
    <definedName name="ttt" localSheetId="44">#REF!</definedName>
    <definedName name="ttt" localSheetId="49">#REF!</definedName>
    <definedName name="ttt" localSheetId="5">#REF!</definedName>
    <definedName name="ttt">#REF!</definedName>
    <definedName name="ttx">#REF!</definedName>
    <definedName name="TXLM">#REF!</definedName>
    <definedName name="TXNB">#REF!</definedName>
    <definedName name="ty_le_BTN">#REF!</definedName>
    <definedName name="UP">#REF!,#REF!,#REF!,#REF!,#REF!,#REF!,#REF!,#REF!,#REF!,#REF!,#REF!</definedName>
    <definedName name="usd">15000</definedName>
    <definedName name="v">#REF!</definedName>
    <definedName name="VARIINST">#REF!</definedName>
    <definedName name="VARIPURC">#REF!</definedName>
    <definedName name="Vat_tu">#REF!</definedName>
    <definedName name="VatTuTungHangMuc">#REF!</definedName>
    <definedName name="VC">#REF!</definedName>
    <definedName name="vccot">#REF!</definedName>
    <definedName name="vctb">#REF!</definedName>
    <definedName name="vfff" localSheetId="10">#REF!</definedName>
    <definedName name="vfff" localSheetId="11">#REF!</definedName>
    <definedName name="vfff" localSheetId="12">#REF!</definedName>
    <definedName name="vfff" localSheetId="15">#REF!</definedName>
    <definedName name="vfff" localSheetId="17">#REF!</definedName>
    <definedName name="vfff" localSheetId="18">#REF!</definedName>
    <definedName name="vfff" localSheetId="19">#REF!</definedName>
    <definedName name="vfff" localSheetId="20">#REF!</definedName>
    <definedName name="vfff" localSheetId="31">#REF!</definedName>
    <definedName name="vfff" localSheetId="32">#REF!</definedName>
    <definedName name="vfff" localSheetId="34">#REF!</definedName>
    <definedName name="vfff" localSheetId="3">#REF!</definedName>
    <definedName name="vfff" localSheetId="40">#REF!</definedName>
    <definedName name="vfff" localSheetId="42">#REF!</definedName>
    <definedName name="vfff" localSheetId="43">#REF!</definedName>
    <definedName name="vfff" localSheetId="44">#REF!</definedName>
    <definedName name="vfff" localSheetId="46">#REF!</definedName>
    <definedName name="vfff" localSheetId="49">#REF!</definedName>
    <definedName name="vfff" localSheetId="5">#REF!</definedName>
    <definedName name="vfff">#REF!</definedName>
    <definedName name="Vlcap0.7">#REF!</definedName>
    <definedName name="VLcap1">#REF!</definedName>
    <definedName name="VLDP">#REF!</definedName>
    <definedName name="vn" localSheetId="11">#REF!</definedName>
    <definedName name="vn" localSheetId="15">#REF!</definedName>
    <definedName name="vn" localSheetId="26">#REF!</definedName>
    <definedName name="vn" localSheetId="31">#REF!</definedName>
    <definedName name="vn" localSheetId="32">#REF!</definedName>
    <definedName name="vn" localSheetId="3">#REF!</definedName>
    <definedName name="vn" localSheetId="40">#REF!</definedName>
    <definedName name="vn" localSheetId="42">#REF!</definedName>
    <definedName name="vn" localSheetId="44">#REF!</definedName>
    <definedName name="vn" localSheetId="49">#REF!</definedName>
    <definedName name="vn" localSheetId="5">#REF!</definedName>
    <definedName name="vn">#REF!</definedName>
    <definedName name="VT">#REF!</definedName>
    <definedName name="VTu">#REF!</definedName>
    <definedName name="VTVUA">#REF!</definedName>
    <definedName name="vv" localSheetId="11" hidden="1">{"'TDTGT (theo Dphuong)'!$A$4:$F$75"}</definedName>
    <definedName name="vv" localSheetId="15" hidden="1">{"'TDTGT (theo Dphuong)'!$A$4:$F$75"}</definedName>
    <definedName name="vv" localSheetId="17" hidden="1">{"'TDTGT (theo Dphuong)'!$A$4:$F$75"}</definedName>
    <definedName name="vv" localSheetId="20" hidden="1">{"'TDTGT (theo Dphuong)'!$A$4:$F$75"}</definedName>
    <definedName name="vv" localSheetId="31" hidden="1">{"'TDTGT (theo Dphuong)'!$A$4:$F$75"}</definedName>
    <definedName name="vv" localSheetId="32" hidden="1">{"'TDTGT (theo Dphuong)'!$A$4:$F$75"}</definedName>
    <definedName name="vv" localSheetId="34" hidden="1">{"'TDTGT (theo Dphuong)'!$A$4:$F$75"}</definedName>
    <definedName name="vv" localSheetId="35" hidden="1">{"'TDTGT (theo Dphuong)'!$A$4:$F$75"}</definedName>
    <definedName name="vv" localSheetId="36" hidden="1">{"'TDTGT (theo Dphuong)'!$A$4:$F$75"}</definedName>
    <definedName name="vv" localSheetId="37" hidden="1">{"'TDTGT (theo Dphuong)'!$A$4:$F$75"}</definedName>
    <definedName name="vv" localSheetId="38" hidden="1">{"'TDTGT (theo Dphuong)'!$A$4:$F$75"}</definedName>
    <definedName name="vv" localSheetId="3" hidden="1">{"'TDTGT (theo Dphuong)'!$A$4:$F$75"}</definedName>
    <definedName name="vv" localSheetId="43" hidden="1">{"'TDTGT (theo Dphuong)'!$A$4:$F$75"}</definedName>
    <definedName name="vv" localSheetId="44" hidden="1">{"'TDTGT (theo Dphuong)'!$A$4:$F$75"}</definedName>
    <definedName name="vv" localSheetId="49" hidden="1">{"'TDTGT (theo Dphuong)'!$A$4:$F$75"}</definedName>
    <definedName name="vv" localSheetId="5" hidden="1">{"'TDTGT (theo Dphuong)'!$A$4:$F$75"}</definedName>
    <definedName name="vv" hidden="1">{"'TDTGT (theo Dphuong)'!$A$4:$F$75"}</definedName>
    <definedName name="W">#REF!</definedName>
    <definedName name="wrn.thu." localSheetId="11" hidden="1">{#N/A,#N/A,FALSE,"Chung"}</definedName>
    <definedName name="wrn.thu." localSheetId="15" hidden="1">{#N/A,#N/A,FALSE,"Chung"}</definedName>
    <definedName name="wrn.thu." localSheetId="17" hidden="1">{#N/A,#N/A,FALSE,"Chung"}</definedName>
    <definedName name="wrn.thu." localSheetId="20" hidden="1">{#N/A,#N/A,FALSE,"Chung"}</definedName>
    <definedName name="wrn.thu." localSheetId="2" hidden="1">{#N/A,#N/A,FALSE,"Chung"}</definedName>
    <definedName name="wrn.thu." localSheetId="31" hidden="1">{#N/A,#N/A,FALSE,"Chung"}</definedName>
    <definedName name="wrn.thu." localSheetId="32" hidden="1">{#N/A,#N/A,FALSE,"Chung"}</definedName>
    <definedName name="wrn.thu." localSheetId="34" hidden="1">{#N/A,#N/A,FALSE,"Chung"}</definedName>
    <definedName name="wrn.thu." localSheetId="35" hidden="1">{#N/A,#N/A,FALSE,"Chung"}</definedName>
    <definedName name="wrn.thu." localSheetId="36" hidden="1">{#N/A,#N/A,FALSE,"Chung"}</definedName>
    <definedName name="wrn.thu." localSheetId="37" hidden="1">{#N/A,#N/A,FALSE,"Chung"}</definedName>
    <definedName name="wrn.thu." localSheetId="38" hidden="1">{#N/A,#N/A,FALSE,"Chung"}</definedName>
    <definedName name="wrn.thu." localSheetId="3" hidden="1">{#N/A,#N/A,FALSE,"Chung"}</definedName>
    <definedName name="wrn.thu." localSheetId="43" hidden="1">{#N/A,#N/A,FALSE,"Chung"}</definedName>
    <definedName name="wrn.thu." localSheetId="44" hidden="1">{#N/A,#N/A,FALSE,"Chung"}</definedName>
    <definedName name="wrn.thu." localSheetId="46" hidden="1">{#N/A,#N/A,FALSE,"Chung"}</definedName>
    <definedName name="wrn.thu." localSheetId="49" hidden="1">{#N/A,#N/A,FALSE,"Chung"}</definedName>
    <definedName name="wrn.thu." localSheetId="5" hidden="1">{#N/A,#N/A,FALSE,"Chung"}</definedName>
    <definedName name="wrn.thu." hidden="1">{#N/A,#N/A,FALSE,"Chung"}</definedName>
    <definedName name="X">#REF!</definedName>
    <definedName name="XCCT">0.5</definedName>
    <definedName name="xd" localSheetId="15">'[22]7 THAI NGUYEN'!$A$11</definedName>
    <definedName name="xd" localSheetId="20">'[23]7 THAI NGUYEN'!$A$11</definedName>
    <definedName name="xd" localSheetId="32">'[23]7 THAI NGUYEN'!$A$11</definedName>
    <definedName name="xd" localSheetId="49">'[23]7 THAI NGUYEN'!$A$11</definedName>
    <definedName name="xd">'[22]7 THAI NGUYEN'!$A$11</definedName>
    <definedName name="xl">[7]THKP!#REF!</definedName>
    <definedName name="xlc">[7]THKP!#REF!</definedName>
    <definedName name="xlk">[7]THKP!#REF!</definedName>
    <definedName name="ZYX" localSheetId="10">#REF!</definedName>
    <definedName name="ZYX" localSheetId="11">#REF!</definedName>
    <definedName name="ZYX" localSheetId="12">#REF!</definedName>
    <definedName name="ZYX" localSheetId="15">#REF!</definedName>
    <definedName name="ZYX" localSheetId="17">#REF!</definedName>
    <definedName name="ZYX" localSheetId="18">#REF!</definedName>
    <definedName name="ZYX" localSheetId="19">#REF!</definedName>
    <definedName name="ZYX" localSheetId="20">#REF!</definedName>
    <definedName name="ZYX" localSheetId="31">#REF!</definedName>
    <definedName name="ZYX" localSheetId="32">#REF!</definedName>
    <definedName name="ZYX" localSheetId="34">#REF!</definedName>
    <definedName name="ZYX" localSheetId="36">#REF!</definedName>
    <definedName name="ZYX" localSheetId="37">#REF!</definedName>
    <definedName name="ZYX" localSheetId="38">#REF!</definedName>
    <definedName name="ZYX" localSheetId="3">#REF!</definedName>
    <definedName name="ZYX" localSheetId="40">#REF!</definedName>
    <definedName name="ZYX" localSheetId="42">#REF!</definedName>
    <definedName name="ZYX" localSheetId="43">#REF!</definedName>
    <definedName name="ZYX" localSheetId="44">#REF!</definedName>
    <definedName name="ZYX" localSheetId="46">#REF!</definedName>
    <definedName name="ZYX" localSheetId="49">#REF!</definedName>
    <definedName name="ZYX" localSheetId="5">#REF!</definedName>
    <definedName name="ZYX">#REF!</definedName>
    <definedName name="ZZZ" localSheetId="10">#REF!</definedName>
    <definedName name="ZZZ" localSheetId="11">#REF!</definedName>
    <definedName name="ZZZ" localSheetId="12">#REF!</definedName>
    <definedName name="ZZZ" localSheetId="15">#REF!</definedName>
    <definedName name="ZZZ" localSheetId="17">#REF!</definedName>
    <definedName name="ZZZ" localSheetId="18">#REF!</definedName>
    <definedName name="ZZZ" localSheetId="19">#REF!</definedName>
    <definedName name="ZZZ" localSheetId="20">#REF!</definedName>
    <definedName name="ZZZ" localSheetId="31">#REF!</definedName>
    <definedName name="ZZZ" localSheetId="32">#REF!</definedName>
    <definedName name="ZZZ" localSheetId="34">#REF!</definedName>
    <definedName name="ZZZ" localSheetId="3">#REF!</definedName>
    <definedName name="ZZZ" localSheetId="40">#REF!</definedName>
    <definedName name="ZZZ" localSheetId="42">#REF!</definedName>
    <definedName name="ZZZ" localSheetId="43">#REF!</definedName>
    <definedName name="ZZZ" localSheetId="44">#REF!</definedName>
    <definedName name="ZZZ" localSheetId="46">#REF!</definedName>
    <definedName name="ZZZ" localSheetId="49">#REF!</definedName>
    <definedName name="ZZZ" localSheetId="5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47" l="1"/>
  <c r="D20" i="55"/>
  <c r="D19" i="55"/>
  <c r="D18" i="55"/>
  <c r="D17" i="55"/>
  <c r="D16" i="55"/>
  <c r="D15" i="55"/>
  <c r="D13" i="55"/>
  <c r="H12" i="55"/>
  <c r="D12" i="55"/>
  <c r="I11" i="55"/>
  <c r="H11" i="55"/>
  <c r="D11" i="55"/>
  <c r="H10" i="55"/>
  <c r="D10" i="55"/>
  <c r="H9" i="55"/>
  <c r="D9" i="55"/>
  <c r="D8" i="55"/>
  <c r="D7" i="55"/>
  <c r="F33" i="44"/>
  <c r="E33" i="44"/>
  <c r="D33" i="44"/>
  <c r="B33" i="44"/>
  <c r="F32" i="44"/>
  <c r="E32" i="44"/>
  <c r="D32" i="44"/>
  <c r="C32" i="44"/>
  <c r="B32" i="44"/>
  <c r="F31" i="44"/>
  <c r="E31" i="44"/>
  <c r="D31" i="44"/>
  <c r="C31" i="44"/>
  <c r="B31" i="44"/>
  <c r="F29" i="44"/>
  <c r="E29" i="44"/>
  <c r="D29" i="44"/>
  <c r="C29" i="44"/>
  <c r="B29" i="44"/>
  <c r="F28" i="44"/>
  <c r="E28" i="44"/>
  <c r="D28" i="44"/>
  <c r="C28" i="44"/>
  <c r="B28" i="44"/>
  <c r="F26" i="44"/>
  <c r="E26" i="44"/>
  <c r="D26" i="44"/>
  <c r="C26" i="44"/>
  <c r="B26" i="44"/>
  <c r="F25" i="44"/>
  <c r="E25" i="44"/>
  <c r="D25" i="44"/>
  <c r="C25" i="44"/>
  <c r="B25" i="44"/>
  <c r="D26" i="42" l="1"/>
  <c r="E26" i="42" s="1"/>
  <c r="D25" i="42"/>
  <c r="E25" i="42" s="1"/>
  <c r="D24" i="42"/>
  <c r="E24" i="42" s="1"/>
  <c r="D23" i="42"/>
  <c r="E23" i="42" s="1"/>
  <c r="D22" i="42"/>
  <c r="E22" i="42" s="1"/>
  <c r="D21" i="42"/>
  <c r="E21" i="42" s="1"/>
  <c r="D20" i="42"/>
  <c r="E20" i="42" s="1"/>
  <c r="D19" i="42"/>
  <c r="E19" i="42" s="1"/>
  <c r="D18" i="42"/>
  <c r="E18" i="42" s="1"/>
  <c r="D17" i="42"/>
  <c r="E17" i="42" s="1"/>
  <c r="D16" i="42"/>
  <c r="E16" i="42" s="1"/>
  <c r="D15" i="42"/>
  <c r="E15" i="42" s="1"/>
  <c r="C14" i="42"/>
  <c r="D14" i="42" s="1"/>
  <c r="E14" i="42" s="1"/>
  <c r="B14" i="42"/>
  <c r="D13" i="42"/>
  <c r="E13" i="42" s="1"/>
  <c r="D12" i="42"/>
  <c r="E12" i="42" s="1"/>
  <c r="D11" i="42"/>
  <c r="E11" i="42" s="1"/>
  <c r="D10" i="42"/>
  <c r="E10" i="42" s="1"/>
  <c r="C9" i="42"/>
  <c r="D9" i="42" s="1"/>
  <c r="E9" i="42" s="1"/>
  <c r="B9" i="42"/>
  <c r="B7" i="42" s="1"/>
  <c r="D8" i="42"/>
  <c r="E8" i="42" s="1"/>
  <c r="D26" i="41"/>
  <c r="D25" i="41"/>
  <c r="D24" i="41"/>
  <c r="D23" i="41"/>
  <c r="D22" i="41"/>
  <c r="D21" i="41"/>
  <c r="D20" i="41"/>
  <c r="D19" i="41"/>
  <c r="D18" i="41"/>
  <c r="D17" i="41"/>
  <c r="D16" i="41"/>
  <c r="D15" i="41"/>
  <c r="C14" i="41"/>
  <c r="D14" i="41" s="1"/>
  <c r="B14" i="41"/>
  <c r="D13" i="41"/>
  <c r="D12" i="41"/>
  <c r="D11" i="41"/>
  <c r="D10" i="41"/>
  <c r="C9" i="41"/>
  <c r="C7" i="41" s="1"/>
  <c r="B9" i="41"/>
  <c r="B7" i="41" s="1"/>
  <c r="D8" i="41"/>
  <c r="D26" i="40"/>
  <c r="D25" i="40"/>
  <c r="D24" i="40"/>
  <c r="D23" i="40"/>
  <c r="D22" i="40"/>
  <c r="D21" i="40"/>
  <c r="D20" i="40"/>
  <c r="D19" i="40"/>
  <c r="D18" i="40"/>
  <c r="D17" i="40"/>
  <c r="D16" i="40"/>
  <c r="D15" i="40"/>
  <c r="C14" i="40"/>
  <c r="D14" i="40" s="1"/>
  <c r="B14" i="40"/>
  <c r="D13" i="40"/>
  <c r="D12" i="40"/>
  <c r="D11" i="40"/>
  <c r="D10" i="40"/>
  <c r="C9" i="40"/>
  <c r="D9" i="40" s="1"/>
  <c r="B9" i="40"/>
  <c r="D8" i="40"/>
  <c r="C7" i="40"/>
  <c r="D7" i="40" s="1"/>
  <c r="B7" i="40"/>
  <c r="I30" i="39"/>
  <c r="H30" i="39"/>
  <c r="G30" i="39"/>
  <c r="P30" i="39" s="1"/>
  <c r="I29" i="39"/>
  <c r="H29" i="39"/>
  <c r="G29" i="39"/>
  <c r="P29" i="39" s="1"/>
  <c r="I28" i="39"/>
  <c r="H28" i="39"/>
  <c r="G28" i="39"/>
  <c r="P28" i="39" s="1"/>
  <c r="P27" i="39"/>
  <c r="I27" i="39"/>
  <c r="H27" i="39"/>
  <c r="G27" i="39"/>
  <c r="I26" i="39"/>
  <c r="H26" i="39"/>
  <c r="G26" i="39"/>
  <c r="P26" i="39" s="1"/>
  <c r="I25" i="39"/>
  <c r="H25" i="39"/>
  <c r="G25" i="39"/>
  <c r="P25" i="39" s="1"/>
  <c r="I24" i="39"/>
  <c r="H24" i="39"/>
  <c r="G24" i="39"/>
  <c r="P24" i="39" s="1"/>
  <c r="I23" i="39"/>
  <c r="H23" i="39"/>
  <c r="G23" i="39"/>
  <c r="P23" i="39" s="1"/>
  <c r="I22" i="39"/>
  <c r="H22" i="39"/>
  <c r="G22" i="39"/>
  <c r="P22" i="39" s="1"/>
  <c r="I21" i="39"/>
  <c r="H21" i="39"/>
  <c r="G21" i="39"/>
  <c r="P21" i="39" s="1"/>
  <c r="P20" i="39"/>
  <c r="I20" i="39"/>
  <c r="H20" i="39"/>
  <c r="G20" i="39"/>
  <c r="I19" i="39"/>
  <c r="H19" i="39"/>
  <c r="G19" i="39"/>
  <c r="P19" i="39" s="1"/>
  <c r="N18" i="39"/>
  <c r="N10" i="39" s="1"/>
  <c r="M18" i="39"/>
  <c r="M10" i="39" s="1"/>
  <c r="L18" i="39"/>
  <c r="L10" i="39" s="1"/>
  <c r="H18" i="39"/>
  <c r="G18" i="39"/>
  <c r="P18" i="39" s="1"/>
  <c r="E18" i="39"/>
  <c r="I18" i="39" s="1"/>
  <c r="D18" i="39"/>
  <c r="C18" i="39"/>
  <c r="I17" i="39"/>
  <c r="H17" i="39"/>
  <c r="G17" i="39"/>
  <c r="P17" i="39" s="1"/>
  <c r="I16" i="39"/>
  <c r="H16" i="39"/>
  <c r="G16" i="39"/>
  <c r="P16" i="39" s="1"/>
  <c r="I15" i="39"/>
  <c r="H15" i="39"/>
  <c r="G15" i="39"/>
  <c r="P15" i="39" s="1"/>
  <c r="I14" i="39"/>
  <c r="H14" i="39"/>
  <c r="G14" i="39"/>
  <c r="P14" i="39" s="1"/>
  <c r="N13" i="39"/>
  <c r="M13" i="39"/>
  <c r="L13" i="39"/>
  <c r="E13" i="39"/>
  <c r="I13" i="39" s="1"/>
  <c r="D13" i="39"/>
  <c r="H13" i="39" s="1"/>
  <c r="C13" i="39"/>
  <c r="C10" i="39" s="1"/>
  <c r="I12" i="39"/>
  <c r="H12" i="39"/>
  <c r="G12" i="39"/>
  <c r="P12" i="39" s="1"/>
  <c r="P11" i="39"/>
  <c r="D10" i="39"/>
  <c r="H10" i="39" s="1"/>
  <c r="Q17" i="38"/>
  <c r="P17" i="38"/>
  <c r="G17" i="38"/>
  <c r="N17" i="38" s="1"/>
  <c r="F17" i="38"/>
  <c r="M17" i="38" s="1"/>
  <c r="E17" i="38"/>
  <c r="L17" i="38" s="1"/>
  <c r="Q16" i="38"/>
  <c r="P16" i="38"/>
  <c r="N16" i="38"/>
  <c r="M16" i="38"/>
  <c r="L16" i="38"/>
  <c r="G16" i="38"/>
  <c r="F16" i="38"/>
  <c r="E16" i="38"/>
  <c r="Q15" i="38"/>
  <c r="P15" i="38"/>
  <c r="G15" i="38"/>
  <c r="N15" i="38" s="1"/>
  <c r="F15" i="38"/>
  <c r="M15" i="38" s="1"/>
  <c r="E15" i="38"/>
  <c r="L15" i="38" s="1"/>
  <c r="Q14" i="38"/>
  <c r="P14" i="38"/>
  <c r="N14" i="38"/>
  <c r="G14" i="38"/>
  <c r="F14" i="38"/>
  <c r="M14" i="38" s="1"/>
  <c r="E14" i="38"/>
  <c r="L14" i="38" s="1"/>
  <c r="Q13" i="38"/>
  <c r="P13" i="38"/>
  <c r="J13" i="38"/>
  <c r="I13" i="38"/>
  <c r="G13" i="38"/>
  <c r="N13" i="38" s="1"/>
  <c r="F13" i="38"/>
  <c r="M13" i="38" s="1"/>
  <c r="D13" i="38"/>
  <c r="C13" i="38"/>
  <c r="B13" i="38"/>
  <c r="E13" i="38" s="1"/>
  <c r="L13" i="38" s="1"/>
  <c r="Q12" i="38"/>
  <c r="P12" i="38"/>
  <c r="G12" i="38"/>
  <c r="N12" i="38" s="1"/>
  <c r="F12" i="38"/>
  <c r="M12" i="38" s="1"/>
  <c r="E12" i="38"/>
  <c r="L12" i="38" s="1"/>
  <c r="Q11" i="38"/>
  <c r="P11" i="38"/>
  <c r="G11" i="38"/>
  <c r="N11" i="38" s="1"/>
  <c r="F11" i="38"/>
  <c r="M11" i="38" s="1"/>
  <c r="E11" i="38"/>
  <c r="L11" i="38" s="1"/>
  <c r="Q10" i="38"/>
  <c r="P10" i="38"/>
  <c r="G10" i="38"/>
  <c r="N10" i="38" s="1"/>
  <c r="F10" i="38"/>
  <c r="M10" i="38" s="1"/>
  <c r="E10" i="38"/>
  <c r="L10" i="38" s="1"/>
  <c r="L8" i="38"/>
  <c r="L7" i="38"/>
  <c r="N7" i="38" s="1"/>
  <c r="L5" i="38"/>
  <c r="L4" i="38"/>
  <c r="M4" i="38" s="1"/>
  <c r="D7" i="41" l="1"/>
  <c r="G10" i="39"/>
  <c r="P10" i="39" s="1"/>
  <c r="E10" i="39"/>
  <c r="I10" i="39" s="1"/>
  <c r="G13" i="39"/>
  <c r="P13" i="39" s="1"/>
  <c r="N4" i="38"/>
  <c r="M7" i="38"/>
  <c r="C7" i="42"/>
  <c r="D7" i="42" s="1"/>
  <c r="E7" i="42" s="1"/>
  <c r="D9" i="41"/>
  <c r="D9" i="1" l="1"/>
  <c r="D8" i="1"/>
  <c r="E41" i="2" l="1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</calcChain>
</file>

<file path=xl/sharedStrings.xml><?xml version="1.0" encoding="utf-8"?>
<sst xmlns="http://schemas.openxmlformats.org/spreadsheetml/2006/main" count="2045" uniqueCount="764">
  <si>
    <t xml:space="preserve"> Nghìn ha</t>
  </si>
  <si>
    <t>Thực hiện</t>
  </si>
  <si>
    <t>Thực hiện kỳ này</t>
  </si>
  <si>
    <t>cùng kỳ</t>
  </si>
  <si>
    <t>kỳ này</t>
  </si>
  <si>
    <t>so với cùng kỳ</t>
  </si>
  <si>
    <t>năm trước</t>
  </si>
  <si>
    <t>năm trước (%)</t>
  </si>
  <si>
    <t>Ngô</t>
  </si>
  <si>
    <t>Khoai lang</t>
  </si>
  <si>
    <t>Đậu tương</t>
  </si>
  <si>
    <t>Lạc</t>
  </si>
  <si>
    <t>4. Diện tích, năng suất và sản lượng một số cây trồng chủ yếu</t>
  </si>
  <si>
    <t>1. Cây lương thực có hạt</t>
  </si>
  <si>
    <t>Lúa cả năm</t>
  </si>
  <si>
    <t xml:space="preserve">    Diện tích (Nghìn ha)</t>
  </si>
  <si>
    <t xml:space="preserve">    Năng suất (Tạ/ha)</t>
  </si>
  <si>
    <t xml:space="preserve">    Sản lượng (Nghìn tấn)</t>
  </si>
  <si>
    <t>Lúa đông xuân</t>
  </si>
  <si>
    <t>Lúa hè thu</t>
  </si>
  <si>
    <t>Lúa thu đông</t>
  </si>
  <si>
    <t>Lúa mùa</t>
  </si>
  <si>
    <t>Tổng sản lượng lương</t>
  </si>
  <si>
    <t>thực có hạt (Nghìn tấn)</t>
  </si>
  <si>
    <t xml:space="preserve">    Lúa</t>
  </si>
  <si>
    <t xml:space="preserve">    Ngô</t>
  </si>
  <si>
    <t>2. Cây chất bột có củ</t>
  </si>
  <si>
    <t>Sắn</t>
  </si>
  <si>
    <t>5. Diện tích, năng suất và sản lượng một số cây hằng năm</t>
  </si>
  <si>
    <t>Mía</t>
  </si>
  <si>
    <t>Lạc</t>
  </si>
  <si>
    <t>Rau các loại</t>
  </si>
  <si>
    <t>7. Sản phẩm chăn nuôi</t>
  </si>
  <si>
    <t xml:space="preserve">Sơ </t>
  </si>
  <si>
    <t>Ước</t>
  </si>
  <si>
    <t>So với cùng kỳ</t>
  </si>
  <si>
    <t>Năm</t>
  </si>
  <si>
    <t>bộ</t>
  </si>
  <si>
    <t xml:space="preserve"> tính</t>
  </si>
  <si>
    <t>quý III</t>
  </si>
  <si>
    <t xml:space="preserve">quý IV </t>
  </si>
  <si>
    <t>năm</t>
  </si>
  <si>
    <t>Quý III</t>
  </si>
  <si>
    <t>Quý IV</t>
  </si>
  <si>
    <t>so với</t>
  </si>
  <si>
    <t>Sản lượng thịt hơi xuất chuồng (Nghìn tấn)</t>
  </si>
  <si>
    <t>Thịt lợn</t>
  </si>
  <si>
    <t>Thịt gia cầm</t>
  </si>
  <si>
    <t xml:space="preserve">Thịt trâu </t>
  </si>
  <si>
    <t>Thịt bò</t>
  </si>
  <si>
    <t xml:space="preserve">Sản lượng sản phẩm chăn nuôi khác </t>
  </si>
  <si>
    <t>Trứng (Triệu quả)</t>
  </si>
  <si>
    <t>Sữa (Nghìn tấn)</t>
  </si>
  <si>
    <t>3.Tiến độ gieo trồng cây nông nghiệp đến ngày 20 tháng 12 năm 2025</t>
  </si>
  <si>
    <t>Năm 2024</t>
  </si>
  <si>
    <t>Ước tính 
năm 2025</t>
  </si>
  <si>
    <t>Năm 2025 so với năm 2024 (%)</t>
  </si>
  <si>
    <t>Diện tích gieo cấy lúa đông xuân 2025-2026</t>
  </si>
  <si>
    <t>Miền Nam</t>
  </si>
  <si>
    <t>Diện tích thu hoạch lúa mùa</t>
  </si>
  <si>
    <t>Miền Bắc</t>
  </si>
  <si>
    <t>Diện tích thu hoạch lúa thu đông</t>
  </si>
  <si>
    <t>Diện tích gieo trồng rau màu Vụ Đông</t>
  </si>
  <si>
    <t>Đậu các loại</t>
  </si>
  <si>
    <t>Vừng</t>
  </si>
  <si>
    <t>8. Kết quả sản xuất lâm nghiệp</t>
  </si>
  <si>
    <t>2024 (%)</t>
  </si>
  <si>
    <t>Diện tích rừng trồng mới tập trung (Nghìn ha)</t>
  </si>
  <si>
    <t>Số cây lâm nghiệp trồng phân tán (Triệu cây)</t>
  </si>
  <si>
    <r>
      <t>Sản lượng gỗ khai thác (Nghìn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</si>
  <si>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t>Diện tích rừng bị thiệt hại (Ha)</t>
  </si>
  <si>
    <t>Cháy rừng</t>
  </si>
  <si>
    <t>Chặt phá rừng</t>
  </si>
  <si>
    <t xml:space="preserve">9. Sản lượng thủy sản </t>
  </si>
  <si>
    <t>Nghìn tấn</t>
  </si>
  <si>
    <t>Tổng số</t>
  </si>
  <si>
    <t>Cá</t>
  </si>
  <si>
    <t>Tôm</t>
  </si>
  <si>
    <t>Thủy sản khác</t>
  </si>
  <si>
    <t>Nuôi trồng</t>
  </si>
  <si>
    <t>Khai thác</t>
  </si>
  <si>
    <t>10. Chỉ số sản xuất công nghiệp tháng 12 và cả năm 2025</t>
  </si>
  <si>
    <t>%</t>
  </si>
  <si>
    <t>Tháng 11</t>
  </si>
  <si>
    <t>Tháng 12</t>
  </si>
  <si>
    <t xml:space="preserve">Tháng 12 </t>
  </si>
  <si>
    <t>Năm 2025</t>
  </si>
  <si>
    <t>năm 2025</t>
  </si>
  <si>
    <t>năm 2024</t>
  </si>
  <si>
    <t xml:space="preserve">tháng </t>
  </si>
  <si>
    <t>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</si>
  <si>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</si>
  <si>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</si>
  <si>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</si>
  <si>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</si>
  <si>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</si>
  <si>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</si>
  <si>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</si>
  <si>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</si>
  <si>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</si>
  <si>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</si>
  <si>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</si>
  <si>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</si>
  <si>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</si>
  <si>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</si>
  <si>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
(trừ giường, tủ, bàn, ghế); sản xuất sản phẩm
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</si>
  <si>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</si>
  <si>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</si>
  <si>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</si>
  <si>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</si>
  <si>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</si>
  <si>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</si>
  <si>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</si>
  <si>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</si>
  <si>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 
(trừ máy móc, thiết bị)</t>
  </si>
  <si>
    <t>Sản xuất sản phẩm điện tử, máy vi tính 
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</si>
  <si>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</si>
  <si>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</si>
  <si>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</si>
  <si>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</si>
  <si>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</si>
  <si>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</si>
  <si>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móc, thiết bị</t>
  </si>
  <si>
    <t>Sản xuất và phân phối điện, khí đốt, nước nóng,
hơi nước và điều hòa không khí</t>
  </si>
  <si>
    <t>Cung cấp nước; hoạt động quản lý và xử lý rác thải,
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</si>
  <si>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</si>
  <si>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</si>
  <si>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</si>
  <si>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11. Chỉ số sản xuất công nghiệp các quý năm 2025</t>
  </si>
  <si>
    <t>So với cùng kỳ năm trước:</t>
  </si>
  <si>
    <t xml:space="preserve">Thực hiện </t>
  </si>
  <si>
    <t xml:space="preserve">Ước tính </t>
  </si>
  <si>
    <t>quý I năm</t>
  </si>
  <si>
    <t>quý II năm</t>
  </si>
  <si>
    <t>quý III năm</t>
  </si>
  <si>
    <t>quý IV năm</t>
  </si>
  <si>
    <t>Chế biến gỗ và sản xuất sản phẩm từ gỗ, tre, nứa
(trừ giường, tủ, bàn, ghế); sản xuất sản phẩm 
từ rơm, rạ và vật liệu tết bện</t>
  </si>
  <si>
    <t>Cung cấp nước; hoạt động quản lý và xử lý rác thải, 
nước thải</t>
  </si>
  <si>
    <t>Hoạt động thu gom, xử lý và tiêu huỷ rác thải; 
tái chế phế liệu</t>
  </si>
  <si>
    <t>12. Một số sản phẩm chủ yếu của ngành công nghiệp</t>
  </si>
  <si>
    <t xml:space="preserve">      tháng 12 và cả năm 2025</t>
  </si>
  <si>
    <t>Đơn vị</t>
  </si>
  <si>
    <t>Ước tính</t>
  </si>
  <si>
    <t>tính</t>
  </si>
  <si>
    <t>tháng 11</t>
  </si>
  <si>
    <t>tháng 12</t>
  </si>
  <si>
    <t xml:space="preserve">so với cùng kỳ </t>
  </si>
  <si>
    <t>(%)</t>
  </si>
  <si>
    <t>Than đá (than sạch)</t>
  </si>
  <si>
    <t>Dầu mỏ thô khai thác</t>
  </si>
  <si>
    <t>"</t>
  </si>
  <si>
    <t>Khí đốt thiên nhiên dạng khí</t>
  </si>
  <si>
    <r>
      <t>Triệu m</t>
    </r>
    <r>
      <rPr>
        <vertAlign val="superscript"/>
        <sz val="9"/>
        <rFont val="Arial"/>
        <family val="2"/>
      </rPr>
      <t>3</t>
    </r>
  </si>
  <si>
    <t>Khí hoá lỏng (LPG)</t>
  </si>
  <si>
    <t>Xăng, dầu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</si>
  <si>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</si>
  <si>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</si>
  <si>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</si>
  <si>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</si>
  <si>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</si>
  <si>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</si>
  <si>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</si>
  <si>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</si>
  <si>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</si>
  <si>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>Bia</t>
  </si>
  <si>
    <t>Thuốc lá điếu</t>
  </si>
  <si>
    <t>Triệu bao</t>
  </si>
  <si>
    <t>Vải dệt từ sợi tự nhiên</t>
  </si>
  <si>
    <r>
      <t>Triệu m</t>
    </r>
    <r>
      <rPr>
        <vertAlign val="superscript"/>
        <sz val="9"/>
        <rFont val="Arial"/>
        <family val="2"/>
      </rPr>
      <t>2</t>
    </r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</si>
  <si>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</si>
  <si>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</si>
  <si>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</si>
  <si>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</si>
  <si>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</si>
  <si>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</si>
  <si>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</si>
  <si>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</si>
  <si>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</si>
  <si>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</si>
  <si>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</si>
  <si>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</si>
  <si>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</si>
  <si>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</si>
  <si>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</si>
  <si>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
tỷ đồng</t>
  </si>
  <si>
    <t xml:space="preserve">Tivi </t>
  </si>
  <si>
    <t>Nghìn cái</t>
  </si>
  <si>
    <t>Ô tô</t>
  </si>
  <si>
    <t>Nghìn chiếc</t>
  </si>
  <si>
    <t>Xe máy</t>
  </si>
  <si>
    <t>Điện sản xuất</t>
  </si>
  <si>
    <t>Tỷ kwh</t>
  </si>
  <si>
    <t>Nước máy thương phẩm</t>
  </si>
  <si>
    <t>13. Một số sản phẩm chủ yếu của ngành công nghiệp các quý năm 2025</t>
  </si>
  <si>
    <t>So với cùng kỳ năm trước (%)</t>
  </si>
  <si>
    <t>quý IV</t>
  </si>
  <si>
    <r>
      <t>Triệu m</t>
    </r>
    <r>
      <rPr>
        <vertAlign val="superscript"/>
        <sz val="9.5"/>
        <rFont val="Arial"/>
        <family val="2"/>
      </rPr>
      <t>3</t>
    </r>
  </si>
  <si>
    <r>
      <t>Triệu m</t>
    </r>
    <r>
      <rPr>
        <vertAlign val="superscript"/>
        <sz val="9.5"/>
        <rFont val="Arial"/>
        <family val="2"/>
      </rPr>
      <t>2</t>
    </r>
  </si>
  <si>
    <t>14. Chỉ số tiêu thụ và tồn kho ngành công nghiệp chế biến, chế tạo</t>
  </si>
  <si>
    <t>Chỉ số tiêu thụ</t>
  </si>
  <si>
    <t>Chỉ số tồn kho</t>
  </si>
  <si>
    <t xml:space="preserve"> Tháng 12</t>
  </si>
  <si>
    <t>thời điểm</t>
  </si>
  <si>
    <t>31/12/2025</t>
  </si>
  <si>
    <t>tháng</t>
  </si>
  <si>
    <t xml:space="preserve"> cùng kỳ</t>
  </si>
  <si>
    <t>so với cùng</t>
  </si>
  <si>
    <t xml:space="preserve"> thời điểm</t>
  </si>
  <si>
    <t>tháng trước</t>
  </si>
  <si>
    <t>Toàn ngành chế biến, chế tạo</t>
  </si>
  <si>
    <t>Chế biến gỗ và sản xuất sản phẩm từ gỗ, tre, nứa
(trừ giường, tủ, bàn, ghế); sản xuất sản phẩm
từ  rơm, rạ và vật liệu tết bện</t>
  </si>
  <si>
    <t>SX máy móc, thiết bị chưa được phân vào đâu</t>
  </si>
  <si>
    <t xml:space="preserve">15. Chỉ số sử dụng lao động của doanh nghiệp công nghiệp </t>
  </si>
  <si>
    <t>Chỉ số sử dụng</t>
  </si>
  <si>
    <t>lao động thời điểm</t>
  </si>
  <si>
    <t>01/12/2025 so với</t>
  </si>
  <si>
    <t>cùng thời điểm</t>
  </si>
  <si>
    <t>Chế biến gỗ và sản xuất sản phẩm từ gỗ, tre, nứa (trừ giường,
tủ, bàn, ghế); sản xuất sản phẩm từ rơm, rạ và vật liệu tết bện</t>
  </si>
  <si>
    <t>Sản xuất và phân phối điện</t>
  </si>
  <si>
    <t>Cung cấp nước; hoạt động quản lý và xử lý rác thải, nước thải</t>
  </si>
  <si>
    <t>Hoạt động thu gom, xử lý và tiêu huỷ rác thải; tái chế phế liệu</t>
  </si>
  <si>
    <t>Xử lý ô nhiễm và hoạt động quản lý chất thải khác</t>
  </si>
  <si>
    <t xml:space="preserve">    phân theo địa phương</t>
  </si>
  <si>
    <t>Chỉ số sử dụng lao động</t>
  </si>
  <si>
    <t xml:space="preserve"> thời điểm 01/12/2025 so với</t>
  </si>
  <si>
    <t>cùng thời điểm tháng trước</t>
  </si>
  <si>
    <t>cùng thời điểm năm trước</t>
  </si>
  <si>
    <t xml:space="preserve">CẢ NƯỚC </t>
  </si>
  <si>
    <t>Hà Nội</t>
  </si>
  <si>
    <t>Bắc Ninh</t>
  </si>
  <si>
    <t>Quảng Ninh</t>
  </si>
  <si>
    <t>Hải Phòng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</si>
  <si>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</si>
  <si>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</si>
  <si>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</si>
  <si>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</si>
  <si>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</si>
  <si>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</si>
  <si>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</si>
  <si>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</si>
  <si>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</si>
  <si>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</si>
  <si>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</si>
  <si>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</si>
  <si>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</si>
  <si>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</si>
  <si>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</si>
  <si>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</si>
  <si>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 xml:space="preserve">Đà Nẵng </t>
  </si>
  <si>
    <t>Quảng Ngãi</t>
  </si>
  <si>
    <t>Gia Lai</t>
  </si>
  <si>
    <t>Khánh Hòa</t>
  </si>
  <si>
    <t>Đắk Lắk</t>
  </si>
  <si>
    <t>Lâm Đồng</t>
  </si>
  <si>
    <t>Tây Ninh</t>
  </si>
  <si>
    <t>Đồng Nai</t>
  </si>
  <si>
    <t>TP. Hồ Chí Minh</t>
  </si>
  <si>
    <t>Vĩnh Long</t>
  </si>
  <si>
    <t xml:space="preserve">Đồng Tháp </t>
  </si>
  <si>
    <t xml:space="preserve">An Giang </t>
  </si>
  <si>
    <t>Cần Thơ</t>
  </si>
  <si>
    <t>Cà Mau</t>
  </si>
  <si>
    <t>22. Vốn đầu tư thực hiện toàn xã hội theo giá hiện hành</t>
  </si>
  <si>
    <t>Nghìn tỷ đồng</t>
  </si>
  <si>
    <t xml:space="preserve">Năm </t>
  </si>
  <si>
    <t>TỔNG SỐ</t>
  </si>
  <si>
    <t>Vốn đầu tư thuộc ngân sách Nhà nước</t>
  </si>
  <si>
    <t>Vốn tín dụng đầu tư theo kế hoạch NN</t>
  </si>
  <si>
    <t>Vốn vay từ các nguồn khác 
(của khu vực Nhà nước)</t>
  </si>
  <si>
    <t>Vốn đầu tư của doanh nghiệp Nhà nước
(Vốn tự có)</t>
  </si>
  <si>
    <t>Vốn đầu tư của dân cư và tư nhân</t>
  </si>
  <si>
    <t>Vốn đầu tư trực tiếp nước ngoài</t>
  </si>
  <si>
    <t>Vốn huy động khác</t>
  </si>
  <si>
    <t>23. Vốn đầu tư thực hiện từ nguồn ngân sách Nhà nước</t>
  </si>
  <si>
    <t>Tỷ đồng</t>
  </si>
  <si>
    <t xml:space="preserve"> kế hoạch</t>
  </si>
  <si>
    <t>năm (%)</t>
  </si>
  <si>
    <t>Trung ương</t>
  </si>
  <si>
    <t>Trong đó:</t>
  </si>
  <si>
    <t>Bộ Xây dựng</t>
  </si>
  <si>
    <t>Bộ Nông nghiệp và Môi trường</t>
  </si>
  <si>
    <t>Bộ Y tế</t>
  </si>
  <si>
    <t>Bộ Giáo dục và Đào tạo</t>
  </si>
  <si>
    <t>Bộ Văn hóa, Thể thao và Du lịch</t>
  </si>
  <si>
    <t>Bộ Khoa học và Công nghệ</t>
  </si>
  <si>
    <t>Bộ Công thương</t>
  </si>
  <si>
    <t>Địa phương</t>
  </si>
  <si>
    <t>Vốn ngân sách NN cấp tỉnh</t>
  </si>
  <si>
    <t>Vốn ngân sách NN cấp xã</t>
  </si>
  <si>
    <t>Phân theo một số tỉnh, thành phố</t>
  </si>
  <si>
    <t>An Giang</t>
  </si>
  <si>
    <t>Đồng Tháp</t>
  </si>
  <si>
    <t>Đà Nẵng</t>
  </si>
  <si>
    <t>24. Vốn đầu tư thực hiện từ nguồn ngân sách Nhà nước các quý năm 2025</t>
  </si>
  <si>
    <t>quý II</t>
  </si>
  <si>
    <t>Quý II</t>
  </si>
  <si>
    <t>Bộ Giáo dục - Đào tạo</t>
  </si>
  <si>
    <t>Bắc Giang</t>
  </si>
  <si>
    <t>Thừa Thiên - Huế</t>
  </si>
  <si>
    <t>26. Tổng mức bán lẻ hàng hóa và doanh thu dịch vụ tiêu dùng</t>
  </si>
  <si>
    <t>Sơ bộ</t>
  </si>
  <si>
    <t>Tổng</t>
  </si>
  <si>
    <t>Cơ</t>
  </si>
  <si>
    <t>mức</t>
  </si>
  <si>
    <t>cấu (%)</t>
  </si>
  <si>
    <t xml:space="preserve">kỳ năm </t>
  </si>
  <si>
    <t>trước (%)</t>
  </si>
  <si>
    <t>Bán lẻ hàng hóa</t>
  </si>
  <si>
    <t>Dịch vụ lưu trú, ăn uống</t>
  </si>
  <si>
    <t>Du lịch lữ hành</t>
  </si>
  <si>
    <t>Dịch vụ khác</t>
  </si>
  <si>
    <t>27. Tổng mức bán lẻ hàng hóa và doanh thu dịch vụ tiêu dùng các quý năm 2025</t>
  </si>
  <si>
    <t>40. Vận tải hành khách tháng 12 và năm 2025</t>
  </si>
  <si>
    <t>năm 2025 so</t>
  </si>
  <si>
    <t xml:space="preserve"> so với</t>
  </si>
  <si>
    <t>so với tháng</t>
  </si>
  <si>
    <t xml:space="preserve">với cùng kỳ </t>
  </si>
  <si>
    <t>I. Vận chuyển (Nghìn HK)</t>
  </si>
  <si>
    <t xml:space="preserve">  Phân theo khu vực vận tải</t>
  </si>
  <si>
    <t>Trong nước</t>
  </si>
  <si>
    <t>Ngoài nước</t>
  </si>
  <si>
    <t xml:space="preserve">  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</si>
  <si>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</si>
  <si>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</si>
  <si>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</si>
  <si>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</si>
  <si>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</si>
  <si>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</si>
  <si>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41. Vận tải hành khách các quý năm 2025</t>
  </si>
  <si>
    <t>42. Vận tải hàng hoá tháng 12 và năm 2025</t>
  </si>
  <si>
    <t>I. Vận chuyển (Nghìn tấn)</t>
  </si>
  <si>
    <t>II. Luân chuyển (Triệu tấn.km)</t>
  </si>
  <si>
    <t>43. Vận tải hàng hoá các quý năm 2025</t>
  </si>
  <si>
    <t>44. Khách quốc tế đến Việt Nam</t>
  </si>
  <si>
    <t>Lượt người</t>
  </si>
  <si>
    <t>Tháng 12 năm</t>
  </si>
  <si>
    <t>2025 so với</t>
  </si>
  <si>
    <t>cùng kỳ năm</t>
  </si>
  <si>
    <t>Phân theo phương tiện đến</t>
  </si>
  <si>
    <t>Đường không</t>
  </si>
  <si>
    <t>Phân theo một số nước và vùng lãnh thổ</t>
  </si>
  <si>
    <t>Châu Á</t>
  </si>
  <si>
    <t>CHND Trung Hoa</t>
  </si>
  <si>
    <t>Hàn Quốc</t>
  </si>
  <si>
    <t>Nhật Bản</t>
  </si>
  <si>
    <t>Đài Loan</t>
  </si>
  <si>
    <t>Ma-lai-xi-a</t>
  </si>
  <si>
    <t>Thái Lan</t>
  </si>
  <si>
    <t>Xin-ga-po</t>
  </si>
  <si>
    <t>Cam-pu-chia</t>
  </si>
  <si>
    <t>Phi-li-pin</t>
  </si>
  <si>
    <t>Lào</t>
  </si>
  <si>
    <t>In-đô-nê-xi-a</t>
  </si>
  <si>
    <t>Ấn Độ</t>
  </si>
  <si>
    <t xml:space="preserve">Một số nước khác </t>
  </si>
  <si>
    <t>Châu Mỹ</t>
  </si>
  <si>
    <t>Hoa Kỳ</t>
  </si>
  <si>
    <t>Ca-na-đa</t>
  </si>
  <si>
    <t>Một số nước khác thuộc châu Mỹ</t>
  </si>
  <si>
    <t>Châu Âu</t>
  </si>
  <si>
    <t>Liên bang Nga</t>
  </si>
  <si>
    <t>Vương quốc Anh</t>
  </si>
  <si>
    <t>Pháp</t>
  </si>
  <si>
    <t>Đức</t>
  </si>
  <si>
    <t>Tây Ban Nha</t>
  </si>
  <si>
    <t>Hà Lan</t>
  </si>
  <si>
    <t>I-ta-li-a</t>
  </si>
  <si>
    <t>Thụy Điển</t>
  </si>
  <si>
    <t>Đan Mạch</t>
  </si>
  <si>
    <t>Thụy Sỹ</t>
  </si>
  <si>
    <t>Bỉ</t>
  </si>
  <si>
    <t>Na Uy</t>
  </si>
  <si>
    <t>Cộng hoà Séc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</si>
  <si>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</si>
  <si>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</si>
  <si>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</si>
  <si>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</si>
  <si>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</si>
  <si>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</si>
  <si>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</si>
  <si>
    <t>45. Khách quốc tế đến Việt Nam các quý năm 2025</t>
  </si>
  <si>
    <t>Nghìn tấn; Triệu USD</t>
  </si>
  <si>
    <t>Tháng 12 năm 2025</t>
  </si>
  <si>
    <t>Lượng</t>
  </si>
  <si>
    <t>Trị giá</t>
  </si>
  <si>
    <t>TỔNG TRỊ GIÁ</t>
  </si>
  <si>
    <t>Khu vực kinh tế trong nước</t>
  </si>
  <si>
    <t>Khu vực có vốn đầu tư NN</t>
  </si>
  <si>
    <t>Dầu thô</t>
  </si>
  <si>
    <t>Hàng hoá khác</t>
  </si>
  <si>
    <t>MẶT HÀNG CHỦ YẾU</t>
  </si>
  <si>
    <t xml:space="preserve">Thủy sản </t>
  </si>
  <si>
    <t>Rau quả</t>
  </si>
  <si>
    <t>Hạt điều</t>
  </si>
  <si>
    <t>Cà phê</t>
  </si>
  <si>
    <t>Chè</t>
  </si>
  <si>
    <t>Hạt tiêu</t>
  </si>
  <si>
    <t>Gạo</t>
  </si>
  <si>
    <t>Sắn và sản phẩm của sắn</t>
  </si>
  <si>
    <t>Bánh kẹo và các sản phẩm từ ngũ cốc</t>
  </si>
  <si>
    <t>Thức ăn gia súc và nguyên liệu</t>
  </si>
  <si>
    <t xml:space="preserve"> Clanhke và xi măng</t>
  </si>
  <si>
    <t xml:space="preserve">Dầu thô  </t>
  </si>
  <si>
    <t>Xăng dầu</t>
  </si>
  <si>
    <t>Hóa chất</t>
  </si>
  <si>
    <t>SP hóa chất</t>
  </si>
  <si>
    <t>Chất dẻo nguyên liệu</t>
  </si>
  <si>
    <t>Sản phẩm chất dẻo</t>
  </si>
  <si>
    <t>Cao su</t>
  </si>
  <si>
    <t>Sản phẩm từ cao su</t>
  </si>
  <si>
    <t>Túi xách, ví, va li, mũ, ô dù</t>
  </si>
  <si>
    <t>Gỗ và sản phẩm gỗ</t>
  </si>
  <si>
    <t>Giấy và các sản phẩm từ giấy</t>
  </si>
  <si>
    <t>Xơ, sợi dệt các loại</t>
  </si>
  <si>
    <t>Hàng dệt, may</t>
  </si>
  <si>
    <t>Giày dép</t>
  </si>
  <si>
    <t>Nguyên phụ liệu dệt, may, da, giày</t>
  </si>
  <si>
    <t>Thủy tinh và các sản phẩm từ thủy tinh</t>
  </si>
  <si>
    <t>Sắt thép</t>
  </si>
  <si>
    <t>Sản phẩm từ sắt thép</t>
  </si>
  <si>
    <t>Kim loại thường khác và sản phẩm</t>
  </si>
  <si>
    <t>Điện tử, máy tính và linh kiện</t>
  </si>
  <si>
    <t>Điện thoại các loại và linh kiện</t>
  </si>
  <si>
    <t>Máy ảnh, máy quay phim và linh kiện</t>
  </si>
  <si>
    <t>Máy móc, thiết bị, dụng cụ, phụ tùng khác</t>
  </si>
  <si>
    <t>Dây điện và cáp điện</t>
  </si>
  <si>
    <t>Phương tiện vận tải và phụ tùng</t>
  </si>
  <si>
    <t>Sản phẩm nội thất từ chất liệu khác gỗ</t>
  </si>
  <si>
    <t>Đồ chơi, dụng cụ thể thao và bộ phận</t>
  </si>
  <si>
    <t>Thủy sản</t>
  </si>
  <si>
    <t>Sữa và sản phẩm sữa</t>
  </si>
  <si>
    <t>Lúa mỳ</t>
  </si>
  <si>
    <t>Dầu mỡ động thực vật</t>
  </si>
  <si>
    <t>Chế phẩm thực phẩm khác</t>
  </si>
  <si>
    <t>Thức ăn gia súc và NPL</t>
  </si>
  <si>
    <t>Quặng và khoáng sản khác</t>
  </si>
  <si>
    <t>Than đá</t>
  </si>
  <si>
    <t xml:space="preserve">Xăng dầu </t>
  </si>
  <si>
    <t>Khí đốt hóa lỏng</t>
  </si>
  <si>
    <t>Sản phẩm khác từ dầu mỏ</t>
  </si>
  <si>
    <t xml:space="preserve">Hóa chất </t>
  </si>
  <si>
    <t>Sản phẩm hoá chất</t>
  </si>
  <si>
    <t>Tân dược</t>
  </si>
  <si>
    <t xml:space="preserve">Phân bón </t>
  </si>
  <si>
    <t>Chất thơm, mỹ phẩm và chế phẩm vệ sinh</t>
  </si>
  <si>
    <t xml:space="preserve">Chất dẻo </t>
  </si>
  <si>
    <t>Giấy các loại</t>
  </si>
  <si>
    <t>Sản phẩm từ giấy</t>
  </si>
  <si>
    <t xml:space="preserve">Bông </t>
  </si>
  <si>
    <t xml:space="preserve">Sợi dệt </t>
  </si>
  <si>
    <t>Vải</t>
  </si>
  <si>
    <t>Nguyên PL dệt, may, giày dép</t>
  </si>
  <si>
    <t>Phế liệu sắt thép</t>
  </si>
  <si>
    <t xml:space="preserve">Sắt thép </t>
  </si>
  <si>
    <t>Kim loại thường khác</t>
  </si>
  <si>
    <t>Sản phẩm từ kim loại thường khác</t>
  </si>
  <si>
    <t>Hàng điện gia dụng và linh kiện</t>
  </si>
  <si>
    <t xml:space="preserve"> Trong đó: Nguyên chiếc(*)</t>
  </si>
  <si>
    <t>Phương tiện vận tải khác và phụ tùng</t>
  </si>
  <si>
    <t>(*)Chiếc, triệu USD</t>
  </si>
  <si>
    <t>Nghìn tấn; triệu USD</t>
  </si>
  <si>
    <t>Clanhke và xi măng</t>
  </si>
  <si>
    <t>Sản phẩm hóa chất</t>
  </si>
  <si>
    <t>Sản phẩm từ chất dẻo</t>
  </si>
  <si>
    <t>Dệt, may</t>
  </si>
  <si>
    <t>Điện thoại và linh kiện</t>
  </si>
  <si>
    <t>SP nội thất từ chất liệu khác gỗ</t>
  </si>
  <si>
    <t>Khu vực KT trong nước</t>
  </si>
  <si>
    <t>Khu vực có vốn ĐTTTNN</t>
  </si>
  <si>
    <t>Triệu USD</t>
  </si>
  <si>
    <t>I.  XUẤT KHẨU DỊCH VỤ</t>
  </si>
  <si>
    <t xml:space="preserve">Dịch vụ vận tải </t>
  </si>
  <si>
    <t>Dịch vụ bưu chính viễn thông</t>
  </si>
  <si>
    <t>Dịch vụ du lịch</t>
  </si>
  <si>
    <t>Dịch vụ tài chính</t>
  </si>
  <si>
    <t xml:space="preserve">Dịch vụ bảo hiểm </t>
  </si>
  <si>
    <t xml:space="preserve">Dịch vụ Chính phủ </t>
  </si>
  <si>
    <t xml:space="preserve">Dịch vụ khác </t>
  </si>
  <si>
    <t>II.  NHẬP KHẨU DỊCH VỤ</t>
  </si>
  <si>
    <t>Trong đó phí vận tải hàng hóa nhập khẩu</t>
  </si>
  <si>
    <t>Trong đó phí bảo hiểm hàng hóa nhập khẩu</t>
  </si>
  <si>
    <r>
      <t>34. Chỉ số giá sản xuất</t>
    </r>
    <r>
      <rPr>
        <b/>
        <vertAlign val="superscript"/>
        <sz val="12"/>
        <rFont val="Arial"/>
        <family val="2"/>
      </rPr>
      <t>(*)</t>
    </r>
  </si>
  <si>
    <t>Quý IV năm 2025 so với</t>
  </si>
  <si>
    <t xml:space="preserve"> so với </t>
  </si>
  <si>
    <t>Nông nghiệp, lâm nghiệp và thủy sản</t>
  </si>
  <si>
    <t>Nông nghiệp và dịch vụ có liên quan</t>
  </si>
  <si>
    <t>Lâm nghiệp và dịch vụ có liên quan</t>
  </si>
  <si>
    <t>Thủy sản khai thác, nuôi trồng</t>
  </si>
  <si>
    <t xml:space="preserve">Công nghiệp </t>
  </si>
  <si>
    <t xml:space="preserve">Điện, khí đốt, nước nóng, hơi nước và điều hòa
không khí </t>
  </si>
  <si>
    <t>Nước tự nhiên khai thác; dịch vụ quản lý nước và 
xử lý rác thải, nước thải</t>
  </si>
  <si>
    <t>Dịch vụ</t>
  </si>
  <si>
    <t>Vận tải kho bãi</t>
  </si>
  <si>
    <t>Dịch vụ lưu trú và ăn uống</t>
  </si>
  <si>
    <t>Thông tin và truyền thông</t>
  </si>
  <si>
    <t>Giáo dục và đào tạo</t>
  </si>
  <si>
    <t>Y tế và hoạt động trợ giúp xã hội</t>
  </si>
  <si>
    <t>Nghệ thuật, vui chơi và giải trí</t>
  </si>
  <si>
    <r>
      <rPr>
        <vertAlign val="superscript"/>
        <sz val="10"/>
        <color theme="1"/>
        <rFont val="Arial"/>
        <family val="2"/>
      </rPr>
      <t>(*)</t>
    </r>
    <r>
      <rPr>
        <sz val="10"/>
        <rFont val="Arial"/>
        <family val="2"/>
      </rPr>
      <t xml:space="preserve"> Số liệu sơ bộ.</t>
    </r>
  </si>
  <si>
    <r>
      <t>35. Chỉ số giá vận tải, kho bãi</t>
    </r>
    <r>
      <rPr>
        <b/>
        <vertAlign val="superscript"/>
        <sz val="12"/>
        <rFont val="Arial"/>
        <family val="2"/>
      </rPr>
      <t>(*)</t>
    </r>
  </si>
  <si>
    <t>CHỈ SỐ CHUNG</t>
  </si>
  <si>
    <t>Dịch vụ vận tải đường sắt, đường bộ</t>
  </si>
  <si>
    <t>Vận tải đường sắt</t>
  </si>
  <si>
    <t>Vận tải đường bộ và xe buýt</t>
  </si>
  <si>
    <t>Dịch vụ vận tải đường thủy</t>
  </si>
  <si>
    <t>Dịch vụ vận tải đường ven biển và viễn dương</t>
  </si>
  <si>
    <t>Dịch vụ vận tải đường thủy nội địa</t>
  </si>
  <si>
    <t>Dịch vụ vận tải đường hàng không</t>
  </si>
  <si>
    <t>Dịch vụ kho bãi và các dịch vụ liên quan
đến hỗ trợ vận tải</t>
  </si>
  <si>
    <t xml:space="preserve">Trong đó: </t>
  </si>
  <si>
    <t>Dịch vụ liên quan đến hoạt động hỗ trợ vận tải</t>
  </si>
  <si>
    <t>Dịch vụ bốc xếp hàng hóa</t>
  </si>
  <si>
    <t>Dịch vụ bưu chính và chuyển phát</t>
  </si>
  <si>
    <r>
      <t>36. Chỉ số giá nguyên liệu, nhiên liệu, vật liệu dùng cho sản xuất</t>
    </r>
    <r>
      <rPr>
        <b/>
        <vertAlign val="superscript"/>
        <sz val="12"/>
        <rFont val="Arial"/>
        <family val="2"/>
      </rPr>
      <t>(*)</t>
    </r>
  </si>
  <si>
    <t>Phân theo mục đích sử dụng</t>
  </si>
  <si>
    <t>Sử dụng cho sản xuất nông nghiệp, lâm nghiệp và thủy sản</t>
  </si>
  <si>
    <t>Sử dụng cho sản xuất công nghiệp chế biến, chế tạo</t>
  </si>
  <si>
    <t>Sử dụng cho xây dựng</t>
  </si>
  <si>
    <t>Phân theo ngành sản phẩm</t>
  </si>
  <si>
    <t>Sản phẩm nông nghiệp, lâm nghiệp và thủy sản</t>
  </si>
  <si>
    <t>Sản phẩm khai khoáng</t>
  </si>
  <si>
    <t>Sản phẩm công nghiệp chế biến, chế tạo</t>
  </si>
  <si>
    <t>Điện, khí đốt, hơi nước và điều hòa không khí</t>
  </si>
  <si>
    <t>Nước tự nhiên khai thác</t>
  </si>
  <si>
    <t>Dịch vụ xây dựng chuyên dụng</t>
  </si>
  <si>
    <t>Dịch vụ chuyên môn khoa học công nghệ</t>
  </si>
  <si>
    <r>
      <t>37. Chỉ số giá xuất khẩu hàng hóa</t>
    </r>
    <r>
      <rPr>
        <b/>
        <vertAlign val="superscript"/>
        <sz val="12"/>
        <rFont val="Arial"/>
        <family val="2"/>
      </rPr>
      <t>(*)</t>
    </r>
  </si>
  <si>
    <t>Nông sản, thực phẩm</t>
  </si>
  <si>
    <t>Hàng thủy sản</t>
  </si>
  <si>
    <t>Hàng rau quả</t>
  </si>
  <si>
    <t>Sắn và sản phẩm từ sắn</t>
  </si>
  <si>
    <t>Nhiên liệu</t>
  </si>
  <si>
    <t>Xăng dầu các loại</t>
  </si>
  <si>
    <t>Hàng hóa chế biến, chế tạo khác</t>
  </si>
  <si>
    <t>Sản phẩm từ hóa chất</t>
  </si>
  <si>
    <t>Túi xách, ví, vali, mũ và ô dù</t>
  </si>
  <si>
    <t>Sản phẩm mây, tre, cói và thảm</t>
  </si>
  <si>
    <t>Gỗ và sản phẩm từ gỗ</t>
  </si>
  <si>
    <t>Giấy và sản phẩm từ giấy</t>
  </si>
  <si>
    <t>Hàng dệt may</t>
  </si>
  <si>
    <t>Giày dép các loại</t>
  </si>
  <si>
    <t>Máy vi tính, sản phẩm điện tử và linh kiện</t>
  </si>
  <si>
    <t>Điện thoại và thiết bị di động</t>
  </si>
  <si>
    <t>Máy móc, thiết bị, dụng cụ và phụ tùng khác</t>
  </si>
  <si>
    <t>Dây và cáp điện</t>
  </si>
  <si>
    <r>
      <t>38. Chỉ số giá nhập khẩu hàng hóa</t>
    </r>
    <r>
      <rPr>
        <b/>
        <vertAlign val="superscript"/>
        <sz val="12"/>
        <rFont val="Arial"/>
        <family val="2"/>
      </rPr>
      <t>(*)</t>
    </r>
  </si>
  <si>
    <t xml:space="preserve">CHỈ SỐ CHUNG </t>
  </si>
  <si>
    <t xml:space="preserve"> Hàng thủy sản</t>
  </si>
  <si>
    <t xml:space="preserve"> Hàng rau quả</t>
  </si>
  <si>
    <t xml:space="preserve"> Lúa mỳ</t>
  </si>
  <si>
    <t xml:space="preserve"> Dầu mỡ động thực vật</t>
  </si>
  <si>
    <t>Thức ăn chăn nuôi và nguyên liệu</t>
  </si>
  <si>
    <t xml:space="preserve"> Nguyên phụ liệu dược phẩm</t>
  </si>
  <si>
    <t>Phân bón</t>
  </si>
  <si>
    <t>Thuốc trừ sâu</t>
  </si>
  <si>
    <t xml:space="preserve"> Cao su nguyên liệu</t>
  </si>
  <si>
    <t>Giấy</t>
  </si>
  <si>
    <t>Xơ, sợi dệt</t>
  </si>
  <si>
    <t>Vải may mặc</t>
  </si>
  <si>
    <t>Ô tô nguyên chiếc</t>
  </si>
  <si>
    <t>Máy móc, thiết bị, dụng cụ và phụ tùng</t>
  </si>
  <si>
    <t>Dây điện và dây cáp điện</t>
  </si>
  <si>
    <t>Linh kiện, phụ tùng ô tô</t>
  </si>
  <si>
    <r>
      <t>39. Tỷ giá thương mại hàng hóa</t>
    </r>
    <r>
      <rPr>
        <b/>
        <vertAlign val="superscript"/>
        <sz val="12"/>
        <rFont val="Arial"/>
        <family val="2"/>
      </rPr>
      <t>(*)</t>
    </r>
  </si>
  <si>
    <t xml:space="preserve">16. Chỉ số sử dụng lao động của doanh nghiệp công nghiệp </t>
  </si>
  <si>
    <t>28. Hàng hóa xuất khẩu</t>
  </si>
  <si>
    <t xml:space="preserve">33. Chỉ số giá tiêu dùng, chỉ số giá vàng, chỉ số giá đô la Mỹ </t>
  </si>
  <si>
    <t xml:space="preserve">       và lạm phát cơ bản tháng 12 năm 2025</t>
  </si>
  <si>
    <t>Tháng 12 năm 2025 so với</t>
  </si>
  <si>
    <t>Bình quân quý IV</t>
  </si>
  <si>
    <t>Kỳ gốc</t>
  </si>
  <si>
    <t xml:space="preserve">so  với </t>
  </si>
  <si>
    <t>CHỈ SỐ GIÁ TIÊU DÙNG</t>
  </si>
  <si>
    <t>Hàng ăn và dịch vụ ăn uống</t>
  </si>
  <si>
    <t xml:space="preserve">    Trong đó:</t>
  </si>
  <si>
    <t>Lương thực</t>
  </si>
  <si>
    <t>Thực phẩm</t>
  </si>
  <si>
    <t>Ăn uống ngoài gia đình</t>
  </si>
  <si>
    <t>Đồ uống và thuốc lá</t>
  </si>
  <si>
    <t xml:space="preserve">May mặc, mũ nón và giày dép </t>
  </si>
  <si>
    <r>
      <t>Nhà ở, điện nước, chất đốt và VLXD</t>
    </r>
    <r>
      <rPr>
        <vertAlign val="superscript"/>
        <sz val="9.5"/>
        <rFont val="Arial"/>
        <family val="2"/>
      </rPr>
      <t>(*)</t>
    </r>
  </si>
  <si>
    <t>Thiết bị và đồ dùng gia đình</t>
  </si>
  <si>
    <t>Thuốc và dịch vụ y tế</t>
  </si>
  <si>
    <t>Dịch vụ y tế</t>
  </si>
  <si>
    <t>Giao thông</t>
  </si>
  <si>
    <t>Giáo dục</t>
  </si>
  <si>
    <t>Dịch vụ giáo dục</t>
  </si>
  <si>
    <t>Văn hoá, giải trí và du lịch</t>
  </si>
  <si>
    <t>Hàng hóa và dịch vụ khác</t>
  </si>
  <si>
    <t>CHỈ SỐ GIÁ VÀNG</t>
  </si>
  <si>
    <t>CHỈ SỐ GIÁ ĐÔ LA MỸ</t>
  </si>
  <si>
    <t>LẠM PHÁT CƠ BẢN</t>
  </si>
  <si>
    <r>
      <rPr>
        <vertAlign val="superscript"/>
        <sz val="10"/>
        <rFont val="Arial"/>
        <family val="2"/>
      </rPr>
      <t xml:space="preserve">(*) </t>
    </r>
    <r>
      <rPr>
        <sz val="10"/>
        <rFont val="Arial"/>
        <family val="2"/>
      </rPr>
      <t>Nhóm này bao gồm: tiền thuê nhà ở, điện, nước, chất đốt và vật liệu xây dựng.</t>
    </r>
  </si>
  <si>
    <t>+/-</t>
  </si>
  <si>
    <t>BQ</t>
  </si>
  <si>
    <t>so với (%)</t>
  </si>
  <si>
    <t>Doanh nghiệp đăng ký thành lập mới (DN)</t>
  </si>
  <si>
    <t>Vốn đăng ký (Tỷ đồng)</t>
  </si>
  <si>
    <t>Lao động (Người)</t>
  </si>
  <si>
    <t>Vốn đăng ký bình quân 1 doanh nghiệp
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</si>
  <si>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</si>
  <si>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</si>
  <si>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</si>
  <si>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</si>
  <si>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 xml:space="preserve">Năm 2025 so với </t>
  </si>
  <si>
    <t>năm 2024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</si>
  <si>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</si>
  <si>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</si>
  <si>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</si>
  <si>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</si>
  <si>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</si>
  <si>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</si>
  <si>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</si>
  <si>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(DN)</t>
  </si>
  <si>
    <t>(Tỷ đồng)</t>
  </si>
  <si>
    <t>(Người)</t>
  </si>
  <si>
    <t>nghiệp</t>
  </si>
  <si>
    <t>Phân theo ngành kinh tế</t>
  </si>
  <si>
    <t>Nông, Lâm nghiệp và Thủy sản</t>
  </si>
  <si>
    <t>Công nghiệp và Xây dựng</t>
  </si>
  <si>
    <t>Sản xuất phân phối, điện, nước, gas</t>
  </si>
  <si>
    <t>Xây dựng</t>
  </si>
  <si>
    <t>Bán buôn; bán lẻ; sửa chữa ô tô, xe máy</t>
  </si>
  <si>
    <t>Tài chính, ngân hàng và bảo hiểm</t>
  </si>
  <si>
    <t>Kinh doanh bất động sản</t>
  </si>
  <si>
    <t>Khoa học, công nghệ; dịch vụ tư vấn, thiết kế; quảng cáo và chuyên môn khác</t>
  </si>
  <si>
    <t>Dịch vụ việc làm; du lịch; cho thuê máy móc thiết bị, đồ dùng và các dịch vụ hỗ trợ khác</t>
  </si>
  <si>
    <t>Hoạt động dịch vụ khác</t>
  </si>
  <si>
    <t>Doanh nghiệp</t>
  </si>
  <si>
    <t>Khoa học, công nghệ; dịch vụ tư vấn, thiết kế;
quảng cáo và chuyên môn khác</t>
  </si>
  <si>
    <t>Dịch vụ việc làm; du lịch; cho thuê máy móc
thiết bị, đồ dùng và các dịch vụ hỗ trợ khác</t>
  </si>
  <si>
    <t xml:space="preserve">17. Một số chỉ tiêu về doanh nghiệp </t>
  </si>
  <si>
    <t>18. Doanh nghiệp đăng ký thành lập mới</t>
  </si>
  <si>
    <t>19. Doanh nghiệp quay trở lại hoạt động</t>
  </si>
  <si>
    <t>20. Doanh nghiệp tạm ngừng kinh doanh có thời hạn</t>
  </si>
  <si>
    <t>21. Doanh nghiệp hoàn tất thủ tục giải thể</t>
  </si>
  <si>
    <t>46. Một số chỉ tiêu dân số</t>
  </si>
  <si>
    <t>Ước tính
năm 2025</t>
  </si>
  <si>
    <t>Dân số trung bình (Nghìn người)</t>
  </si>
  <si>
    <t>Phân theo giới tính</t>
  </si>
  <si>
    <t xml:space="preserve">   Nam</t>
  </si>
  <si>
    <t xml:space="preserve">   Nữ</t>
  </si>
  <si>
    <t>Phân theo khu vực</t>
  </si>
  <si>
    <t xml:space="preserve">  Thành thị</t>
  </si>
  <si>
    <t xml:space="preserve">  Nông thôn</t>
  </si>
  <si>
    <t>Tỷ lệ tăng dân số (%)</t>
  </si>
  <si>
    <t>Tỷ số giới tính của dân số (Số nam/100 nữ)</t>
  </si>
  <si>
    <t>Tỷ số giới tính khi sinh (Số bé trai/100 bé gái)</t>
  </si>
  <si>
    <t>Tỷ lệ dân số thành thị (%)</t>
  </si>
  <si>
    <t>Tổng tỷ suất sinh (Số con/phụ nữ)</t>
  </si>
  <si>
    <t>Tỷ suất sinh thô (‰)</t>
  </si>
  <si>
    <t>Tỷ suất chết thô (‰)</t>
  </si>
  <si>
    <t>Tỷ suất chết của trẻ em dưới 1 tuổi (‰)</t>
  </si>
  <si>
    <t>Tỷ suất chết của trẻ em dưới 5 tuổi (‰)</t>
  </si>
  <si>
    <t>Tuổi thọ trung bình tính từ lúc sinh (Tuổi)</t>
  </si>
  <si>
    <t xml:space="preserve">47. Một số chỉ tiêu lao động </t>
  </si>
  <si>
    <t>Quý I</t>
  </si>
  <si>
    <t>Nghìn người</t>
  </si>
  <si>
    <t xml:space="preserve">Lực lượng lao động từ 15 tuổi trở lên </t>
  </si>
  <si>
    <t xml:space="preserve">Nam </t>
  </si>
  <si>
    <t>Nữ</t>
  </si>
  <si>
    <t>Phân theo thành thị, nông thôn</t>
  </si>
  <si>
    <t xml:space="preserve">Thành thị </t>
  </si>
  <si>
    <t>Nông thôn</t>
  </si>
  <si>
    <t>Lao động có việc làm</t>
  </si>
  <si>
    <t>Nông, lâm nghiệp và thủy sản</t>
  </si>
  <si>
    <t>Công nghiệp và xây dựng</t>
  </si>
  <si>
    <t>Cơ cấu - %</t>
  </si>
  <si>
    <t>48. Tỷ lệ thất nghiệp và tỷ lệ thiếu việc làm</t>
  </si>
  <si>
    <t>Chung</t>
  </si>
  <si>
    <t>Chia ra:</t>
  </si>
  <si>
    <t>Thành thị</t>
  </si>
  <si>
    <t>Tỷ lệ thất nghiệp trong độ tuổi lao động</t>
  </si>
  <si>
    <t>Quý I năm 2025</t>
  </si>
  <si>
    <t>Quý II năm 2025</t>
  </si>
  <si>
    <t>Quý III năm 2025</t>
  </si>
  <si>
    <t>Quý IV năm 2025</t>
  </si>
  <si>
    <t>Ước tính năm 2025</t>
  </si>
  <si>
    <t>Tỷ lệ thất nghiệp thanh niên (từ 15-24 tuổi)</t>
  </si>
  <si>
    <t>Tỷ lệ thiếu việc làm trong độ tuổi lao động</t>
  </si>
  <si>
    <r>
      <t>49. Tỷ lệ lao động có việc làm phi chính thức</t>
    </r>
    <r>
      <rPr>
        <b/>
        <vertAlign val="superscript"/>
        <sz val="12"/>
        <color indexed="8"/>
        <rFont val="Arial"/>
        <family val="2"/>
      </rPr>
      <t>(*)</t>
    </r>
  </si>
  <si>
    <t>Tỷ lệ chung</t>
  </si>
  <si>
    <r>
      <rPr>
        <vertAlign val="superscript"/>
        <sz val="10"/>
        <color indexed="8"/>
        <rFont val="Arial"/>
        <family val="2"/>
      </rPr>
      <t>(*)</t>
    </r>
    <r>
      <rPr>
        <sz val="10"/>
        <color indexed="8"/>
        <rFont val="Arial"/>
        <family val="2"/>
      </rPr>
      <t xml:space="preserve"> Bao gồm cả lao động làm việc trong khu vực hộ nông, lâm nghiệp và thủy sản.</t>
    </r>
  </si>
  <si>
    <t>1. Tổng sản phẩm trong nước theo giá hiện hành</t>
  </si>
  <si>
    <t xml:space="preserve">Cộng dồn </t>
  </si>
  <si>
    <t>Cơ cấu (%)</t>
  </si>
  <si>
    <t>cả năm</t>
  </si>
  <si>
    <t>Cả</t>
  </si>
  <si>
    <t>Nông nghiệp</t>
  </si>
  <si>
    <t>Lâm nghiệp</t>
  </si>
  <si>
    <t>Công nghiệp</t>
  </si>
  <si>
    <t>Cung cấp nước; hoạt động quản lý
và xử lý rác thải, nước thải</t>
  </si>
  <si>
    <t>Bán buôn và bán lẻ; sửa chữa ô tô, mô tô, 
xe máy và xe có động cơ khác</t>
  </si>
  <si>
    <t>Vận tải, kho bãi</t>
  </si>
  <si>
    <t>Hoạt động tài chính, ngân hàng và bảo hiểm</t>
  </si>
  <si>
    <t>Hoạt động kinh doanh bất động sản</t>
  </si>
  <si>
    <t>Hoạt động chuyên môn, khoa học và công nghệ</t>
  </si>
  <si>
    <t>Hoạt động hành chính và dịch vụ hỗ trợ</t>
  </si>
  <si>
    <t>Hoạt động của Đảng Cộng sản, tổ chức
chính trị- xã hội; quản lý Nhà nước, an ninh
quốc phòng; đảm bảo xã hội bắt buộc</t>
  </si>
  <si>
    <t>Hoạt động làm thuê các công việc trong
các hộ gia đình, sản xuất sản phẩm vật chất
và dịch vụ tự tiêu dùng của hộ gia đình</t>
  </si>
  <si>
    <t>Thuế sản phẩm trừ trợ cấp sản phẩm</t>
  </si>
  <si>
    <t>2. Tổng sản phẩm trong nước theo giá so sánh 2010</t>
  </si>
  <si>
    <t>Cộng</t>
  </si>
  <si>
    <t xml:space="preserve">dồn </t>
  </si>
  <si>
    <t>Sản xuất và phân phối điện, khí đốt, nước 
nóng, hơi nước và điều hòa không khí</t>
  </si>
  <si>
    <t>Hoạt động chuyên môn, khoa học
và công nghệ</t>
  </si>
  <si>
    <t xml:space="preserve">Thuốc trừ sâu </t>
  </si>
  <si>
    <t>Đá quý, kim loại quý và sản phẩm</t>
  </si>
  <si>
    <t>29. Hàng hóa nhập khẩu</t>
  </si>
  <si>
    <t>30. Hàng hóa xuất khẩu các quý năm 2025</t>
  </si>
  <si>
    <t>31. Hàng hóa nhập khẩu các quý năm 2025</t>
  </si>
  <si>
    <t>25. Đầu tư nước ngoài vào Việt Nam được cấp phép từ 01/01- 31/12/2025</t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</si>
  <si>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</si>
  <si>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</si>
  <si>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</si>
  <si>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</si>
  <si>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</si>
  <si>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</si>
  <si>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Trung Quốc</t>
  </si>
  <si>
    <t>Đặc khu hành chính Hồng Kông (TQ)</t>
  </si>
  <si>
    <t>Quần đảo Vigin thuộc Anh</t>
  </si>
  <si>
    <t>Quần đảo Cây-men</t>
  </si>
  <si>
    <t>Xa-moa</t>
  </si>
  <si>
    <t>Xây-xen</t>
  </si>
  <si>
    <t>Lúc-xăm-bua</t>
  </si>
  <si>
    <t>32. Xuất, nhập khẩu dịch vụ</t>
  </si>
  <si>
    <t>50. Một số chỉ tiêu xã hội - môi trường</t>
  </si>
  <si>
    <t>Cả năm</t>
  </si>
  <si>
    <t>Tai nạn giao thông</t>
  </si>
  <si>
    <t>Tổng số vụ tai nạn giao thông</t>
  </si>
  <si>
    <t>Vụ</t>
  </si>
  <si>
    <t>Số người chết</t>
  </si>
  <si>
    <t>Người</t>
  </si>
  <si>
    <t>Số người bị thương</t>
  </si>
  <si>
    <t>Cháy, nổ</t>
  </si>
  <si>
    <t>Số vụ cháy, nổ</t>
  </si>
  <si>
    <t>Tổng giá trị thiệt hại</t>
  </si>
  <si>
    <t>Vi phạm môi trường</t>
  </si>
  <si>
    <t>Số vụ vi phạm môi trường</t>
  </si>
  <si>
    <t>Số vụ vi phạm môi trường đã xử lý</t>
  </si>
  <si>
    <t>Số tiền xử phạt</t>
  </si>
  <si>
    <t>Thiệt hại do thiên tai</t>
  </si>
  <si>
    <t>Số người chết, mất tích</t>
  </si>
  <si>
    <t>Diện tích lúa hư hại</t>
  </si>
  <si>
    <t>Ha</t>
  </si>
  <si>
    <t>Diện tích hoa màu hư hại</t>
  </si>
  <si>
    <t>Nhà bị sập đổ, cuốn trôi</t>
  </si>
  <si>
    <t>Cái</t>
  </si>
  <si>
    <t>Nhà bị ngập, sạt lở, tốc mái</t>
  </si>
  <si>
    <t>6. Sản lượng một số cây lâu năm chủ yếu</t>
  </si>
  <si>
    <t>Cây ăn quả</t>
  </si>
  <si>
    <t>Xoài</t>
  </si>
  <si>
    <t>Cam</t>
  </si>
  <si>
    <t>Nhãn</t>
  </si>
  <si>
    <t>Chôm chôm</t>
  </si>
  <si>
    <t>Thanh long</t>
  </si>
  <si>
    <t>Sầu riêng</t>
  </si>
  <si>
    <t>Cây công nghiệp lâu năm</t>
  </si>
  <si>
    <t>Chè (Búp tươi)</t>
  </si>
  <si>
    <t>Cà phê (Nhân)</t>
  </si>
  <si>
    <t>Cao su (Mủ khô)</t>
  </si>
  <si>
    <t>Dừa</t>
  </si>
  <si>
    <t>Hồ tiêu</t>
  </si>
  <si>
    <t>Điều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</si>
</sst>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.0"/>
    <numFmt numFmtId="165" formatCode="0.0;[Red]0.0"/>
    <numFmt numFmtId="166" formatCode="###\ ###.0"/>
    <numFmt numFmtId="167" formatCode="_(* #,##0.0_);_(* \(#,##0.0\);_(* &quot;-&quot;??_);_(@_)"/>
    <numFmt numFmtId="168" formatCode="#,##0.0;\-#,##0.0"/>
    <numFmt numFmtId="169" formatCode="_(* #,##0_);_(* \(#,##0\);_(* &quot;-&quot;??_);_(@_)"/>
    <numFmt numFmtId="170" formatCode="_-* #,##0_-;\-* #,##0_-;_-* &quot;-&quot;_-;_-@_-"/>
    <numFmt numFmtId="171" formatCode="_-* #,##0.00_-;\-* #,##0.00_-;_-* &quot;-&quot;??_-;_-@_-"/>
    <numFmt numFmtId="172" formatCode="_-&quot;$&quot;* #.##0_-;\-&quot;$&quot;* #.##0_-;_-&quot;$&quot;* &quot;-&quot;_-;_-@_-"/>
    <numFmt numFmtId="173" formatCode="#,##0.0000_);\(#,##0.0000\)"/>
    <numFmt numFmtId="174" formatCode="_(* #,##0.000_);_(* \(#,##0.000\);_(* &quot;-&quot;??_);_(@_)"/>
    <numFmt numFmtId="175" formatCode="0.000"/>
    <numFmt numFmtId="176" formatCode="0.0000"/>
    <numFmt numFmtId="177" formatCode="0.0%"/>
    <numFmt numFmtId="178" formatCode="0.00000"/>
  </numFmts>
  <fonts count="1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sz val="12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name val=".Vn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2"/>
      <color theme="1"/>
      <name val="Calibri"/>
      <family val="2"/>
      <scheme val="minor"/>
    </font>
    <font>
      <sz val="9.5"/>
      <name val="Arial"/>
      <family val="2"/>
    </font>
    <font>
      <b/>
      <sz val="13"/>
      <name val="Arial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i/>
      <sz val="9.5"/>
      <name val="Arial"/>
      <family val="2"/>
    </font>
    <font>
      <sz val="11"/>
      <name val="Arial"/>
      <family val="2"/>
    </font>
    <font>
      <sz val="12"/>
      <name val=".Vn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0"/>
      <name val="Arial"/>
      <family val="2"/>
    </font>
    <font>
      <sz val="14"/>
      <color theme="1"/>
      <name val="Times New Roman"/>
      <family val="2"/>
    </font>
    <font>
      <sz val="10"/>
      <name val=".VnArial"/>
      <family val="2"/>
    </font>
    <font>
      <sz val="11"/>
      <color indexed="8"/>
      <name val="Calibri"/>
      <family val="2"/>
    </font>
    <font>
      <b/>
      <i/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theme="1"/>
      <name val="Arial"/>
      <family val="2"/>
    </font>
    <font>
      <sz val="13"/>
      <name val=".VnTime"/>
      <family val="2"/>
    </font>
    <font>
      <sz val="10"/>
      <color indexed="8"/>
      <name val="Arial"/>
      <family val="2"/>
      <charset val="163"/>
    </font>
    <font>
      <sz val="9"/>
      <color indexed="8"/>
      <name val="Arial"/>
      <family val="2"/>
    </font>
    <font>
      <sz val="9"/>
      <color theme="1"/>
      <name val="Arial"/>
      <family val="2"/>
    </font>
    <font>
      <i/>
      <sz val="9"/>
      <name val="Arial"/>
      <family val="2"/>
    </font>
    <font>
      <b/>
      <sz val="9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Arial"/>
      <family val="2"/>
      <charset val="163"/>
    </font>
    <font>
      <vertAlign val="superscript"/>
      <sz val="9"/>
      <name val="Arial"/>
      <family val="2"/>
    </font>
    <font>
      <sz val="11"/>
      <color theme="1"/>
      <name val="Calibri"/>
      <family val="2"/>
      <charset val="163"/>
      <scheme val="minor"/>
    </font>
    <font>
      <vertAlign val="superscript"/>
      <sz val="9.5"/>
      <name val="Arial"/>
      <family val="2"/>
    </font>
    <font>
      <sz val="9.5"/>
      <color indexed="8"/>
      <name val="Arial"/>
      <family val="2"/>
    </font>
    <font>
      <sz val="14"/>
      <color indexed="8"/>
      <name val="Times New Roman"/>
      <family val="2"/>
    </font>
    <font>
      <sz val="9"/>
      <color indexed="8"/>
      <name val="Times New Roman"/>
      <family val="2"/>
    </font>
    <font>
      <b/>
      <sz val="9.5"/>
      <color theme="1"/>
      <name val="Arial"/>
      <family val="2"/>
    </font>
    <font>
      <sz val="9.5"/>
      <color theme="1"/>
      <name val="Arial"/>
      <family val="2"/>
    </font>
    <font>
      <sz val="10"/>
      <color theme="1"/>
      <name val="Arial"/>
      <family val="2"/>
    </font>
    <font>
      <sz val="12"/>
      <name val="VNTime"/>
    </font>
    <font>
      <b/>
      <i/>
      <sz val="10"/>
      <color indexed="8"/>
      <name val="Arial"/>
      <family val="2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3"/>
      <name val=".VnArial"/>
      <family val="2"/>
    </font>
    <font>
      <b/>
      <sz val="12"/>
      <name val=".VnTime"/>
      <family val="2"/>
    </font>
    <font>
      <b/>
      <sz val="10"/>
      <name val="Arial"/>
      <family val="2"/>
      <charset val="163"/>
    </font>
    <font>
      <sz val="11"/>
      <name val="Times New Roman"/>
      <family val="1"/>
    </font>
    <font>
      <sz val="11.5"/>
      <name val="Times New Roman"/>
      <family val="1"/>
    </font>
    <font>
      <sz val="10"/>
      <name val="Times New Roman"/>
      <family val="1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.5"/>
      <color theme="1"/>
      <name val="Times New Roman"/>
      <family val="1"/>
    </font>
    <font>
      <sz val="11.5"/>
      <color theme="1"/>
      <name val=".VnTime"/>
      <family val="2"/>
    </font>
    <font>
      <sz val="9.5"/>
      <name val="Times New Roman"/>
      <family val="1"/>
    </font>
    <font>
      <sz val="11.5"/>
      <name val=".VnTime"/>
      <family val="2"/>
    </font>
    <font>
      <sz val="11.5"/>
      <name val="Arial"/>
      <family val="2"/>
    </font>
    <font>
      <b/>
      <sz val="11.5"/>
      <name val="Arial"/>
      <family val="2"/>
    </font>
    <font>
      <sz val="9"/>
      <color indexed="9"/>
      <name val="Arial"/>
      <family val="2"/>
    </font>
    <font>
      <i/>
      <vertAlign val="superscript"/>
      <sz val="9"/>
      <name val="Arial"/>
      <family val="2"/>
    </font>
    <font>
      <b/>
      <i/>
      <sz val="13"/>
      <name val="Arial"/>
      <family val="2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color theme="1"/>
      <name val="Times New Roman"/>
      <family val="1"/>
    </font>
    <font>
      <b/>
      <vertAlign val="superscript"/>
      <sz val="12"/>
      <name val="Arial"/>
      <family val="2"/>
    </font>
    <font>
      <sz val="10"/>
      <name val=".VnTime"/>
      <family val="2"/>
    </font>
    <font>
      <vertAlign val="superscript"/>
      <sz val="10"/>
      <color theme="1"/>
      <name val="Arial"/>
      <family val="2"/>
    </font>
    <font>
      <b/>
      <sz val="11"/>
      <name val="Times New Roman"/>
      <family val="1"/>
    </font>
    <font>
      <b/>
      <sz val="9.5"/>
      <name val="Arial"/>
      <family val="2"/>
    </font>
    <font>
      <b/>
      <sz val="13"/>
      <name val=".Vn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9.5"/>
      <color rgb="FF000000"/>
      <name val="Arial"/>
      <family val="2"/>
    </font>
    <font>
      <b/>
      <sz val="9"/>
      <color rgb="FF000000"/>
      <name val="Arial"/>
      <family val="2"/>
    </font>
    <font>
      <b/>
      <i/>
      <sz val="9.5"/>
      <color theme="1"/>
      <name val="Arial"/>
      <family val="2"/>
    </font>
    <font>
      <b/>
      <i/>
      <sz val="9"/>
      <color theme="1"/>
      <name val="Arial"/>
      <family val="2"/>
    </font>
    <font>
      <i/>
      <sz val="9.5"/>
      <color theme="1"/>
      <name val="Arial"/>
      <family val="2"/>
    </font>
    <font>
      <sz val="10"/>
      <color rgb="FF00000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vertAlign val="superscript"/>
      <sz val="12"/>
      <color indexed="8"/>
      <name val="Arial"/>
      <family val="2"/>
    </font>
    <font>
      <vertAlign val="superscript"/>
      <sz val="10"/>
      <color indexed="8"/>
      <name val="Arial"/>
      <family val="2"/>
    </font>
    <font>
      <b/>
      <i/>
      <sz val="10"/>
      <name val=".VnArial"/>
      <family val="2"/>
    </font>
    <font>
      <b/>
      <sz val="12"/>
      <color theme="1"/>
      <name val="Calibri"/>
      <family val="2"/>
      <scheme val="minor"/>
    </font>
    <font>
      <b/>
      <i/>
      <sz val="9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0">
    <xf numFmtId="0" fontId="0" fillId="0" borderId="0"/>
    <xf numFmtId="0" fontId="2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2" fillId="0" borderId="0"/>
    <xf numFmtId="0" fontId="22" fillId="0" borderId="0"/>
    <xf numFmtId="0" fontId="8" fillId="0" borderId="0"/>
    <xf numFmtId="0" fontId="2" fillId="0" borderId="0"/>
    <xf numFmtId="0" fontId="8" fillId="0" borderId="0"/>
    <xf numFmtId="0" fontId="1" fillId="0" borderId="0">
      <alignment vertical="center"/>
    </xf>
    <xf numFmtId="0" fontId="8" fillId="0" borderId="0"/>
    <xf numFmtId="43" fontId="8" fillId="0" borderId="0" applyFont="0" applyFill="0" applyBorder="0" applyAlignment="0" applyProtection="0"/>
    <xf numFmtId="0" fontId="32" fillId="0" borderId="0"/>
    <xf numFmtId="0" fontId="34" fillId="0" borderId="0"/>
    <xf numFmtId="0" fontId="39" fillId="0" borderId="0"/>
    <xf numFmtId="43" fontId="8" fillId="0" borderId="0" applyFont="0" applyFill="0" applyBorder="0" applyAlignment="0" applyProtection="0"/>
    <xf numFmtId="0" fontId="40" fillId="0" borderId="0"/>
    <xf numFmtId="0" fontId="8" fillId="0" borderId="0"/>
    <xf numFmtId="0" fontId="45" fillId="0" borderId="0"/>
    <xf numFmtId="0" fontId="47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49" fillId="0" borderId="0"/>
    <xf numFmtId="0" fontId="33" fillId="0" borderId="0" applyAlignment="0">
      <alignment vertical="top" wrapText="1"/>
      <protection locked="0"/>
    </xf>
    <xf numFmtId="0" fontId="34" fillId="0" borderId="0"/>
    <xf numFmtId="0" fontId="5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2" fillId="0" borderId="0"/>
    <xf numFmtId="0" fontId="45" fillId="0" borderId="0"/>
    <xf numFmtId="0" fontId="57" fillId="0" borderId="0"/>
    <xf numFmtId="0" fontId="8" fillId="0" borderId="0"/>
    <xf numFmtId="0" fontId="52" fillId="0" borderId="0"/>
    <xf numFmtId="0" fontId="32" fillId="0" borderId="0"/>
    <xf numFmtId="0" fontId="2" fillId="0" borderId="0"/>
    <xf numFmtId="0" fontId="2" fillId="0" borderId="0"/>
    <xf numFmtId="0" fontId="59" fillId="0" borderId="0"/>
    <xf numFmtId="0" fontId="2" fillId="0" borderId="0"/>
    <xf numFmtId="0" fontId="6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4" fillId="0" borderId="0"/>
    <xf numFmtId="0" fontId="1" fillId="0" borderId="0"/>
    <xf numFmtId="0" fontId="8" fillId="0" borderId="0"/>
    <xf numFmtId="0" fontId="45" fillId="0" borderId="0"/>
    <xf numFmtId="0" fontId="1" fillId="0" borderId="0"/>
    <xf numFmtId="0" fontId="2" fillId="0" borderId="0"/>
    <xf numFmtId="0" fontId="8" fillId="0" borderId="0"/>
    <xf numFmtId="43" fontId="1" fillId="0" borderId="0" applyFont="0" applyFill="0" applyBorder="0" applyAlignment="0" applyProtection="0"/>
    <xf numFmtId="0" fontId="49" fillId="0" borderId="0"/>
    <xf numFmtId="0" fontId="34" fillId="0" borderId="0"/>
    <xf numFmtId="0" fontId="49" fillId="0" borderId="0"/>
    <xf numFmtId="0" fontId="1" fillId="0" borderId="0"/>
    <xf numFmtId="0" fontId="32" fillId="0" borderId="0"/>
    <xf numFmtId="0" fontId="2" fillId="0" borderId="0"/>
    <xf numFmtId="0" fontId="8" fillId="0" borderId="0"/>
    <xf numFmtId="0" fontId="49" fillId="0" borderId="0"/>
    <xf numFmtId="170" fontId="2" fillId="0" borderId="0" applyFont="0" applyFill="0" applyBorder="0" applyAlignment="0" applyProtection="0"/>
    <xf numFmtId="0" fontId="8" fillId="0" borderId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8" fillId="0" borderId="0"/>
    <xf numFmtId="0" fontId="8" fillId="0" borderId="0"/>
    <xf numFmtId="0" fontId="91" fillId="0" borderId="0"/>
    <xf numFmtId="0" fontId="1" fillId="0" borderId="0"/>
    <xf numFmtId="0" fontId="91" fillId="0" borderId="0"/>
    <xf numFmtId="0" fontId="1" fillId="0" borderId="0"/>
    <xf numFmtId="0" fontId="2" fillId="0" borderId="0"/>
    <xf numFmtId="0" fontId="34" fillId="0" borderId="0"/>
    <xf numFmtId="0" fontId="2" fillId="0" borderId="0"/>
    <xf numFmtId="0" fontId="34" fillId="0" borderId="0"/>
    <xf numFmtId="0" fontId="2" fillId="0" borderId="0"/>
    <xf numFmtId="0" fontId="8" fillId="0" borderId="0"/>
    <xf numFmtId="0" fontId="56" fillId="0" borderId="0"/>
    <xf numFmtId="0" fontId="1" fillId="0" borderId="0"/>
    <xf numFmtId="0" fontId="1" fillId="0" borderId="0"/>
    <xf numFmtId="0" fontId="59" fillId="0" borderId="0"/>
    <xf numFmtId="9" fontId="5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8" fillId="0" borderId="0"/>
    <xf numFmtId="0" fontId="34" fillId="0" borderId="0"/>
    <xf numFmtId="0" fontId="1" fillId="0" borderId="0"/>
    <xf numFmtId="0" fontId="34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 applyFont="0" applyFill="0" applyBorder="0" applyAlignment="0" applyProtection="0"/>
    <xf numFmtId="0" fontId="1" fillId="0" borderId="0"/>
    <xf numFmtId="0" fontId="91" fillId="0" borderId="0"/>
  </cellStyleXfs>
  <cellXfs count="970">
    <xf numFmtId="0" fontId="0" fillId="0" borderId="0" xfId="0"/>
    <xf numFmtId="0" fontId="3" fillId="0" borderId="0" xfId="1" applyFont="1" applyAlignment="1">
      <alignment horizontal="left"/>
    </xf>
    <xf numFmtId="0" fontId="4" fillId="0" borderId="0" xfId="1" applyFont="1"/>
    <xf numFmtId="0" fontId="5" fillId="0" borderId="0" xfId="1" applyFont="1" applyAlignment="1">
      <alignment horizontal="left"/>
    </xf>
    <xf numFmtId="0" fontId="6" fillId="0" borderId="0" xfId="1" applyFont="1"/>
    <xf numFmtId="0" fontId="2" fillId="0" borderId="0" xfId="1"/>
    <xf numFmtId="0" fontId="7" fillId="0" borderId="0" xfId="1" applyFont="1"/>
    <xf numFmtId="0" fontId="8" fillId="0" borderId="0" xfId="1" applyFont="1"/>
    <xf numFmtId="0" fontId="8" fillId="0" borderId="1" xfId="1" applyFont="1" applyBorder="1"/>
    <xf numFmtId="0" fontId="9" fillId="0" borderId="0" xfId="1" applyFont="1" applyAlignment="1">
      <alignment horizontal="right"/>
    </xf>
    <xf numFmtId="0" fontId="8" fillId="0" borderId="2" xfId="1" applyFont="1" applyBorder="1"/>
    <xf numFmtId="0" fontId="8" fillId="0" borderId="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10" fillId="0" borderId="0" xfId="1" applyFont="1"/>
    <xf numFmtId="0" fontId="10" fillId="0" borderId="0" xfId="1" applyFont="1" applyAlignment="1">
      <alignment horizontal="center"/>
    </xf>
    <xf numFmtId="164" fontId="11" fillId="0" borderId="0" xfId="2" applyNumberFormat="1" applyFont="1" applyAlignment="1">
      <alignment horizontal="right" indent="3"/>
    </xf>
    <xf numFmtId="164" fontId="11" fillId="0" borderId="0" xfId="1" applyNumberFormat="1" applyFont="1" applyAlignment="1">
      <alignment horizontal="right" indent="4"/>
    </xf>
    <xf numFmtId="164" fontId="8" fillId="0" borderId="0" xfId="2" applyNumberFormat="1" applyAlignment="1">
      <alignment horizontal="right" indent="3"/>
    </xf>
    <xf numFmtId="164" fontId="8" fillId="0" borderId="0" xfId="2" applyNumberFormat="1" applyAlignment="1">
      <alignment horizontal="right" indent="2"/>
    </xf>
    <xf numFmtId="164" fontId="8" fillId="0" borderId="0" xfId="1" applyNumberFormat="1" applyFont="1" applyAlignment="1">
      <alignment horizontal="right" indent="4"/>
    </xf>
    <xf numFmtId="0" fontId="11" fillId="0" borderId="0" xfId="1" applyFont="1"/>
    <xf numFmtId="164" fontId="2" fillId="0" borderId="0" xfId="1" applyNumberFormat="1"/>
    <xf numFmtId="0" fontId="3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0" fontId="8" fillId="0" borderId="0" xfId="3" applyFont="1" applyAlignment="1">
      <alignment vertical="center"/>
    </xf>
    <xf numFmtId="0" fontId="11" fillId="0" borderId="0" xfId="3" applyFont="1" applyAlignment="1">
      <alignment horizontal="center"/>
    </xf>
    <xf numFmtId="0" fontId="8" fillId="0" borderId="0" xfId="3" applyFont="1"/>
    <xf numFmtId="0" fontId="11" fillId="0" borderId="2" xfId="4" applyFont="1" applyBorder="1" applyAlignment="1">
      <alignment horizontal="center"/>
    </xf>
    <xf numFmtId="0" fontId="14" fillId="0" borderId="3" xfId="1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 wrapText="1"/>
    </xf>
    <xf numFmtId="164" fontId="11" fillId="0" borderId="0" xfId="5" applyNumberFormat="1" applyFont="1" applyAlignment="1">
      <alignment horizontal="left"/>
    </xf>
    <xf numFmtId="164" fontId="12" fillId="0" borderId="0" xfId="5" applyNumberFormat="1" applyFont="1"/>
    <xf numFmtId="0" fontId="8" fillId="0" borderId="0" xfId="2"/>
    <xf numFmtId="164" fontId="8" fillId="0" borderId="0" xfId="3" applyNumberFormat="1" applyFont="1" applyAlignment="1">
      <alignment horizontal="right" indent="2"/>
    </xf>
    <xf numFmtId="164" fontId="8" fillId="0" borderId="0" xfId="3" applyNumberFormat="1" applyFont="1"/>
    <xf numFmtId="0" fontId="8" fillId="0" borderId="0" xfId="2" applyAlignment="1">
      <alignment horizontal="left"/>
    </xf>
    <xf numFmtId="2" fontId="8" fillId="0" borderId="0" xfId="3" applyNumberFormat="1" applyFont="1" applyAlignment="1">
      <alignment horizontal="right" indent="2"/>
    </xf>
    <xf numFmtId="164" fontId="9" fillId="0" borderId="0" xfId="5" applyNumberFormat="1" applyFont="1" applyAlignment="1">
      <alignment horizontal="left"/>
    </xf>
    <xf numFmtId="164" fontId="11" fillId="0" borderId="0" xfId="3" applyNumberFormat="1" applyFont="1" applyAlignment="1">
      <alignment horizontal="right" indent="2"/>
    </xf>
    <xf numFmtId="164" fontId="8" fillId="0" borderId="0" xfId="5" applyNumberFormat="1"/>
    <xf numFmtId="164" fontId="11" fillId="0" borderId="0" xfId="1" applyNumberFormat="1" applyFont="1"/>
    <xf numFmtId="0" fontId="12" fillId="0" borderId="0" xfId="5" applyFont="1"/>
    <xf numFmtId="0" fontId="3" fillId="0" borderId="0" xfId="2" applyFont="1"/>
    <xf numFmtId="0" fontId="15" fillId="0" borderId="0" xfId="2" applyFont="1"/>
    <xf numFmtId="0" fontId="11" fillId="0" borderId="0" xfId="2" applyFont="1" applyAlignment="1">
      <alignment horizontal="center"/>
    </xf>
    <xf numFmtId="0" fontId="14" fillId="0" borderId="0" xfId="1" applyFont="1" applyAlignment="1">
      <alignment horizontal="center" vertical="justify"/>
    </xf>
    <xf numFmtId="0" fontId="8" fillId="0" borderId="2" xfId="2" applyBorder="1" applyAlignment="1">
      <alignment horizontal="center" vertical="center"/>
    </xf>
    <xf numFmtId="164" fontId="8" fillId="0" borderId="0" xfId="2" applyNumberFormat="1" applyAlignment="1">
      <alignment horizontal="right"/>
    </xf>
    <xf numFmtId="0" fontId="11" fillId="0" borderId="0" xfId="2" applyFont="1"/>
    <xf numFmtId="0" fontId="8" fillId="0" borderId="0" xfId="2" applyAlignment="1">
      <alignment horizontal="right" indent="3"/>
    </xf>
    <xf numFmtId="164" fontId="8" fillId="0" borderId="0" xfId="2" applyNumberFormat="1" applyAlignment="1">
      <alignment horizontal="right" indent="5"/>
    </xf>
    <xf numFmtId="0" fontId="16" fillId="0" borderId="4" xfId="0" applyFont="1" applyBorder="1" applyAlignment="1">
      <alignment horizontal="right"/>
    </xf>
    <xf numFmtId="0" fontId="17" fillId="0" borderId="4" xfId="0" applyFont="1" applyBorder="1" applyAlignment="1">
      <alignment horizontal="right"/>
    </xf>
    <xf numFmtId="0" fontId="18" fillId="0" borderId="4" xfId="0" applyFont="1" applyBorder="1" applyAlignment="1">
      <alignment horizontal="right"/>
    </xf>
    <xf numFmtId="0" fontId="19" fillId="0" borderId="4" xfId="0" applyFont="1" applyBorder="1" applyAlignment="1">
      <alignment horizontal="right"/>
    </xf>
    <xf numFmtId="4" fontId="16" fillId="0" borderId="4" xfId="0" applyNumberFormat="1" applyFont="1" applyBorder="1" applyAlignment="1">
      <alignment horizontal="right"/>
    </xf>
    <xf numFmtId="4" fontId="17" fillId="0" borderId="4" xfId="0" applyNumberFormat="1" applyFont="1" applyBorder="1" applyAlignment="1">
      <alignment horizontal="right"/>
    </xf>
    <xf numFmtId="0" fontId="0" fillId="0" borderId="4" xfId="0" applyBorder="1"/>
    <xf numFmtId="0" fontId="17" fillId="0" borderId="4" xfId="0" applyFont="1" applyBorder="1"/>
    <xf numFmtId="164" fontId="8" fillId="0" borderId="0" xfId="3" applyNumberFormat="1" applyFont="1" applyAlignment="1">
      <alignment horizontal="right" indent="3"/>
    </xf>
    <xf numFmtId="164" fontId="8" fillId="0" borderId="0" xfId="3" applyNumberFormat="1" applyFont="1" applyAlignment="1">
      <alignment horizontal="center"/>
    </xf>
    <xf numFmtId="0" fontId="16" fillId="0" borderId="4" xfId="0" applyFont="1" applyBorder="1"/>
    <xf numFmtId="0" fontId="3" fillId="0" borderId="0" xfId="1" applyFont="1"/>
    <xf numFmtId="0" fontId="15" fillId="0" borderId="0" xfId="1" applyFont="1"/>
    <xf numFmtId="0" fontId="14" fillId="0" borderId="0" xfId="1" applyFont="1"/>
    <xf numFmtId="164" fontId="20" fillId="0" borderId="0" xfId="2" applyNumberFormat="1" applyFont="1" applyAlignment="1">
      <alignment horizontal="right"/>
    </xf>
    <xf numFmtId="164" fontId="8" fillId="0" borderId="0" xfId="2" applyNumberFormat="1" applyAlignment="1">
      <alignment horizontal="center" vertical="center"/>
    </xf>
    <xf numFmtId="0" fontId="8" fillId="0" borderId="0" xfId="6" applyFont="1"/>
    <xf numFmtId="0" fontId="21" fillId="0" borderId="0" xfId="6" applyFont="1"/>
    <xf numFmtId="164" fontId="11" fillId="0" borderId="0" xfId="6" applyNumberFormat="1" applyFont="1"/>
    <xf numFmtId="164" fontId="11" fillId="0" borderId="0" xfId="7" applyNumberFormat="1" applyFont="1"/>
    <xf numFmtId="164" fontId="11" fillId="0" borderId="0" xfId="2" applyNumberFormat="1" applyFont="1" applyAlignment="1">
      <alignment horizontal="center" vertical="center"/>
    </xf>
    <xf numFmtId="164" fontId="8" fillId="0" borderId="0" xfId="2" applyNumberFormat="1" applyAlignment="1">
      <alignment horizontal="right" wrapText="1" indent="3"/>
    </xf>
    <xf numFmtId="164" fontId="8" fillId="0" borderId="0" xfId="2" applyNumberFormat="1" applyAlignment="1">
      <alignment horizontal="right" indent="4"/>
    </xf>
    <xf numFmtId="164" fontId="8" fillId="0" borderId="0" xfId="2" applyNumberFormat="1"/>
    <xf numFmtId="0" fontId="23" fillId="0" borderId="0" xfId="2" applyFont="1" applyAlignment="1">
      <alignment horizontal="left" wrapText="1" indent="1"/>
    </xf>
    <xf numFmtId="164" fontId="24" fillId="0" borderId="0" xfId="2" applyNumberFormat="1" applyFont="1"/>
    <xf numFmtId="0" fontId="11" fillId="0" borderId="0" xfId="6" applyFont="1"/>
    <xf numFmtId="164" fontId="25" fillId="0" borderId="0" xfId="2" applyNumberFormat="1" applyFont="1" applyAlignment="1">
      <alignment horizontal="right" wrapText="1" indent="6"/>
    </xf>
    <xf numFmtId="165" fontId="8" fillId="0" borderId="0" xfId="2" applyNumberFormat="1" applyAlignment="1">
      <alignment horizontal="right" wrapText="1" indent="3"/>
    </xf>
    <xf numFmtId="0" fontId="3" fillId="0" borderId="0" xfId="8" applyFont="1"/>
    <xf numFmtId="0" fontId="26" fillId="0" borderId="0" xfId="0" applyFont="1"/>
    <xf numFmtId="0" fontId="11" fillId="0" borderId="2" xfId="8" applyFont="1" applyBorder="1" applyAlignment="1">
      <alignment horizontal="center"/>
    </xf>
    <xf numFmtId="0" fontId="7" fillId="0" borderId="2" xfId="9" applyFont="1" applyBorder="1" applyAlignment="1">
      <alignment horizontal="center" vertical="center" wrapText="1"/>
    </xf>
    <xf numFmtId="0" fontId="27" fillId="0" borderId="0" xfId="0" applyFont="1"/>
    <xf numFmtId="0" fontId="11" fillId="0" borderId="0" xfId="8" applyFont="1" applyAlignment="1">
      <alignment horizontal="center"/>
    </xf>
    <xf numFmtId="0" fontId="7" fillId="0" borderId="0" xfId="9" applyFont="1" applyAlignment="1">
      <alignment horizontal="center" vertical="center" wrapText="1"/>
    </xf>
    <xf numFmtId="0" fontId="11" fillId="0" borderId="0" xfId="8" applyFont="1" applyAlignment="1">
      <alignment horizontal="center" vertical="center"/>
    </xf>
    <xf numFmtId="0" fontId="8" fillId="0" borderId="0" xfId="8" applyAlignment="1">
      <alignment horizontal="center" vertical="center"/>
    </xf>
    <xf numFmtId="0" fontId="7" fillId="0" borderId="1" xfId="9" applyFont="1" applyBorder="1" applyAlignment="1">
      <alignment horizontal="center" vertical="center" wrapText="1"/>
    </xf>
    <xf numFmtId="0" fontId="28" fillId="0" borderId="0" xfId="10" applyFont="1"/>
    <xf numFmtId="0" fontId="8" fillId="0" borderId="0" xfId="1" applyFont="1" applyAlignment="1">
      <alignment horizontal="left" wrapText="1" indent="1"/>
    </xf>
    <xf numFmtId="164" fontId="14" fillId="0" borderId="0" xfId="8" applyNumberFormat="1" applyFont="1"/>
    <xf numFmtId="164" fontId="14" fillId="0" borderId="0" xfId="8" applyNumberFormat="1" applyFont="1" applyAlignment="1">
      <alignment horizontal="left" indent="1"/>
    </xf>
    <xf numFmtId="0" fontId="8" fillId="0" borderId="0" xfId="8" applyAlignment="1">
      <alignment horizontal="left" wrapText="1" indent="1"/>
    </xf>
    <xf numFmtId="0" fontId="29" fillId="0" borderId="0" xfId="0" applyFont="1"/>
    <xf numFmtId="0" fontId="8" fillId="0" borderId="0" xfId="10" applyAlignment="1">
      <alignment horizontal="left" indent="1"/>
    </xf>
    <xf numFmtId="0" fontId="11" fillId="0" borderId="0" xfId="11" applyFont="1" applyAlignment="1"/>
    <xf numFmtId="166" fontId="9" fillId="0" borderId="0" xfId="12" applyNumberFormat="1" applyFont="1"/>
    <xf numFmtId="0" fontId="8" fillId="0" borderId="0" xfId="11" applyFont="1" applyAlignment="1">
      <alignment horizontal="left" indent="1"/>
    </xf>
    <xf numFmtId="166" fontId="8" fillId="0" borderId="0" xfId="12" applyNumberFormat="1"/>
    <xf numFmtId="0" fontId="8" fillId="0" borderId="0" xfId="11" applyFont="1" applyAlignment="1">
      <alignment horizontal="left" indent="2"/>
    </xf>
    <xf numFmtId="166" fontId="11" fillId="0" borderId="0" xfId="12" applyNumberFormat="1" applyFont="1"/>
    <xf numFmtId="0" fontId="15" fillId="0" borderId="0" xfId="8" applyFont="1"/>
    <xf numFmtId="0" fontId="8" fillId="0" borderId="0" xfId="8"/>
    <xf numFmtId="0" fontId="8" fillId="0" borderId="0" xfId="8" applyAlignment="1">
      <alignment wrapText="1"/>
    </xf>
    <xf numFmtId="164" fontId="8" fillId="0" borderId="0" xfId="8" applyNumberFormat="1" applyAlignment="1">
      <alignment horizontal="right"/>
    </xf>
    <xf numFmtId="164" fontId="8" fillId="0" borderId="0" xfId="8" applyNumberFormat="1"/>
    <xf numFmtId="164" fontId="27" fillId="0" borderId="0" xfId="0" applyNumberFormat="1" applyFont="1"/>
    <xf numFmtId="0" fontId="8" fillId="0" borderId="0" xfId="1" applyFont="1" applyAlignment="1">
      <alignment wrapText="1"/>
    </xf>
    <xf numFmtId="164" fontId="14" fillId="0" borderId="0" xfId="10" applyNumberFormat="1" applyFont="1" applyAlignment="1">
      <alignment horizontal="left" indent="2"/>
    </xf>
    <xf numFmtId="0" fontId="3" fillId="0" borderId="0" xfId="4" applyFont="1"/>
    <xf numFmtId="0" fontId="4" fillId="0" borderId="0" xfId="4" applyFont="1"/>
    <xf numFmtId="0" fontId="8" fillId="0" borderId="0" xfId="4"/>
    <xf numFmtId="0" fontId="4" fillId="0" borderId="0" xfId="4" applyFont="1" applyAlignment="1">
      <alignment horizontal="center"/>
    </xf>
    <xf numFmtId="0" fontId="8" fillId="0" borderId="0" xfId="4" applyAlignment="1">
      <alignment horizontal="center"/>
    </xf>
    <xf numFmtId="0" fontId="9" fillId="0" borderId="0" xfId="4" applyFont="1" applyAlignment="1">
      <alignment horizontal="right"/>
    </xf>
    <xf numFmtId="0" fontId="8" fillId="0" borderId="0" xfId="4" applyAlignment="1">
      <alignment vertical="center"/>
    </xf>
    <xf numFmtId="0" fontId="8" fillId="0" borderId="0" xfId="4" applyAlignment="1">
      <alignment horizontal="left"/>
    </xf>
    <xf numFmtId="164" fontId="28" fillId="0" borderId="0" xfId="14" applyNumberFormat="1" applyFont="1" applyAlignment="1">
      <alignment horizontal="right" indent="3"/>
    </xf>
    <xf numFmtId="0" fontId="11" fillId="0" borderId="0" xfId="4" applyFont="1" applyAlignment="1">
      <alignment horizontal="left"/>
    </xf>
    <xf numFmtId="164" fontId="11" fillId="0" borderId="0" xfId="10" applyNumberFormat="1" applyFont="1" applyAlignment="1">
      <alignment horizontal="right" indent="1"/>
    </xf>
    <xf numFmtId="0" fontId="8" fillId="0" borderId="0" xfId="4" applyAlignment="1">
      <alignment horizontal="left" indent="2"/>
    </xf>
    <xf numFmtId="164" fontId="8" fillId="0" borderId="0" xfId="10" applyNumberFormat="1" applyAlignment="1">
      <alignment horizontal="right" indent="1"/>
    </xf>
    <xf numFmtId="0" fontId="11" fillId="0" borderId="0" xfId="1" applyFont="1" applyAlignment="1">
      <alignment horizontal="left" indent="1"/>
    </xf>
    <xf numFmtId="0" fontId="33" fillId="0" borderId="0" xfId="1" applyFont="1"/>
    <xf numFmtId="0" fontId="3" fillId="0" borderId="0" xfId="15" applyFont="1" applyAlignment="1">
      <alignment horizontal="left" wrapText="1"/>
    </xf>
    <xf numFmtId="0" fontId="7" fillId="0" borderId="0" xfId="15" applyFont="1"/>
    <xf numFmtId="0" fontId="3" fillId="0" borderId="0" xfId="15" applyFont="1" applyAlignment="1">
      <alignment horizontal="left"/>
    </xf>
    <xf numFmtId="0" fontId="4" fillId="0" borderId="0" xfId="15" applyFont="1"/>
    <xf numFmtId="0" fontId="7" fillId="0" borderId="0" xfId="15" applyFont="1" applyAlignment="1">
      <alignment horizontal="right"/>
    </xf>
    <xf numFmtId="0" fontId="35" fillId="0" borderId="1" xfId="15" applyFont="1" applyBorder="1" applyAlignment="1">
      <alignment horizontal="right"/>
    </xf>
    <xf numFmtId="0" fontId="36" fillId="0" borderId="2" xfId="15" applyFont="1" applyBorder="1" applyAlignment="1">
      <alignment vertical="center" wrapText="1"/>
    </xf>
    <xf numFmtId="0" fontId="7" fillId="0" borderId="2" xfId="15" applyFont="1" applyBorder="1" applyAlignment="1">
      <alignment horizontal="center" vertical="center" wrapText="1"/>
    </xf>
    <xf numFmtId="0" fontId="7" fillId="0" borderId="0" xfId="15" applyFont="1" applyAlignment="1">
      <alignment horizontal="center" vertical="center" wrapText="1"/>
    </xf>
    <xf numFmtId="0" fontId="7" fillId="0" borderId="0" xfId="15" applyFont="1" applyAlignment="1">
      <alignment vertical="center"/>
    </xf>
    <xf numFmtId="0" fontId="36" fillId="0" borderId="0" xfId="15" applyFont="1" applyAlignment="1">
      <alignment vertical="center" wrapText="1"/>
    </xf>
    <xf numFmtId="0" fontId="7" fillId="0" borderId="1" xfId="15" applyFont="1" applyBorder="1" applyAlignment="1">
      <alignment horizontal="center" vertical="center" wrapText="1"/>
    </xf>
    <xf numFmtId="0" fontId="37" fillId="0" borderId="0" xfId="15" applyFont="1" applyAlignment="1">
      <alignment wrapText="1"/>
    </xf>
    <xf numFmtId="164" fontId="38" fillId="0" borderId="0" xfId="0" applyNumberFormat="1" applyFont="1" applyAlignment="1">
      <alignment horizontal="right" wrapText="1" indent="2"/>
    </xf>
    <xf numFmtId="164" fontId="38" fillId="0" borderId="0" xfId="0" applyNumberFormat="1" applyFont="1" applyAlignment="1">
      <alignment horizontal="right" wrapText="1" indent="1"/>
    </xf>
    <xf numFmtId="164" fontId="7" fillId="0" borderId="0" xfId="15" applyNumberFormat="1" applyFont="1" applyAlignment="1">
      <alignment horizontal="center" vertical="center" wrapText="1"/>
    </xf>
    <xf numFmtId="0" fontId="11" fillId="0" borderId="0" xfId="16" applyFont="1" applyAlignment="1">
      <alignment horizontal="left"/>
    </xf>
    <xf numFmtId="167" fontId="38" fillId="0" borderId="0" xfId="17" applyNumberFormat="1" applyFont="1" applyBorder="1" applyAlignment="1">
      <alignment horizontal="right" wrapText="1" indent="2"/>
    </xf>
    <xf numFmtId="167" fontId="38" fillId="0" borderId="0" xfId="17" applyNumberFormat="1" applyFont="1" applyBorder="1" applyAlignment="1">
      <alignment horizontal="right" wrapText="1" indent="1"/>
    </xf>
    <xf numFmtId="0" fontId="36" fillId="0" borderId="0" xfId="15" applyFont="1" applyAlignment="1">
      <alignment horizontal="center" vertical="center" wrapText="1"/>
    </xf>
    <xf numFmtId="0" fontId="35" fillId="0" borderId="0" xfId="15" applyFont="1" applyAlignment="1">
      <alignment horizontal="center" vertical="center" wrapText="1"/>
    </xf>
    <xf numFmtId="0" fontId="41" fillId="0" borderId="0" xfId="18" applyFont="1" applyAlignment="1">
      <alignment horizontal="left" wrapText="1" indent="1"/>
    </xf>
    <xf numFmtId="167" fontId="42" fillId="0" borderId="0" xfId="17" applyNumberFormat="1" applyFont="1" applyBorder="1" applyAlignment="1">
      <alignment horizontal="right" wrapText="1" indent="2"/>
    </xf>
    <xf numFmtId="167" fontId="42" fillId="0" borderId="0" xfId="17" applyNumberFormat="1" applyFont="1" applyBorder="1" applyAlignment="1">
      <alignment horizontal="right" wrapText="1" indent="1"/>
    </xf>
    <xf numFmtId="0" fontId="36" fillId="0" borderId="0" xfId="15" applyFont="1"/>
    <xf numFmtId="0" fontId="11" fillId="0" borderId="0" xfId="15" applyFont="1" applyAlignment="1">
      <alignment horizontal="left" wrapText="1"/>
    </xf>
    <xf numFmtId="167" fontId="42" fillId="0" borderId="0" xfId="17" applyNumberFormat="1" applyFont="1" applyBorder="1" applyAlignment="1">
      <alignment horizontal="right" vertical="center" wrapText="1" indent="2"/>
    </xf>
    <xf numFmtId="167" fontId="42" fillId="0" borderId="0" xfId="17" applyNumberFormat="1" applyFont="1" applyBorder="1" applyAlignment="1">
      <alignment horizontal="right" vertical="center" wrapText="1" indent="1"/>
    </xf>
    <xf numFmtId="0" fontId="43" fillId="0" borderId="0" xfId="15" applyFont="1"/>
    <xf numFmtId="0" fontId="44" fillId="0" borderId="0" xfId="18" applyFont="1" applyAlignment="1">
      <alignment horizontal="left" vertical="center" wrapText="1"/>
    </xf>
    <xf numFmtId="164" fontId="36" fillId="0" borderId="0" xfId="19" applyNumberFormat="1" applyFont="1" applyAlignment="1">
      <alignment horizontal="right" vertical="center" wrapText="1" indent="2"/>
    </xf>
    <xf numFmtId="164" fontId="36" fillId="0" borderId="0" xfId="19" applyNumberFormat="1" applyFont="1" applyAlignment="1">
      <alignment horizontal="right" vertical="center" wrapText="1" indent="1"/>
    </xf>
    <xf numFmtId="0" fontId="35" fillId="0" borderId="0" xfId="15" applyFont="1" applyAlignment="1">
      <alignment horizontal="right"/>
    </xf>
    <xf numFmtId="0" fontId="36" fillId="0" borderId="2" xfId="15" applyFont="1" applyBorder="1" applyAlignment="1">
      <alignment horizontal="left"/>
    </xf>
    <xf numFmtId="0" fontId="7" fillId="0" borderId="0" xfId="15" applyFont="1" applyAlignment="1">
      <alignment horizontal="center" vertical="center"/>
    </xf>
    <xf numFmtId="164" fontId="38" fillId="0" borderId="0" xfId="19" applyNumberFormat="1" applyFont="1" applyAlignment="1">
      <alignment horizontal="right" wrapText="1" indent="2"/>
    </xf>
    <xf numFmtId="164" fontId="42" fillId="0" borderId="0" xfId="19" applyNumberFormat="1" applyFont="1" applyAlignment="1">
      <alignment horizontal="right" wrapText="1" indent="2"/>
    </xf>
    <xf numFmtId="164" fontId="36" fillId="0" borderId="0" xfId="19" applyNumberFormat="1" applyFont="1" applyAlignment="1">
      <alignment horizontal="right" wrapText="1" indent="2"/>
    </xf>
    <xf numFmtId="164" fontId="7" fillId="0" borderId="0" xfId="19" applyNumberFormat="1" applyFont="1" applyAlignment="1">
      <alignment horizontal="right" wrapText="1" indent="2"/>
    </xf>
    <xf numFmtId="167" fontId="38" fillId="0" borderId="0" xfId="17" applyNumberFormat="1" applyFont="1" applyBorder="1" applyAlignment="1">
      <alignment horizontal="right" vertical="center" wrapText="1" indent="2"/>
    </xf>
    <xf numFmtId="0" fontId="44" fillId="0" borderId="0" xfId="18" applyFont="1" applyAlignment="1">
      <alignment horizontal="left" wrapText="1"/>
    </xf>
    <xf numFmtId="0" fontId="3" fillId="0" borderId="0" xfId="20" applyFont="1" applyAlignment="1">
      <alignment horizontal="left"/>
    </xf>
    <xf numFmtId="0" fontId="4" fillId="0" borderId="0" xfId="20" applyFont="1"/>
    <xf numFmtId="0" fontId="4" fillId="0" borderId="0" xfId="16" applyFont="1"/>
    <xf numFmtId="0" fontId="4" fillId="0" borderId="0" xfId="20" applyFont="1" applyAlignment="1">
      <alignment horizontal="center"/>
    </xf>
    <xf numFmtId="0" fontId="7" fillId="0" borderId="0" xfId="20" applyFont="1" applyAlignment="1">
      <alignment horizontal="centerContinuous"/>
    </xf>
    <xf numFmtId="0" fontId="4" fillId="0" borderId="1" xfId="16" applyFont="1" applyBorder="1"/>
    <xf numFmtId="0" fontId="7" fillId="0" borderId="2" xfId="20" applyFont="1" applyBorder="1" applyAlignment="1">
      <alignment horizontal="center" vertical="center"/>
    </xf>
    <xf numFmtId="0" fontId="7" fillId="0" borderId="0" xfId="20" applyFont="1" applyAlignment="1">
      <alignment horizontal="center" vertical="center"/>
    </xf>
    <xf numFmtId="0" fontId="4" fillId="0" borderId="0" xfId="16" applyFont="1" applyAlignment="1">
      <alignment vertical="center"/>
    </xf>
    <xf numFmtId="0" fontId="7" fillId="0" borderId="0" xfId="20" quotePrefix="1" applyFont="1" applyAlignment="1">
      <alignment horizontal="center" vertical="center"/>
    </xf>
    <xf numFmtId="0" fontId="46" fillId="0" borderId="1" xfId="20" applyFont="1" applyBorder="1" applyAlignment="1">
      <alignment horizontal="center" vertical="center"/>
    </xf>
    <xf numFmtId="164" fontId="7" fillId="0" borderId="1" xfId="15" applyNumberFormat="1" applyFont="1" applyBorder="1" applyAlignment="1">
      <alignment horizontal="center" vertical="center"/>
    </xf>
    <xf numFmtId="0" fontId="46" fillId="0" borderId="0" xfId="20" applyFont="1" applyAlignment="1">
      <alignment horizontal="center" vertical="center"/>
    </xf>
    <xf numFmtId="164" fontId="7" fillId="0" borderId="0" xfId="15" applyNumberFormat="1" applyFont="1" applyAlignment="1">
      <alignment horizontal="center" vertical="center"/>
    </xf>
    <xf numFmtId="0" fontId="7" fillId="0" borderId="0" xfId="15" applyFont="1" applyAlignment="1">
      <alignment horizontal="left"/>
    </xf>
    <xf numFmtId="0" fontId="7" fillId="0" borderId="0" xfId="16" applyFont="1" applyAlignment="1">
      <alignment horizontal="center"/>
    </xf>
    <xf numFmtId="164" fontId="8" fillId="0" borderId="0" xfId="21" applyNumberFormat="1" applyFont="1" applyAlignment="1">
      <alignment horizontal="right" wrapText="1" indent="1"/>
    </xf>
    <xf numFmtId="164" fontId="8" fillId="0" borderId="0" xfId="21" applyNumberFormat="1" applyFont="1" applyAlignment="1">
      <alignment horizontal="right" wrapText="1"/>
    </xf>
    <xf numFmtId="164" fontId="8" fillId="0" borderId="0" xfId="21" applyNumberFormat="1" applyFont="1" applyAlignment="1">
      <alignment horizontal="right" wrapText="1" indent="3"/>
    </xf>
    <xf numFmtId="164" fontId="8" fillId="0" borderId="0" xfId="21" applyNumberFormat="1" applyFont="1" applyAlignment="1">
      <alignment horizontal="right" wrapText="1" indent="2"/>
    </xf>
    <xf numFmtId="164" fontId="4" fillId="0" borderId="0" xfId="16" applyNumberFormat="1" applyFont="1"/>
    <xf numFmtId="164" fontId="8" fillId="0" borderId="0" xfId="17" applyNumberFormat="1" applyFont="1" applyFill="1" applyBorder="1" applyAlignment="1">
      <alignment horizontal="right" wrapText="1" indent="1"/>
    </xf>
    <xf numFmtId="164" fontId="8" fillId="0" borderId="0" xfId="22" applyNumberFormat="1" applyFont="1" applyFill="1" applyBorder="1" applyAlignment="1">
      <alignment horizontal="right" indent="1"/>
    </xf>
    <xf numFmtId="164" fontId="8" fillId="0" borderId="0" xfId="23" applyNumberFormat="1" applyFont="1" applyFill="1" applyBorder="1" applyAlignment="1">
      <alignment horizontal="right" wrapText="1" indent="2"/>
    </xf>
    <xf numFmtId="0" fontId="7" fillId="0" borderId="0" xfId="15" applyFont="1" applyAlignment="1">
      <alignment horizontal="left" vertical="center" wrapText="1"/>
    </xf>
    <xf numFmtId="0" fontId="7" fillId="0" borderId="0" xfId="16" applyFont="1" applyAlignment="1">
      <alignment horizontal="center" vertical="center" wrapText="1"/>
    </xf>
    <xf numFmtId="164" fontId="8" fillId="0" borderId="0" xfId="21" applyNumberFormat="1" applyFont="1" applyAlignment="1">
      <alignment horizontal="right" vertical="center" wrapText="1" indent="1"/>
    </xf>
    <xf numFmtId="164" fontId="8" fillId="0" borderId="0" xfId="21" applyNumberFormat="1" applyFont="1" applyAlignment="1">
      <alignment horizontal="right" vertical="center" wrapText="1"/>
    </xf>
    <xf numFmtId="164" fontId="8" fillId="0" borderId="0" xfId="21" applyNumberFormat="1" applyFont="1" applyAlignment="1">
      <alignment horizontal="right" vertical="center" wrapText="1" indent="3"/>
    </xf>
    <xf numFmtId="164" fontId="8" fillId="0" borderId="0" xfId="21" applyNumberFormat="1" applyFont="1" applyAlignment="1">
      <alignment horizontal="right" vertical="center" wrapText="1" indent="2"/>
    </xf>
    <xf numFmtId="0" fontId="7" fillId="0" borderId="0" xfId="15" applyFont="1" applyAlignment="1">
      <alignment horizontal="left" wrapText="1"/>
    </xf>
    <xf numFmtId="0" fontId="7" fillId="0" borderId="0" xfId="15" applyFont="1" applyAlignment="1">
      <alignment horizontal="left" vertical="center"/>
    </xf>
    <xf numFmtId="164" fontId="14" fillId="0" borderId="0" xfId="21" applyNumberFormat="1" applyFont="1" applyAlignment="1">
      <alignment horizontal="right" vertical="center" wrapText="1" indent="3"/>
    </xf>
    <xf numFmtId="164" fontId="8" fillId="0" borderId="0" xfId="23" applyNumberFormat="1" applyFont="1" applyFill="1" applyBorder="1" applyAlignment="1">
      <alignment horizontal="right" wrapText="1" indent="1"/>
    </xf>
    <xf numFmtId="0" fontId="8" fillId="0" borderId="0" xfId="16" applyFont="1"/>
    <xf numFmtId="0" fontId="3" fillId="0" borderId="0" xfId="24" applyFont="1" applyAlignment="1">
      <alignment horizontal="left"/>
    </xf>
    <xf numFmtId="0" fontId="7" fillId="0" borderId="2" xfId="20" applyFont="1" applyBorder="1" applyAlignment="1">
      <alignment horizontal="centerContinuous"/>
    </xf>
    <xf numFmtId="0" fontId="14" fillId="0" borderId="2" xfId="20" applyFont="1" applyBorder="1" applyAlignment="1">
      <alignment horizontal="center" vertical="center"/>
    </xf>
    <xf numFmtId="0" fontId="14" fillId="0" borderId="0" xfId="20" applyFont="1" applyAlignment="1">
      <alignment horizontal="center" vertical="center"/>
    </xf>
    <xf numFmtId="0" fontId="14" fillId="0" borderId="0" xfId="9" applyFont="1" applyAlignment="1">
      <alignment horizontal="center" vertical="center" wrapText="1"/>
    </xf>
    <xf numFmtId="0" fontId="14" fillId="0" borderId="1" xfId="20" applyFont="1" applyBorder="1" applyAlignment="1">
      <alignment horizontal="centerContinuous" vertical="center"/>
    </xf>
    <xf numFmtId="0" fontId="46" fillId="0" borderId="0" xfId="20" applyFont="1" applyAlignment="1">
      <alignment horizontal="centerContinuous"/>
    </xf>
    <xf numFmtId="0" fontId="14" fillId="0" borderId="0" xfId="15" applyFont="1" applyAlignment="1">
      <alignment horizontal="left"/>
    </xf>
    <xf numFmtId="0" fontId="14" fillId="0" borderId="0" xfId="16" applyFont="1" applyAlignment="1">
      <alignment horizontal="center"/>
    </xf>
    <xf numFmtId="164" fontId="14" fillId="0" borderId="0" xfId="25" applyNumberFormat="1" applyFont="1" applyAlignment="1">
      <alignment horizontal="right" wrapText="1" indent="1"/>
    </xf>
    <xf numFmtId="164" fontId="14" fillId="0" borderId="0" xfId="25" applyNumberFormat="1" applyFont="1" applyAlignment="1">
      <alignment horizontal="right" wrapText="1" indent="3"/>
    </xf>
    <xf numFmtId="0" fontId="14" fillId="0" borderId="0" xfId="15" applyFont="1" applyAlignment="1">
      <alignment horizontal="center"/>
    </xf>
    <xf numFmtId="0" fontId="14" fillId="0" borderId="0" xfId="15" applyFont="1"/>
    <xf numFmtId="0" fontId="14" fillId="0" borderId="0" xfId="15" applyFont="1" applyAlignment="1">
      <alignment horizontal="left" wrapText="1"/>
    </xf>
    <xf numFmtId="0" fontId="14" fillId="0" borderId="0" xfId="16" applyFont="1" applyAlignment="1">
      <alignment horizontal="center" vertical="center"/>
    </xf>
    <xf numFmtId="164" fontId="14" fillId="0" borderId="0" xfId="25" applyNumberFormat="1" applyFont="1" applyAlignment="1">
      <alignment horizontal="right" vertical="center" wrapText="1" indent="1"/>
    </xf>
    <xf numFmtId="164" fontId="14" fillId="0" borderId="0" xfId="25" applyNumberFormat="1" applyFont="1" applyAlignment="1">
      <alignment horizontal="right" vertical="center" wrapText="1" indent="3"/>
    </xf>
    <xf numFmtId="0" fontId="51" fillId="0" borderId="0" xfId="15" applyFont="1" applyAlignment="1">
      <alignment horizontal="left" wrapText="1"/>
    </xf>
    <xf numFmtId="0" fontId="14" fillId="0" borderId="0" xfId="15" applyFont="1" applyAlignment="1">
      <alignment horizontal="left" vertical="center"/>
    </xf>
    <xf numFmtId="0" fontId="14" fillId="0" borderId="0" xfId="16" applyFont="1" applyAlignment="1">
      <alignment horizontal="center" vertical="center" wrapText="1"/>
    </xf>
    <xf numFmtId="0" fontId="3" fillId="0" borderId="0" xfId="26" applyFont="1" applyAlignment="1">
      <protection locked="0"/>
    </xf>
    <xf numFmtId="0" fontId="4" fillId="0" borderId="0" xfId="26" applyFont="1">
      <alignment vertical="top" wrapText="1"/>
      <protection locked="0"/>
    </xf>
    <xf numFmtId="0" fontId="10" fillId="0" borderId="0" xfId="26" applyFont="1">
      <alignment vertical="top" wrapText="1"/>
      <protection locked="0"/>
    </xf>
    <xf numFmtId="0" fontId="9" fillId="0" borderId="0" xfId="27" applyFont="1" applyAlignment="1">
      <alignment horizontal="right"/>
    </xf>
    <xf numFmtId="0" fontId="36" fillId="0" borderId="2" xfId="26" applyFont="1" applyBorder="1" applyAlignment="1">
      <alignment horizontal="center" vertical="center" wrapText="1"/>
      <protection locked="0"/>
    </xf>
    <xf numFmtId="0" fontId="7" fillId="0" borderId="2" xfId="26" applyFont="1" applyBorder="1" applyAlignment="1">
      <alignment horizontal="center" vertical="center" wrapText="1"/>
      <protection locked="0"/>
    </xf>
    <xf numFmtId="0" fontId="36" fillId="0" borderId="0" xfId="26" applyFont="1" applyAlignment="1">
      <alignment horizontal="center" vertical="center" wrapText="1"/>
      <protection locked="0"/>
    </xf>
    <xf numFmtId="0" fontId="7" fillId="0" borderId="0" xfId="26" applyFont="1" applyAlignment="1">
      <alignment horizontal="center" vertical="center" wrapText="1"/>
      <protection locked="0"/>
    </xf>
    <xf numFmtId="0" fontId="7" fillId="0" borderId="0" xfId="26" applyFont="1" applyAlignment="1">
      <alignment horizontal="center" vertical="center"/>
      <protection locked="0"/>
    </xf>
    <xf numFmtId="14" fontId="7" fillId="0" borderId="0" xfId="26" quotePrefix="1" applyNumberFormat="1" applyFont="1" applyAlignment="1">
      <alignment horizontal="center" vertical="center" wrapText="1"/>
      <protection locked="0"/>
    </xf>
    <xf numFmtId="0" fontId="53" fillId="0" borderId="1" xfId="28" applyFont="1" applyBorder="1"/>
    <xf numFmtId="0" fontId="7" fillId="0" borderId="1" xfId="26" applyFont="1" applyBorder="1" applyAlignment="1">
      <alignment horizontal="center" vertical="center" wrapText="1"/>
      <protection locked="0"/>
    </xf>
    <xf numFmtId="39" fontId="37" fillId="0" borderId="0" xfId="15" applyNumberFormat="1" applyFont="1" applyProtection="1">
      <protection locked="0"/>
    </xf>
    <xf numFmtId="164" fontId="54" fillId="0" borderId="0" xfId="29" applyNumberFormat="1" applyFont="1" applyAlignment="1">
      <alignment horizontal="right" wrapText="1" indent="1"/>
    </xf>
    <xf numFmtId="164" fontId="54" fillId="0" borderId="0" xfId="29" applyNumberFormat="1" applyFont="1" applyAlignment="1">
      <alignment wrapText="1"/>
    </xf>
    <xf numFmtId="164" fontId="54" fillId="0" borderId="0" xfId="30" applyNumberFormat="1" applyFont="1" applyAlignment="1">
      <alignment horizontal="right" wrapText="1" indent="1"/>
    </xf>
    <xf numFmtId="164" fontId="55" fillId="0" borderId="0" xfId="29" applyNumberFormat="1" applyFont="1" applyAlignment="1">
      <alignment horizontal="right" wrapText="1" indent="1"/>
    </xf>
    <xf numFmtId="164" fontId="55" fillId="0" borderId="0" xfId="29" applyNumberFormat="1" applyFont="1" applyAlignment="1">
      <alignment wrapText="1"/>
    </xf>
    <xf numFmtId="164" fontId="55" fillId="0" borderId="0" xfId="30" applyNumberFormat="1" applyFont="1" applyAlignment="1">
      <alignment horizontal="right" wrapText="1" indent="1"/>
    </xf>
    <xf numFmtId="164" fontId="41" fillId="0" borderId="0" xfId="28" applyNumberFormat="1" applyFont="1" applyAlignment="1">
      <alignment horizontal="right" indent="1"/>
    </xf>
    <xf numFmtId="164" fontId="41" fillId="0" borderId="0" xfId="28" applyNumberFormat="1" applyFont="1" applyAlignment="1">
      <alignment horizontal="right" indent="2"/>
    </xf>
    <xf numFmtId="0" fontId="10" fillId="0" borderId="0" xfId="26" applyFont="1" applyAlignment="1">
      <alignment vertical="top" wrapText="1"/>
      <protection locked="0"/>
    </xf>
    <xf numFmtId="0" fontId="3" fillId="0" borderId="0" xfId="27" applyFont="1" applyAlignment="1">
      <alignment horizontal="left" wrapText="1"/>
    </xf>
    <xf numFmtId="0" fontId="7" fillId="0" borderId="0" xfId="27" applyFont="1"/>
    <xf numFmtId="0" fontId="36" fillId="0" borderId="0" xfId="27" applyFont="1" applyAlignment="1">
      <alignment horizontal="left"/>
    </xf>
    <xf numFmtId="0" fontId="35" fillId="0" borderId="0" xfId="27" applyFont="1" applyAlignment="1">
      <alignment horizontal="right"/>
    </xf>
    <xf numFmtId="0" fontId="32" fillId="0" borderId="0" xfId="14"/>
    <xf numFmtId="168" fontId="11" fillId="0" borderId="0" xfId="31" applyNumberFormat="1" applyFont="1" applyAlignment="1" applyProtection="1">
      <alignment horizontal="right" indent="4"/>
      <protection locked="0"/>
    </xf>
    <xf numFmtId="168" fontId="28" fillId="0" borderId="0" xfId="31" applyNumberFormat="1" applyFont="1" applyAlignment="1" applyProtection="1">
      <alignment horizontal="right" indent="4"/>
      <protection locked="0"/>
    </xf>
    <xf numFmtId="0" fontId="7" fillId="0" borderId="0" xfId="27" applyFont="1" applyAlignment="1">
      <alignment horizontal="center" vertical="center" wrapText="1"/>
    </xf>
    <xf numFmtId="168" fontId="56" fillId="0" borderId="0" xfId="21" applyNumberFormat="1" applyFont="1" applyAlignment="1" applyProtection="1">
      <alignment horizontal="right" indent="4"/>
      <protection locked="0"/>
    </xf>
    <xf numFmtId="0" fontId="36" fillId="0" borderId="0" xfId="27" applyFont="1" applyAlignment="1">
      <alignment horizontal="center" vertical="center" wrapText="1"/>
    </xf>
    <xf numFmtId="0" fontId="35" fillId="0" borderId="0" xfId="27" applyFont="1" applyAlignment="1">
      <alignment horizontal="center" vertical="center" wrapText="1"/>
    </xf>
    <xf numFmtId="168" fontId="28" fillId="0" borderId="0" xfId="21" applyNumberFormat="1" applyFont="1" applyAlignment="1" applyProtection="1">
      <alignment horizontal="right" indent="4"/>
      <protection locked="0"/>
    </xf>
    <xf numFmtId="0" fontId="36" fillId="0" borderId="0" xfId="27" applyFont="1"/>
    <xf numFmtId="168" fontId="8" fillId="0" borderId="0" xfId="21" applyNumberFormat="1" applyFont="1" applyAlignment="1" applyProtection="1">
      <alignment horizontal="right" indent="4"/>
      <protection locked="0"/>
    </xf>
    <xf numFmtId="0" fontId="43" fillId="0" borderId="0" xfId="27" applyFont="1"/>
    <xf numFmtId="168" fontId="56" fillId="0" borderId="0" xfId="31" applyNumberFormat="1" applyFont="1" applyAlignment="1" applyProtection="1">
      <alignment horizontal="right" indent="4"/>
      <protection locked="0"/>
    </xf>
    <xf numFmtId="168" fontId="8" fillId="0" borderId="0" xfId="31" applyNumberFormat="1" applyFont="1" applyAlignment="1" applyProtection="1">
      <alignment horizontal="right" indent="4"/>
      <protection locked="0"/>
    </xf>
    <xf numFmtId="0" fontId="3" fillId="0" borderId="0" xfId="27" applyFont="1"/>
    <xf numFmtId="0" fontId="3" fillId="0" borderId="0" xfId="27" applyFont="1" applyAlignment="1">
      <alignment wrapText="1"/>
    </xf>
    <xf numFmtId="14" fontId="7" fillId="0" borderId="0" xfId="26" applyNumberFormat="1" applyFont="1" applyAlignment="1">
      <alignment horizontal="center" vertical="center" wrapText="1"/>
      <protection locked="0"/>
    </xf>
    <xf numFmtId="0" fontId="28" fillId="0" borderId="0" xfId="32" applyFont="1"/>
    <xf numFmtId="164" fontId="28" fillId="0" borderId="0" xfId="32" applyNumberFormat="1" applyFont="1" applyAlignment="1">
      <alignment horizontal="right" indent="6"/>
    </xf>
    <xf numFmtId="0" fontId="56" fillId="0" borderId="0" xfId="32" applyFont="1" applyAlignment="1">
      <alignment horizontal="left" indent="2"/>
    </xf>
    <xf numFmtId="164" fontId="56" fillId="0" borderId="0" xfId="32" applyNumberFormat="1" applyFont="1" applyAlignment="1">
      <alignment horizontal="right" indent="6"/>
    </xf>
    <xf numFmtId="0" fontId="1" fillId="0" borderId="0" xfId="32"/>
    <xf numFmtId="0" fontId="3" fillId="0" borderId="0" xfId="33" applyFont="1" applyAlignment="1">
      <alignment horizontal="left"/>
    </xf>
    <xf numFmtId="0" fontId="4" fillId="0" borderId="0" xfId="34" applyFont="1"/>
    <xf numFmtId="0" fontId="2" fillId="0" borderId="0" xfId="34"/>
    <xf numFmtId="0" fontId="3" fillId="0" borderId="0" xfId="35" applyFont="1"/>
    <xf numFmtId="0" fontId="15" fillId="0" borderId="0" xfId="35" applyFont="1"/>
    <xf numFmtId="0" fontId="7" fillId="0" borderId="0" xfId="34" applyFont="1"/>
    <xf numFmtId="0" fontId="9" fillId="0" borderId="1" xfId="34" applyFont="1" applyBorder="1" applyAlignment="1">
      <alignment horizontal="right"/>
    </xf>
    <xf numFmtId="0" fontId="8" fillId="0" borderId="2" xfId="34" applyFont="1" applyBorder="1"/>
    <xf numFmtId="0" fontId="7" fillId="0" borderId="2" xfId="34" applyFont="1" applyBorder="1" applyAlignment="1">
      <alignment horizontal="center" vertical="center" wrapText="1"/>
    </xf>
    <xf numFmtId="0" fontId="8" fillId="0" borderId="0" xfId="34" applyFont="1"/>
    <xf numFmtId="0" fontId="7" fillId="0" borderId="0" xfId="34" applyFont="1" applyAlignment="1">
      <alignment horizontal="center" vertical="center" wrapText="1"/>
    </xf>
    <xf numFmtId="0" fontId="11" fillId="0" borderId="0" xfId="36" applyFont="1" applyAlignment="1">
      <alignment horizontal="left"/>
    </xf>
    <xf numFmtId="0" fontId="11" fillId="0" borderId="0" xfId="36" applyFont="1"/>
    <xf numFmtId="164" fontId="36" fillId="0" borderId="0" xfId="37" applyNumberFormat="1" applyFont="1" applyAlignment="1">
      <alignment horizontal="right" indent="1"/>
    </xf>
    <xf numFmtId="164" fontId="36" fillId="0" borderId="0" xfId="37" applyNumberFormat="1" applyFont="1"/>
    <xf numFmtId="164" fontId="2" fillId="0" borderId="0" xfId="34" applyNumberFormat="1"/>
    <xf numFmtId="0" fontId="8" fillId="0" borderId="0" xfId="36" applyFont="1"/>
    <xf numFmtId="0" fontId="8" fillId="0" borderId="0" xfId="36" applyFont="1" applyAlignment="1">
      <alignment horizontal="left"/>
    </xf>
    <xf numFmtId="164" fontId="7" fillId="0" borderId="0" xfId="37" applyNumberFormat="1" applyFont="1" applyAlignment="1">
      <alignment horizontal="right" indent="1"/>
    </xf>
    <xf numFmtId="164" fontId="41" fillId="0" borderId="0" xfId="37" applyNumberFormat="1" applyFont="1" applyAlignment="1">
      <alignment horizontal="right" indent="1"/>
    </xf>
    <xf numFmtId="164" fontId="7" fillId="0" borderId="0" xfId="37" applyNumberFormat="1" applyFont="1"/>
    <xf numFmtId="0" fontId="8" fillId="0" borderId="0" xfId="36" applyFont="1" applyAlignment="1">
      <alignment horizontal="left" wrapText="1"/>
    </xf>
    <xf numFmtId="0" fontId="8" fillId="0" borderId="0" xfId="36" applyFont="1" applyAlignment="1">
      <alignment wrapText="1"/>
    </xf>
    <xf numFmtId="1" fontId="2" fillId="0" borderId="0" xfId="34" applyNumberFormat="1"/>
    <xf numFmtId="0" fontId="9" fillId="0" borderId="0" xfId="36" applyFont="1" applyAlignment="1">
      <alignment horizontal="left"/>
    </xf>
    <xf numFmtId="0" fontId="8" fillId="0" borderId="0" xfId="38" applyFont="1" applyAlignment="1">
      <alignment horizontal="left" indent="1"/>
    </xf>
    <xf numFmtId="164" fontId="8" fillId="0" borderId="0" xfId="37" applyNumberFormat="1" applyAlignment="1">
      <alignment horizontal="right"/>
    </xf>
    <xf numFmtId="164" fontId="23" fillId="0" borderId="0" xfId="37" applyNumberFormat="1" applyFont="1" applyAlignment="1">
      <alignment horizontal="right" indent="1"/>
    </xf>
    <xf numFmtId="1" fontId="8" fillId="0" borderId="0" xfId="37" applyNumberFormat="1" applyAlignment="1">
      <alignment horizontal="right"/>
    </xf>
    <xf numFmtId="0" fontId="9" fillId="0" borderId="0" xfId="36" applyFont="1"/>
    <xf numFmtId="164" fontId="8" fillId="0" borderId="0" xfId="34" applyNumberFormat="1" applyFont="1" applyAlignment="1">
      <alignment horizontal="right"/>
    </xf>
    <xf numFmtId="164" fontId="8" fillId="0" borderId="0" xfId="34" applyNumberFormat="1" applyFont="1" applyAlignment="1">
      <alignment horizontal="right" indent="1"/>
    </xf>
    <xf numFmtId="0" fontId="8" fillId="0" borderId="0" xfId="24" applyFont="1"/>
    <xf numFmtId="0" fontId="8" fillId="0" borderId="0" xfId="24" applyFont="1" applyAlignment="1">
      <alignment horizontal="left" indent="1"/>
    </xf>
    <xf numFmtId="1" fontId="8" fillId="0" borderId="0" xfId="34" applyNumberFormat="1" applyFont="1" applyAlignment="1">
      <alignment horizontal="right"/>
    </xf>
    <xf numFmtId="0" fontId="7" fillId="0" borderId="2" xfId="34" quotePrefix="1" applyFont="1" applyBorder="1" applyAlignment="1">
      <alignment horizontal="center" vertical="center" wrapText="1"/>
    </xf>
    <xf numFmtId="0" fontId="7" fillId="0" borderId="1" xfId="34" applyFont="1" applyBorder="1" applyAlignment="1">
      <alignment horizontal="center" vertical="center" wrapText="1"/>
    </xf>
    <xf numFmtId="1" fontId="11" fillId="0" borderId="0" xfId="37" applyNumberFormat="1" applyFont="1" applyAlignment="1">
      <alignment horizontal="right" indent="1"/>
    </xf>
    <xf numFmtId="1" fontId="11" fillId="0" borderId="0" xfId="37" applyNumberFormat="1" applyFont="1"/>
    <xf numFmtId="164" fontId="11" fillId="0" borderId="0" xfId="37" applyNumberFormat="1" applyFont="1" applyAlignment="1">
      <alignment horizontal="right" indent="2"/>
    </xf>
    <xf numFmtId="1" fontId="9" fillId="0" borderId="0" xfId="37" applyNumberFormat="1" applyFont="1" applyAlignment="1">
      <alignment horizontal="right" indent="1"/>
    </xf>
    <xf numFmtId="1" fontId="58" fillId="0" borderId="0" xfId="37" applyNumberFormat="1" applyFont="1" applyAlignment="1">
      <alignment horizontal="right" indent="1"/>
    </xf>
    <xf numFmtId="1" fontId="58" fillId="0" borderId="0" xfId="37" applyNumberFormat="1" applyFont="1"/>
    <xf numFmtId="164" fontId="58" fillId="0" borderId="0" xfId="37" applyNumberFormat="1" applyFont="1" applyAlignment="1">
      <alignment horizontal="right" indent="2"/>
    </xf>
    <xf numFmtId="0" fontId="12" fillId="0" borderId="0" xfId="36" applyFont="1"/>
    <xf numFmtId="0" fontId="8" fillId="0" borderId="0" xfId="36" applyFont="1" applyAlignment="1">
      <alignment horizontal="left" indent="1"/>
    </xf>
    <xf numFmtId="1" fontId="8" fillId="0" borderId="0" xfId="37" applyNumberFormat="1" applyAlignment="1">
      <alignment horizontal="right" indent="1"/>
    </xf>
    <xf numFmtId="1" fontId="23" fillId="0" borderId="0" xfId="37" applyNumberFormat="1" applyFont="1" applyAlignment="1">
      <alignment horizontal="right" indent="1"/>
    </xf>
    <xf numFmtId="1" fontId="23" fillId="0" borderId="0" xfId="37" applyNumberFormat="1" applyFont="1"/>
    <xf numFmtId="164" fontId="23" fillId="0" borderId="0" xfId="37" applyNumberFormat="1" applyFont="1" applyAlignment="1">
      <alignment horizontal="right" indent="2"/>
    </xf>
    <xf numFmtId="164" fontId="8" fillId="0" borderId="0" xfId="37" applyNumberFormat="1" applyAlignment="1">
      <alignment horizontal="right" indent="2"/>
    </xf>
    <xf numFmtId="1" fontId="8" fillId="0" borderId="0" xfId="37" applyNumberFormat="1"/>
    <xf numFmtId="1" fontId="25" fillId="0" borderId="0" xfId="37" applyNumberFormat="1" applyFont="1"/>
    <xf numFmtId="164" fontId="25" fillId="0" borderId="0" xfId="37" applyNumberFormat="1" applyFont="1" applyAlignment="1">
      <alignment horizontal="right" indent="2"/>
    </xf>
    <xf numFmtId="0" fontId="8" fillId="0" borderId="0" xfId="39" applyFont="1" applyAlignment="1">
      <alignment horizontal="left" indent="1"/>
    </xf>
    <xf numFmtId="164" fontId="8" fillId="0" borderId="0" xfId="34" applyNumberFormat="1" applyFont="1"/>
    <xf numFmtId="164" fontId="8" fillId="0" borderId="0" xfId="34" applyNumberFormat="1" applyFont="1" applyAlignment="1">
      <alignment horizontal="right" indent="2"/>
    </xf>
    <xf numFmtId="1" fontId="8" fillId="0" borderId="0" xfId="34" applyNumberFormat="1" applyFont="1" applyAlignment="1">
      <alignment horizontal="right" indent="1"/>
    </xf>
    <xf numFmtId="1" fontId="8" fillId="0" borderId="0" xfId="34" applyNumberFormat="1" applyFont="1"/>
    <xf numFmtId="0" fontId="33" fillId="0" borderId="0" xfId="34" applyFont="1"/>
    <xf numFmtId="0" fontId="35" fillId="0" borderId="1" xfId="34" applyFont="1" applyBorder="1" applyAlignment="1">
      <alignment horizontal="right"/>
    </xf>
    <xf numFmtId="164" fontId="11" fillId="0" borderId="0" xfId="37" applyNumberFormat="1" applyFont="1" applyAlignment="1">
      <alignment horizontal="right" indent="1"/>
    </xf>
    <xf numFmtId="164" fontId="58" fillId="0" borderId="0" xfId="37" applyNumberFormat="1" applyFont="1" applyAlignment="1">
      <alignment horizontal="right" indent="1"/>
    </xf>
    <xf numFmtId="164" fontId="8" fillId="0" borderId="0" xfId="37" applyNumberFormat="1" applyAlignment="1">
      <alignment horizontal="right" indent="1"/>
    </xf>
    <xf numFmtId="0" fontId="3" fillId="0" borderId="0" xfId="40" applyFont="1"/>
    <xf numFmtId="0" fontId="8" fillId="0" borderId="0" xfId="41" applyFont="1"/>
    <xf numFmtId="0" fontId="3" fillId="0" borderId="0" xfId="40" applyFont="1" applyAlignment="1">
      <alignment horizontal="center"/>
    </xf>
    <xf numFmtId="0" fontId="4" fillId="0" borderId="0" xfId="40" applyFont="1"/>
    <xf numFmtId="0" fontId="8" fillId="0" borderId="1" xfId="40" applyFont="1" applyBorder="1"/>
    <xf numFmtId="0" fontId="8" fillId="0" borderId="0" xfId="40" applyFont="1"/>
    <xf numFmtId="0" fontId="9" fillId="0" borderId="0" xfId="40" applyFont="1" applyAlignment="1">
      <alignment horizontal="right"/>
    </xf>
    <xf numFmtId="0" fontId="14" fillId="0" borderId="0" xfId="41" applyFont="1" applyAlignment="1">
      <alignment wrapText="1"/>
    </xf>
    <xf numFmtId="0" fontId="56" fillId="0" borderId="2" xfId="42" applyFont="1" applyBorder="1" applyAlignment="1">
      <alignment horizontal="center" vertical="center" wrapText="1"/>
    </xf>
    <xf numFmtId="0" fontId="8" fillId="0" borderId="2" xfId="41" applyFont="1" applyBorder="1" applyAlignment="1">
      <alignment horizontal="center" vertical="center" wrapText="1"/>
    </xf>
    <xf numFmtId="0" fontId="56" fillId="0" borderId="0" xfId="42" applyFont="1" applyAlignment="1">
      <alignment horizontal="center" vertical="center" wrapText="1"/>
    </xf>
    <xf numFmtId="0" fontId="56" fillId="0" borderId="1" xfId="42" applyFont="1" applyBorder="1" applyAlignment="1">
      <alignment horizontal="center" vertical="center" wrapText="1"/>
    </xf>
    <xf numFmtId="0" fontId="8" fillId="0" borderId="0" xfId="41" applyFont="1" applyAlignment="1">
      <alignment horizontal="center" vertical="center" wrapText="1"/>
    </xf>
    <xf numFmtId="0" fontId="8" fillId="0" borderId="0" xfId="43" applyFont="1" applyAlignment="1">
      <alignment horizontal="center" vertical="center" wrapText="1"/>
    </xf>
    <xf numFmtId="164" fontId="8" fillId="0" borderId="0" xfId="40" applyNumberFormat="1" applyFont="1" applyAlignment="1">
      <alignment horizontal="center" vertical="center"/>
    </xf>
    <xf numFmtId="164" fontId="11" fillId="0" borderId="0" xfId="40" applyNumberFormat="1" applyFont="1" applyAlignment="1">
      <alignment horizontal="right" indent="1"/>
    </xf>
    <xf numFmtId="164" fontId="11" fillId="0" borderId="0" xfId="40" applyNumberFormat="1" applyFont="1" applyAlignment="1">
      <alignment horizontal="right" indent="3"/>
    </xf>
    <xf numFmtId="164" fontId="8" fillId="0" borderId="0" xfId="40" applyNumberFormat="1" applyFont="1" applyAlignment="1">
      <alignment horizontal="right" indent="1"/>
    </xf>
    <xf numFmtId="0" fontId="11" fillId="0" borderId="0" xfId="41" applyFont="1"/>
    <xf numFmtId="164" fontId="8" fillId="0" borderId="1" xfId="40" applyNumberFormat="1" applyFont="1" applyBorder="1" applyAlignment="1">
      <alignment horizontal="center" vertical="center"/>
    </xf>
    <xf numFmtId="0" fontId="9" fillId="0" borderId="0" xfId="40" applyFont="1"/>
    <xf numFmtId="0" fontId="59" fillId="0" borderId="0" xfId="42" applyAlignment="1">
      <alignment wrapText="1"/>
    </xf>
    <xf numFmtId="0" fontId="9" fillId="0" borderId="0" xfId="41" applyFont="1"/>
    <xf numFmtId="1" fontId="11" fillId="0" borderId="0" xfId="40" applyNumberFormat="1" applyFont="1"/>
    <xf numFmtId="1" fontId="11" fillId="0" borderId="0" xfId="41" applyNumberFormat="1" applyFont="1"/>
    <xf numFmtId="1" fontId="8" fillId="0" borderId="0" xfId="40" applyNumberFormat="1" applyFont="1"/>
    <xf numFmtId="1" fontId="8" fillId="0" borderId="0" xfId="41" applyNumberFormat="1" applyFont="1"/>
    <xf numFmtId="0" fontId="9" fillId="0" borderId="0" xfId="40" quotePrefix="1" applyFont="1" applyAlignment="1">
      <alignment horizontal="left"/>
    </xf>
    <xf numFmtId="0" fontId="8" fillId="0" borderId="0" xfId="40" applyFont="1" applyAlignment="1">
      <alignment horizontal="left"/>
    </xf>
    <xf numFmtId="0" fontId="8" fillId="0" borderId="0" xfId="20" applyFont="1" applyAlignment="1">
      <alignment horizontal="center" vertical="center"/>
    </xf>
    <xf numFmtId="0" fontId="60" fillId="0" borderId="0" xfId="14" applyFont="1"/>
    <xf numFmtId="0" fontId="56" fillId="0" borderId="0" xfId="32" applyFont="1" applyAlignment="1">
      <alignment horizontal="center" vertical="center" wrapText="1"/>
    </xf>
    <xf numFmtId="0" fontId="8" fillId="0" borderId="1" xfId="9" applyFont="1" applyBorder="1" applyAlignment="1">
      <alignment horizontal="center" vertical="center" wrapText="1"/>
    </xf>
    <xf numFmtId="0" fontId="6" fillId="0" borderId="0" xfId="20" applyFont="1" applyAlignment="1">
      <alignment horizontal="center" vertical="center"/>
    </xf>
    <xf numFmtId="1" fontId="11" fillId="0" borderId="0" xfId="40" applyNumberFormat="1" applyFont="1" applyAlignment="1">
      <alignment horizontal="right" indent="1"/>
    </xf>
    <xf numFmtId="164" fontId="11" fillId="0" borderId="0" xfId="40" applyNumberFormat="1" applyFont="1" applyAlignment="1">
      <alignment horizontal="right" indent="2"/>
    </xf>
    <xf numFmtId="1" fontId="61" fillId="0" borderId="0" xfId="14" applyNumberFormat="1" applyFont="1"/>
    <xf numFmtId="0" fontId="61" fillId="0" borderId="0" xfId="14" applyFont="1"/>
    <xf numFmtId="0" fontId="62" fillId="0" borderId="0" xfId="14" applyFont="1"/>
    <xf numFmtId="0" fontId="63" fillId="0" borderId="0" xfId="9" applyFont="1" applyAlignment="1">
      <alignment horizontal="center" vertical="center" wrapText="1"/>
    </xf>
    <xf numFmtId="164" fontId="8" fillId="0" borderId="0" xfId="40" applyNumberFormat="1" applyFont="1" applyAlignment="1">
      <alignment horizontal="right" indent="2"/>
    </xf>
    <xf numFmtId="1" fontId="60" fillId="0" borderId="0" xfId="14" applyNumberFormat="1" applyFont="1"/>
    <xf numFmtId="0" fontId="64" fillId="0" borderId="0" xfId="44" applyAlignment="1">
      <alignment horizontal="center" vertical="center" wrapText="1"/>
    </xf>
    <xf numFmtId="0" fontId="6" fillId="0" borderId="0" xfId="9" applyFont="1" applyAlignment="1">
      <alignment horizontal="center" vertical="center" wrapText="1"/>
    </xf>
    <xf numFmtId="164" fontId="8" fillId="0" borderId="0" xfId="40" applyNumberFormat="1" applyFont="1" applyAlignment="1">
      <alignment horizontal="center"/>
    </xf>
    <xf numFmtId="169" fontId="63" fillId="0" borderId="0" xfId="45" applyNumberFormat="1" applyFont="1" applyFill="1"/>
    <xf numFmtId="169" fontId="6" fillId="0" borderId="0" xfId="46" applyNumberFormat="1" applyFont="1" applyFill="1"/>
    <xf numFmtId="1" fontId="32" fillId="0" borderId="0" xfId="14" applyNumberFormat="1"/>
    <xf numFmtId="169" fontId="6" fillId="0" borderId="0" xfId="45" applyNumberFormat="1" applyFont="1" applyFill="1"/>
    <xf numFmtId="0" fontId="3" fillId="0" borderId="0" xfId="47" applyFont="1"/>
    <xf numFmtId="0" fontId="4" fillId="0" borderId="0" xfId="48" applyFont="1"/>
    <xf numFmtId="0" fontId="5" fillId="0" borderId="0" xfId="48" applyFont="1"/>
    <xf numFmtId="0" fontId="2" fillId="0" borderId="0" xfId="47"/>
    <xf numFmtId="0" fontId="3" fillId="0" borderId="0" xfId="48" applyFont="1" applyAlignment="1">
      <alignment horizontal="left"/>
    </xf>
    <xf numFmtId="0" fontId="4" fillId="0" borderId="0" xfId="48" applyFont="1" applyAlignment="1">
      <alignment horizontal="left"/>
    </xf>
    <xf numFmtId="0" fontId="65" fillId="0" borderId="0" xfId="48" applyFont="1" applyAlignment="1">
      <alignment horizontal="left"/>
    </xf>
    <xf numFmtId="0" fontId="8" fillId="0" borderId="0" xfId="48" applyFont="1"/>
    <xf numFmtId="0" fontId="8" fillId="0" borderId="0" xfId="48" applyFont="1" applyAlignment="1">
      <alignment horizontal="center"/>
    </xf>
    <xf numFmtId="0" fontId="9" fillId="0" borderId="0" xfId="48" applyFont="1" applyAlignment="1">
      <alignment horizontal="right"/>
    </xf>
    <xf numFmtId="0" fontId="8" fillId="0" borderId="2" xfId="48" applyFont="1" applyBorder="1" applyAlignment="1">
      <alignment vertical="center" wrapText="1"/>
    </xf>
    <xf numFmtId="0" fontId="42" fillId="0" borderId="2" xfId="32" applyFont="1" applyBorder="1" applyAlignment="1">
      <alignment horizontal="center" vertical="center" wrapText="1"/>
    </xf>
    <xf numFmtId="0" fontId="8" fillId="0" borderId="0" xfId="48" applyFont="1" applyAlignment="1">
      <alignment vertical="center" wrapText="1"/>
    </xf>
    <xf numFmtId="0" fontId="42" fillId="0" borderId="0" xfId="32" applyFont="1" applyAlignment="1">
      <alignment horizontal="center" vertical="center" wrapText="1"/>
    </xf>
    <xf numFmtId="0" fontId="1" fillId="0" borderId="1" xfId="49" applyBorder="1"/>
    <xf numFmtId="0" fontId="7" fillId="0" borderId="2" xfId="48" applyFont="1" applyBorder="1" applyAlignment="1">
      <alignment horizontal="center" vertical="top" wrapText="1"/>
    </xf>
    <xf numFmtId="1" fontId="7" fillId="0" borderId="2" xfId="50" applyNumberFormat="1" applyFont="1" applyBorder="1" applyAlignment="1">
      <alignment horizontal="center" vertical="top" wrapText="1"/>
    </xf>
    <xf numFmtId="0" fontId="8" fillId="0" borderId="2" xfId="40" applyFont="1" applyBorder="1" applyAlignment="1">
      <alignment horizontal="center" vertical="top" wrapText="1"/>
    </xf>
    <xf numFmtId="0" fontId="11" fillId="0" borderId="0" xfId="51" applyFont="1" applyAlignment="1">
      <alignment horizontal="left"/>
    </xf>
    <xf numFmtId="0" fontId="11" fillId="0" borderId="0" xfId="51" applyFont="1" applyAlignment="1">
      <alignment horizontal="left" wrapText="1"/>
    </xf>
    <xf numFmtId="164" fontId="11" fillId="0" borderId="0" xfId="40" applyNumberFormat="1" applyFont="1" applyAlignment="1">
      <alignment horizontal="right"/>
    </xf>
    <xf numFmtId="0" fontId="66" fillId="0" borderId="0" xfId="47" applyFont="1"/>
    <xf numFmtId="0" fontId="67" fillId="0" borderId="0" xfId="51" applyFont="1"/>
    <xf numFmtId="0" fontId="8" fillId="0" borderId="0" xfId="51" applyFont="1"/>
    <xf numFmtId="164" fontId="8" fillId="0" borderId="0" xfId="40" applyNumberFormat="1" applyFont="1" applyAlignment="1">
      <alignment horizontal="right"/>
    </xf>
    <xf numFmtId="0" fontId="8" fillId="0" borderId="0" xfId="51" applyFont="1" applyAlignment="1">
      <alignment horizontal="left"/>
    </xf>
    <xf numFmtId="0" fontId="7" fillId="0" borderId="0" xfId="51" applyFont="1" applyAlignment="1">
      <alignment horizontal="left"/>
    </xf>
    <xf numFmtId="0" fontId="68" fillId="0" borderId="0" xfId="48" applyFont="1"/>
    <xf numFmtId="0" fontId="69" fillId="0" borderId="0" xfId="48" applyFont="1"/>
    <xf numFmtId="0" fontId="8" fillId="0" borderId="1" xfId="48" applyFont="1" applyBorder="1" applyAlignment="1">
      <alignment horizontal="center"/>
    </xf>
    <xf numFmtId="0" fontId="7" fillId="0" borderId="0" xfId="48" applyFont="1" applyAlignment="1">
      <alignment horizontal="center" vertical="top" wrapText="1"/>
    </xf>
    <xf numFmtId="1" fontId="7" fillId="0" borderId="0" xfId="50" applyNumberFormat="1" applyFont="1" applyAlignment="1">
      <alignment horizontal="center" vertical="top" wrapText="1"/>
    </xf>
    <xf numFmtId="164" fontId="7" fillId="0" borderId="0" xfId="48" applyNumberFormat="1" applyFont="1"/>
    <xf numFmtId="164" fontId="7" fillId="0" borderId="0" xfId="48" applyNumberFormat="1" applyFont="1" applyAlignment="1">
      <alignment horizontal="right" indent="2"/>
    </xf>
    <xf numFmtId="0" fontId="8" fillId="0" borderId="0" xfId="40" applyFont="1" applyAlignment="1">
      <alignment horizontal="center" vertical="top" wrapText="1"/>
    </xf>
    <xf numFmtId="0" fontId="11" fillId="0" borderId="0" xfId="51" applyFont="1"/>
    <xf numFmtId="164" fontId="8" fillId="0" borderId="0" xfId="32" applyNumberFormat="1" applyFont="1"/>
    <xf numFmtId="164" fontId="11" fillId="0" borderId="0" xfId="32" applyNumberFormat="1" applyFont="1"/>
    <xf numFmtId="0" fontId="70" fillId="0" borderId="0" xfId="48" applyFont="1"/>
    <xf numFmtId="0" fontId="27" fillId="0" borderId="0" xfId="49" applyFont="1"/>
    <xf numFmtId="164" fontId="70" fillId="0" borderId="0" xfId="48" applyNumberFormat="1" applyFont="1"/>
    <xf numFmtId="0" fontId="71" fillId="0" borderId="0" xfId="48" applyFont="1"/>
    <xf numFmtId="0" fontId="72" fillId="0" borderId="0" xfId="48" applyFont="1"/>
    <xf numFmtId="0" fontId="1" fillId="0" borderId="0" xfId="49"/>
    <xf numFmtId="0" fontId="56" fillId="0" borderId="0" xfId="48" applyFont="1"/>
    <xf numFmtId="0" fontId="56" fillId="0" borderId="0" xfId="48" applyFont="1" applyAlignment="1">
      <alignment horizontal="center"/>
    </xf>
    <xf numFmtId="0" fontId="56" fillId="0" borderId="1" xfId="48" applyFont="1" applyBorder="1" applyAlignment="1">
      <alignment horizontal="center"/>
    </xf>
    <xf numFmtId="0" fontId="73" fillId="0" borderId="0" xfId="48" applyFont="1" applyAlignment="1">
      <alignment horizontal="right"/>
    </xf>
    <xf numFmtId="0" fontId="56" fillId="0" borderId="2" xfId="48" applyFont="1" applyBorder="1" applyAlignment="1">
      <alignment vertical="center" wrapText="1"/>
    </xf>
    <xf numFmtId="0" fontId="56" fillId="0" borderId="0" xfId="52" applyFont="1" applyAlignment="1">
      <alignment horizontal="center" vertical="center" wrapText="1"/>
    </xf>
    <xf numFmtId="0" fontId="56" fillId="0" borderId="2" xfId="52" applyFont="1" applyBorder="1" applyAlignment="1">
      <alignment horizontal="center" vertical="center"/>
    </xf>
    <xf numFmtId="0" fontId="56" fillId="0" borderId="0" xfId="48" applyFont="1" applyAlignment="1">
      <alignment vertical="center" wrapText="1"/>
    </xf>
    <xf numFmtId="0" fontId="56" fillId="0" borderId="0" xfId="53" applyFont="1" applyAlignment="1">
      <alignment horizontal="center" vertical="center" wrapText="1"/>
    </xf>
    <xf numFmtId="0" fontId="56" fillId="0" borderId="1" xfId="53" applyFont="1" applyBorder="1" applyAlignment="1">
      <alignment horizontal="center" vertical="center" wrapText="1"/>
    </xf>
    <xf numFmtId="0" fontId="56" fillId="0" borderId="0" xfId="48" applyFont="1" applyAlignment="1">
      <alignment horizontal="center" vertical="top" wrapText="1"/>
    </xf>
    <xf numFmtId="1" fontId="56" fillId="0" borderId="0" xfId="50" applyNumberFormat="1" applyFont="1" applyAlignment="1">
      <alignment horizontal="center" vertical="top" wrapText="1"/>
    </xf>
    <xf numFmtId="0" fontId="56" fillId="0" borderId="0" xfId="40" applyFont="1" applyAlignment="1">
      <alignment horizontal="center" vertical="top" wrapText="1"/>
    </xf>
    <xf numFmtId="0" fontId="28" fillId="0" borderId="0" xfId="54" applyFont="1"/>
    <xf numFmtId="1" fontId="11" fillId="0" borderId="0" xfId="55" applyNumberFormat="1" applyFont="1" applyBorder="1" applyAlignment="1">
      <alignment horizontal="right" vertical="center" wrapText="1"/>
    </xf>
    <xf numFmtId="1" fontId="28" fillId="0" borderId="0" xfId="49" applyNumberFormat="1" applyFont="1"/>
    <xf numFmtId="1" fontId="11" fillId="0" borderId="0" xfId="56" applyNumberFormat="1" applyFont="1" applyAlignment="1">
      <alignment horizontal="right" vertical="center" wrapText="1"/>
    </xf>
    <xf numFmtId="164" fontId="11" fillId="0" borderId="0" xfId="56" applyNumberFormat="1" applyFont="1" applyAlignment="1">
      <alignment horizontal="right" vertical="center" indent="2"/>
    </xf>
    <xf numFmtId="1" fontId="1" fillId="0" borderId="0" xfId="49" applyNumberFormat="1"/>
    <xf numFmtId="0" fontId="28" fillId="0" borderId="0" xfId="57" applyFont="1"/>
    <xf numFmtId="1" fontId="11" fillId="0" borderId="0" xfId="58" applyNumberFormat="1" applyFont="1" applyAlignment="1">
      <alignment horizontal="right" vertical="center" wrapText="1"/>
    </xf>
    <xf numFmtId="1" fontId="56" fillId="0" borderId="0" xfId="49" applyNumberFormat="1" applyFont="1"/>
    <xf numFmtId="1" fontId="8" fillId="0" borderId="0" xfId="56" applyNumberFormat="1" applyFont="1" applyAlignment="1">
      <alignment horizontal="right" vertical="center" wrapText="1"/>
    </xf>
    <xf numFmtId="164" fontId="8" fillId="0" borderId="0" xfId="56" applyNumberFormat="1" applyFont="1" applyAlignment="1">
      <alignment horizontal="right" vertical="center" indent="2"/>
    </xf>
    <xf numFmtId="0" fontId="56" fillId="0" borderId="0" xfId="54" applyFont="1" applyAlignment="1">
      <alignment horizontal="left" indent="1"/>
    </xf>
    <xf numFmtId="1" fontId="8" fillId="0" borderId="0" xfId="55" applyNumberFormat="1" applyFont="1" applyBorder="1" applyAlignment="1">
      <alignment horizontal="right" vertical="center" wrapText="1"/>
    </xf>
    <xf numFmtId="0" fontId="28" fillId="0" borderId="0" xfId="48" applyFont="1"/>
    <xf numFmtId="1" fontId="8" fillId="0" borderId="0" xfId="58" applyNumberFormat="1" applyFont="1" applyAlignment="1">
      <alignment horizontal="right" vertical="center" wrapText="1"/>
    </xf>
    <xf numFmtId="0" fontId="28" fillId="0" borderId="0" xfId="54" applyFont="1" applyAlignment="1">
      <alignment horizontal="left" indent="1"/>
    </xf>
    <xf numFmtId="0" fontId="56" fillId="0" borderId="0" xfId="54" applyFont="1" applyAlignment="1">
      <alignment horizontal="left" indent="2"/>
    </xf>
    <xf numFmtId="1" fontId="56" fillId="0" borderId="0" xfId="55" applyNumberFormat="1" applyFont="1" applyBorder="1" applyAlignment="1">
      <alignment horizontal="right" vertical="center" wrapText="1"/>
    </xf>
    <xf numFmtId="1" fontId="8" fillId="2" borderId="0" xfId="55" applyNumberFormat="1" applyFont="1" applyFill="1" applyBorder="1" applyAlignment="1">
      <alignment horizontal="right" vertical="center" wrapText="1"/>
    </xf>
    <xf numFmtId="1" fontId="28" fillId="0" borderId="0" xfId="55" applyNumberFormat="1" applyFont="1" applyBorder="1" applyAlignment="1">
      <alignment horizontal="right" vertical="center" wrapText="1"/>
    </xf>
    <xf numFmtId="0" fontId="8" fillId="0" borderId="0" xfId="58" applyFont="1" applyAlignment="1">
      <alignment horizontal="left" indent="2"/>
    </xf>
    <xf numFmtId="1" fontId="8" fillId="0" borderId="0" xfId="55" applyNumberFormat="1" applyFont="1" applyFill="1" applyBorder="1" applyAlignment="1">
      <alignment horizontal="right" vertical="center" wrapText="1"/>
    </xf>
    <xf numFmtId="1" fontId="28" fillId="0" borderId="0" xfId="59" applyNumberFormat="1" applyFont="1"/>
    <xf numFmtId="164" fontId="28" fillId="0" borderId="0" xfId="59" applyNumberFormat="1" applyFont="1" applyAlignment="1">
      <alignment horizontal="right" indent="2"/>
    </xf>
    <xf numFmtId="0" fontId="74" fillId="0" borderId="0" xfId="48" applyFont="1"/>
    <xf numFmtId="0" fontId="27" fillId="0" borderId="0" xfId="59" applyFont="1"/>
    <xf numFmtId="1" fontId="74" fillId="0" borderId="0" xfId="48" applyNumberFormat="1" applyFont="1"/>
    <xf numFmtId="0" fontId="27" fillId="0" borderId="0" xfId="52" applyFont="1"/>
    <xf numFmtId="0" fontId="75" fillId="0" borderId="0" xfId="48" applyFont="1"/>
    <xf numFmtId="0" fontId="76" fillId="0" borderId="0" xfId="48" applyFont="1"/>
    <xf numFmtId="0" fontId="32" fillId="0" borderId="0" xfId="60"/>
    <xf numFmtId="0" fontId="77" fillId="0" borderId="0" xfId="48" applyFont="1"/>
    <xf numFmtId="0" fontId="3" fillId="0" borderId="0" xfId="48" applyFont="1"/>
    <xf numFmtId="164" fontId="28" fillId="0" borderId="0" xfId="56" applyNumberFormat="1" applyFont="1" applyAlignment="1">
      <alignment horizontal="right" indent="2"/>
    </xf>
    <xf numFmtId="164" fontId="56" fillId="0" borderId="0" xfId="56" applyNumberFormat="1" applyFont="1" applyAlignment="1">
      <alignment horizontal="right" indent="2"/>
    </xf>
    <xf numFmtId="164" fontId="8" fillId="2" borderId="0" xfId="56" applyNumberFormat="1" applyFont="1" applyFill="1" applyAlignment="1">
      <alignment horizontal="right" vertical="center" indent="2"/>
    </xf>
    <xf numFmtId="0" fontId="30" fillId="0" borderId="0" xfId="49" applyFont="1"/>
    <xf numFmtId="0" fontId="78" fillId="0" borderId="0" xfId="48" applyFont="1"/>
    <xf numFmtId="0" fontId="79" fillId="0" borderId="0" xfId="48" applyFont="1"/>
    <xf numFmtId="1" fontId="15" fillId="0" borderId="0" xfId="61" applyNumberFormat="1" applyFont="1"/>
    <xf numFmtId="0" fontId="80" fillId="0" borderId="0" xfId="62" applyFont="1"/>
    <xf numFmtId="0" fontId="80" fillId="0" borderId="0" xfId="61" applyFont="1"/>
    <xf numFmtId="1" fontId="81" fillId="0" borderId="0" xfId="61" applyNumberFormat="1" applyFont="1" applyAlignment="1">
      <alignment horizontal="center"/>
    </xf>
    <xf numFmtId="0" fontId="7" fillId="0" borderId="0" xfId="62" applyFont="1"/>
    <xf numFmtId="0" fontId="7" fillId="0" borderId="0" xfId="61" applyFont="1"/>
    <xf numFmtId="0" fontId="35" fillId="0" borderId="1" xfId="61" applyFont="1" applyBorder="1"/>
    <xf numFmtId="0" fontId="7" fillId="0" borderId="1" xfId="61" applyFont="1" applyBorder="1"/>
    <xf numFmtId="0" fontId="35" fillId="0" borderId="1" xfId="61" applyFont="1" applyBorder="1" applyAlignment="1">
      <alignment horizontal="right"/>
    </xf>
    <xf numFmtId="0" fontId="80" fillId="0" borderId="2" xfId="61" applyFont="1" applyBorder="1"/>
    <xf numFmtId="0" fontId="7" fillId="0" borderId="2" xfId="62" applyFont="1" applyBorder="1" applyAlignment="1">
      <alignment horizontal="center"/>
    </xf>
    <xf numFmtId="0" fontId="42" fillId="0" borderId="2" xfId="63" applyFont="1" applyBorder="1" applyAlignment="1">
      <alignment horizontal="center" wrapText="1"/>
    </xf>
    <xf numFmtId="0" fontId="7" fillId="0" borderId="0" xfId="62" applyFont="1" applyAlignment="1">
      <alignment horizontal="center"/>
    </xf>
    <xf numFmtId="0" fontId="42" fillId="0" borderId="0" xfId="63" applyFont="1" applyAlignment="1">
      <alignment horizontal="center" wrapText="1"/>
    </xf>
    <xf numFmtId="0" fontId="42" fillId="0" borderId="1" xfId="63" applyFont="1" applyBorder="1" applyAlignment="1">
      <alignment horizontal="center" wrapText="1"/>
    </xf>
    <xf numFmtId="1" fontId="7" fillId="0" borderId="1" xfId="62" applyNumberFormat="1" applyFont="1" applyBorder="1" applyAlignment="1">
      <alignment horizontal="center"/>
    </xf>
    <xf numFmtId="164" fontId="7" fillId="0" borderId="1" xfId="62" applyNumberFormat="1" applyFont="1" applyBorder="1" applyAlignment="1">
      <alignment horizontal="center"/>
    </xf>
    <xf numFmtId="0" fontId="82" fillId="0" borderId="0" xfId="62" applyFont="1" applyAlignment="1">
      <alignment horizontal="center" wrapText="1"/>
    </xf>
    <xf numFmtId="164" fontId="7" fillId="0" borderId="0" xfId="61" applyNumberFormat="1" applyFont="1"/>
    <xf numFmtId="49" fontId="36" fillId="0" borderId="0" xfId="64" applyNumberFormat="1" applyFont="1" applyFill="1" applyBorder="1" applyAlignment="1"/>
    <xf numFmtId="0" fontId="36" fillId="0" borderId="0" xfId="61" applyFont="1"/>
    <xf numFmtId="1" fontId="36" fillId="0" borderId="0" xfId="61" applyNumberFormat="1" applyFont="1"/>
    <xf numFmtId="164" fontId="36" fillId="0" borderId="0" xfId="61" applyNumberFormat="1" applyFont="1"/>
    <xf numFmtId="0" fontId="81" fillId="0" borderId="0" xfId="61" applyFont="1"/>
    <xf numFmtId="1" fontId="81" fillId="0" borderId="0" xfId="61" applyNumberFormat="1" applyFont="1"/>
    <xf numFmtId="49" fontId="36" fillId="0" borderId="0" xfId="62" applyNumberFormat="1" applyFont="1" applyAlignment="1">
      <alignment horizontal="left"/>
    </xf>
    <xf numFmtId="49" fontId="7" fillId="0" borderId="0" xfId="62" applyNumberFormat="1" applyFont="1" applyAlignment="1">
      <alignment horizontal="left"/>
    </xf>
    <xf numFmtId="1" fontId="7" fillId="0" borderId="0" xfId="61" applyNumberFormat="1" applyFont="1"/>
    <xf numFmtId="0" fontId="7" fillId="0" borderId="0" xfId="62" applyFont="1" applyAlignment="1">
      <alignment horizontal="left"/>
    </xf>
    <xf numFmtId="0" fontId="36" fillId="0" borderId="0" xfId="62" applyFont="1"/>
    <xf numFmtId="0" fontId="8" fillId="0" borderId="0" xfId="62" applyAlignment="1">
      <alignment horizontal="left"/>
    </xf>
    <xf numFmtId="0" fontId="7" fillId="0" borderId="0" xfId="62" applyFont="1" applyAlignment="1">
      <alignment horizontal="left" wrapText="1"/>
    </xf>
    <xf numFmtId="0" fontId="8" fillId="0" borderId="0" xfId="62" applyAlignment="1">
      <alignment horizontal="left" wrapText="1"/>
    </xf>
    <xf numFmtId="0" fontId="7" fillId="0" borderId="0" xfId="65" applyFont="1"/>
    <xf numFmtId="0" fontId="8" fillId="0" borderId="0" xfId="65"/>
    <xf numFmtId="0" fontId="7" fillId="0" borderId="2" xfId="61" applyFont="1" applyBorder="1"/>
    <xf numFmtId="49" fontId="36" fillId="0" borderId="0" xfId="66" applyNumberFormat="1" applyFont="1" applyFill="1" applyBorder="1" applyAlignment="1"/>
    <xf numFmtId="1" fontId="7" fillId="0" borderId="0" xfId="65" applyNumberFormat="1" applyFont="1"/>
    <xf numFmtId="1" fontId="36" fillId="0" borderId="0" xfId="65" applyNumberFormat="1" applyFont="1"/>
    <xf numFmtId="164" fontId="36" fillId="0" borderId="0" xfId="65" applyNumberFormat="1" applyFont="1"/>
    <xf numFmtId="1" fontId="36" fillId="0" borderId="0" xfId="50" applyNumberFormat="1" applyFont="1"/>
    <xf numFmtId="1" fontId="7" fillId="0" borderId="0" xfId="50" applyNumberFormat="1" applyFont="1"/>
    <xf numFmtId="164" fontId="7" fillId="0" borderId="0" xfId="65" applyNumberFormat="1" applyFont="1"/>
    <xf numFmtId="164" fontId="7" fillId="0" borderId="0" xfId="65" applyNumberFormat="1" applyFont="1" applyAlignment="1">
      <alignment horizontal="right"/>
    </xf>
    <xf numFmtId="1" fontId="42" fillId="0" borderId="0" xfId="50" applyNumberFormat="1" applyFont="1"/>
    <xf numFmtId="0" fontId="43" fillId="0" borderId="2" xfId="62" applyFont="1" applyBorder="1"/>
    <xf numFmtId="0" fontId="46" fillId="0" borderId="0" xfId="61" applyFont="1"/>
    <xf numFmtId="0" fontId="4" fillId="0" borderId="0" xfId="61" applyFont="1"/>
    <xf numFmtId="0" fontId="83" fillId="0" borderId="0" xfId="62" applyFont="1"/>
    <xf numFmtId="0" fontId="14" fillId="0" borderId="0" xfId="61" applyFont="1"/>
    <xf numFmtId="0" fontId="14" fillId="0" borderId="0" xfId="62" applyFont="1"/>
    <xf numFmtId="0" fontId="4" fillId="0" borderId="0" xfId="62" applyFont="1"/>
    <xf numFmtId="1" fontId="84" fillId="0" borderId="0" xfId="61" applyNumberFormat="1" applyFont="1"/>
    <xf numFmtId="0" fontId="5" fillId="0" borderId="0" xfId="61" applyFont="1"/>
    <xf numFmtId="1" fontId="36" fillId="0" borderId="0" xfId="61" applyNumberFormat="1" applyFont="1" applyAlignment="1">
      <alignment horizontal="center"/>
    </xf>
    <xf numFmtId="1" fontId="35" fillId="0" borderId="0" xfId="61" applyNumberFormat="1" applyFont="1" applyAlignment="1">
      <alignment horizontal="center"/>
    </xf>
    <xf numFmtId="0" fontId="7" fillId="0" borderId="0" xfId="61" applyFont="1" applyAlignment="1">
      <alignment vertical="center"/>
    </xf>
    <xf numFmtId="0" fontId="7" fillId="0" borderId="0" xfId="62" applyFont="1" applyAlignment="1">
      <alignment vertical="center"/>
    </xf>
    <xf numFmtId="0" fontId="43" fillId="0" borderId="1" xfId="61" applyFont="1" applyBorder="1"/>
    <xf numFmtId="0" fontId="42" fillId="0" borderId="2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1" fontId="7" fillId="0" borderId="1" xfId="62" applyNumberFormat="1" applyFont="1" applyBorder="1" applyAlignment="1">
      <alignment horizontal="center" vertical="center"/>
    </xf>
    <xf numFmtId="164" fontId="7" fillId="0" borderId="1" xfId="62" applyNumberFormat="1" applyFont="1" applyBorder="1" applyAlignment="1">
      <alignment horizontal="center" vertical="center"/>
    </xf>
    <xf numFmtId="0" fontId="43" fillId="0" borderId="0" xfId="61" applyFont="1"/>
    <xf numFmtId="1" fontId="36" fillId="0" borderId="0" xfId="61" applyNumberFormat="1" applyFont="1" applyAlignment="1">
      <alignment horizontal="right"/>
    </xf>
    <xf numFmtId="0" fontId="36" fillId="0" borderId="0" xfId="61" applyFont="1" applyAlignment="1">
      <alignment horizontal="right"/>
    </xf>
    <xf numFmtId="1" fontId="7" fillId="0" borderId="0" xfId="61" applyNumberFormat="1" applyFont="1" applyAlignment="1">
      <alignment horizontal="right"/>
    </xf>
    <xf numFmtId="0" fontId="7" fillId="0" borderId="0" xfId="61" applyFont="1" applyAlignment="1">
      <alignment horizontal="right"/>
    </xf>
    <xf numFmtId="1" fontId="7" fillId="0" borderId="0" xfId="65" applyNumberFormat="1" applyFont="1" applyAlignment="1">
      <alignment horizontal="right"/>
    </xf>
    <xf numFmtId="164" fontId="43" fillId="0" borderId="0" xfId="65" applyNumberFormat="1" applyFont="1"/>
    <xf numFmtId="0" fontId="43" fillId="0" borderId="0" xfId="65" applyFont="1"/>
    <xf numFmtId="1" fontId="85" fillId="0" borderId="0" xfId="61" applyNumberFormat="1" applyFont="1"/>
    <xf numFmtId="1" fontId="86" fillId="0" borderId="0" xfId="61" applyNumberFormat="1" applyFont="1"/>
    <xf numFmtId="0" fontId="17" fillId="0" borderId="0" xfId="63" applyFont="1"/>
    <xf numFmtId="1" fontId="87" fillId="0" borderId="0" xfId="61" applyNumberFormat="1" applyFont="1" applyAlignment="1">
      <alignment horizontal="center"/>
    </xf>
    <xf numFmtId="1" fontId="88" fillId="0" borderId="0" xfId="61" applyNumberFormat="1" applyFont="1" applyAlignment="1">
      <alignment horizontal="center"/>
    </xf>
    <xf numFmtId="0" fontId="89" fillId="0" borderId="0" xfId="63" applyFont="1"/>
    <xf numFmtId="0" fontId="42" fillId="0" borderId="0" xfId="63" applyFont="1"/>
    <xf numFmtId="1" fontId="38" fillId="0" borderId="0" xfId="63" applyNumberFormat="1" applyFont="1"/>
    <xf numFmtId="164" fontId="38" fillId="0" borderId="0" xfId="63" applyNumberFormat="1" applyFont="1"/>
    <xf numFmtId="1" fontId="89" fillId="0" borderId="0" xfId="63" applyNumberFormat="1" applyFont="1"/>
    <xf numFmtId="0" fontId="38" fillId="0" borderId="0" xfId="63" applyFont="1"/>
    <xf numFmtId="1" fontId="42" fillId="0" borderId="0" xfId="63" applyNumberFormat="1" applyFont="1"/>
    <xf numFmtId="164" fontId="42" fillId="0" borderId="0" xfId="63" applyNumberFormat="1" applyFont="1"/>
    <xf numFmtId="0" fontId="15" fillId="0" borderId="0" xfId="33" applyFont="1" applyAlignment="1">
      <alignment horizontal="left"/>
    </xf>
    <xf numFmtId="0" fontId="5" fillId="0" borderId="0" xfId="34" applyFont="1"/>
    <xf numFmtId="0" fontId="36" fillId="0" borderId="0" xfId="35" applyFont="1"/>
    <xf numFmtId="0" fontId="7" fillId="0" borderId="2" xfId="34" applyFont="1" applyBorder="1"/>
    <xf numFmtId="0" fontId="7" fillId="0" borderId="3" xfId="20" applyFont="1" applyBorder="1" applyAlignment="1">
      <alignment horizontal="centerContinuous" vertical="center"/>
    </xf>
    <xf numFmtId="0" fontId="7" fillId="0" borderId="2" xfId="20" quotePrefix="1" applyFont="1" applyBorder="1" applyAlignment="1">
      <alignment horizontal="center" vertical="center" wrapText="1"/>
    </xf>
    <xf numFmtId="0" fontId="36" fillId="0" borderId="0" xfId="36" applyFont="1"/>
    <xf numFmtId="0" fontId="36" fillId="0" borderId="0" xfId="37" applyFont="1"/>
    <xf numFmtId="0" fontId="36" fillId="0" borderId="0" xfId="34" applyFont="1"/>
    <xf numFmtId="164" fontId="36" fillId="0" borderId="0" xfId="34" applyNumberFormat="1" applyFont="1"/>
    <xf numFmtId="0" fontId="7" fillId="0" borderId="0" xfId="36" applyFont="1" applyAlignment="1">
      <alignment horizontal="left" indent="1"/>
    </xf>
    <xf numFmtId="0" fontId="7" fillId="0" borderId="0" xfId="37" applyFont="1"/>
    <xf numFmtId="0" fontId="41" fillId="0" borderId="0" xfId="37" applyFont="1"/>
    <xf numFmtId="164" fontId="41" fillId="0" borderId="0" xfId="37" applyNumberFormat="1" applyFont="1"/>
    <xf numFmtId="164" fontId="7" fillId="0" borderId="0" xfId="34" applyNumberFormat="1" applyFont="1"/>
    <xf numFmtId="0" fontId="43" fillId="0" borderId="0" xfId="36" applyFont="1" applyAlignment="1">
      <alignment horizontal="left" indent="1"/>
    </xf>
    <xf numFmtId="0" fontId="43" fillId="0" borderId="0" xfId="37" applyFont="1"/>
    <xf numFmtId="164" fontId="43" fillId="0" borderId="0" xfId="37" applyNumberFormat="1" applyFont="1"/>
    <xf numFmtId="164" fontId="43" fillId="0" borderId="0" xfId="34" applyNumberFormat="1" applyFont="1"/>
    <xf numFmtId="0" fontId="43" fillId="0" borderId="0" xfId="34" applyFont="1"/>
    <xf numFmtId="0" fontId="7" fillId="0" borderId="0" xfId="24" applyFont="1"/>
    <xf numFmtId="1" fontId="7" fillId="0" borderId="0" xfId="34" applyNumberFormat="1" applyFont="1" applyAlignment="1">
      <alignment horizontal="right" indent="1"/>
    </xf>
    <xf numFmtId="164" fontId="7" fillId="0" borderId="0" xfId="34" applyNumberFormat="1" applyFont="1" applyAlignment="1">
      <alignment horizontal="right" indent="2"/>
    </xf>
    <xf numFmtId="0" fontId="3" fillId="0" borderId="0" xfId="68" applyFont="1"/>
    <xf numFmtId="0" fontId="4" fillId="0" borderId="0" xfId="68" applyFont="1"/>
    <xf numFmtId="0" fontId="8" fillId="0" borderId="0" xfId="68"/>
    <xf numFmtId="0" fontId="3" fillId="0" borderId="0" xfId="69" applyFont="1" applyAlignment="1">
      <alignment vertical="center"/>
    </xf>
    <xf numFmtId="0" fontId="11" fillId="0" borderId="0" xfId="69" applyFont="1" applyAlignment="1">
      <alignment vertical="center"/>
    </xf>
    <xf numFmtId="0" fontId="11" fillId="0" borderId="0" xfId="69" applyFont="1" applyAlignment="1">
      <alignment horizontal="center" vertical="center"/>
    </xf>
    <xf numFmtId="0" fontId="8" fillId="0" borderId="1" xfId="69" applyBorder="1" applyAlignment="1">
      <alignment vertical="center"/>
    </xf>
    <xf numFmtId="0" fontId="9" fillId="0" borderId="0" xfId="70" applyFont="1" applyAlignment="1">
      <alignment horizontal="right"/>
    </xf>
    <xf numFmtId="0" fontId="8" fillId="0" borderId="2" xfId="69" applyBorder="1" applyAlignment="1">
      <alignment vertical="center"/>
    </xf>
    <xf numFmtId="0" fontId="8" fillId="0" borderId="2" xfId="70" applyFont="1" applyBorder="1" applyAlignment="1">
      <alignment horizontal="center" vertical="center" wrapText="1"/>
    </xf>
    <xf numFmtId="0" fontId="8" fillId="0" borderId="0" xfId="69" applyAlignment="1">
      <alignment vertical="center"/>
    </xf>
    <xf numFmtId="0" fontId="7" fillId="0" borderId="0" xfId="70" applyFont="1" applyAlignment="1">
      <alignment horizontal="center" vertical="center"/>
    </xf>
    <xf numFmtId="0" fontId="8" fillId="0" borderId="0" xfId="70" applyFont="1" applyAlignment="1">
      <alignment horizontal="center" vertical="center" wrapText="1"/>
    </xf>
    <xf numFmtId="0" fontId="8" fillId="0" borderId="0" xfId="68" applyAlignment="1">
      <alignment horizontal="center" vertical="center" wrapText="1"/>
    </xf>
    <xf numFmtId="0" fontId="7" fillId="0" borderId="1" xfId="70" applyFont="1" applyBorder="1" applyAlignment="1">
      <alignment horizontal="center" vertical="center"/>
    </xf>
    <xf numFmtId="0" fontId="8" fillId="0" borderId="1" xfId="70" applyFont="1" applyBorder="1" applyAlignment="1">
      <alignment horizontal="center" vertical="center" wrapText="1"/>
    </xf>
    <xf numFmtId="0" fontId="56" fillId="0" borderId="0" xfId="71" applyFont="1"/>
    <xf numFmtId="0" fontId="11" fillId="0" borderId="0" xfId="72" applyFont="1"/>
    <xf numFmtId="2" fontId="11" fillId="0" borderId="0" xfId="72" applyNumberFormat="1" applyFont="1" applyAlignment="1">
      <alignment horizontal="right" indent="1"/>
    </xf>
    <xf numFmtId="2" fontId="11" fillId="0" borderId="0" xfId="72" applyNumberFormat="1" applyFont="1" applyAlignment="1">
      <alignment horizontal="right" indent="2"/>
    </xf>
    <xf numFmtId="0" fontId="8" fillId="0" borderId="0" xfId="72" applyFont="1" applyAlignment="1">
      <alignment horizontal="left" indent="1"/>
    </xf>
    <xf numFmtId="2" fontId="56" fillId="0" borderId="0" xfId="71" applyNumberFormat="1" applyFont="1" applyAlignment="1">
      <alignment horizontal="right" indent="1"/>
    </xf>
    <xf numFmtId="2" fontId="56" fillId="0" borderId="0" xfId="71" applyNumberFormat="1" applyFont="1" applyAlignment="1">
      <alignment horizontal="right" indent="2"/>
    </xf>
    <xf numFmtId="43" fontId="56" fillId="0" borderId="0" xfId="71" applyNumberFormat="1" applyFont="1"/>
    <xf numFmtId="0" fontId="8" fillId="0" borderId="0" xfId="72" applyFont="1" applyAlignment="1">
      <alignment horizontal="left" vertical="center" wrapText="1" indent="1"/>
    </xf>
    <xf numFmtId="43" fontId="28" fillId="0" borderId="0" xfId="46" applyFont="1" applyAlignment="1">
      <alignment horizontal="right" indent="2"/>
    </xf>
    <xf numFmtId="173" fontId="56" fillId="0" borderId="0" xfId="71" applyNumberFormat="1" applyFont="1"/>
    <xf numFmtId="174" fontId="56" fillId="0" borderId="0" xfId="71" applyNumberFormat="1" applyFont="1"/>
    <xf numFmtId="43" fontId="56" fillId="0" borderId="0" xfId="46" applyFont="1" applyAlignment="1">
      <alignment horizontal="right" indent="2"/>
    </xf>
    <xf numFmtId="0" fontId="12" fillId="0" borderId="0" xfId="72" applyFont="1" applyAlignment="1">
      <alignment horizontal="left" indent="1"/>
    </xf>
    <xf numFmtId="2" fontId="8" fillId="0" borderId="0" xfId="72" applyNumberFormat="1" applyFont="1" applyAlignment="1">
      <alignment horizontal="right" indent="1"/>
    </xf>
    <xf numFmtId="0" fontId="56" fillId="0" borderId="1" xfId="73" applyFont="1" applyBorder="1"/>
    <xf numFmtId="0" fontId="56" fillId="0" borderId="0" xfId="73" applyFont="1"/>
    <xf numFmtId="0" fontId="8" fillId="0" borderId="0" xfId="73" applyFont="1"/>
    <xf numFmtId="0" fontId="4" fillId="0" borderId="0" xfId="69" applyFont="1"/>
    <xf numFmtId="0" fontId="68" fillId="0" borderId="0" xfId="69" applyFont="1"/>
    <xf numFmtId="0" fontId="3" fillId="0" borderId="0" xfId="69" applyFont="1"/>
    <xf numFmtId="0" fontId="63" fillId="0" borderId="0" xfId="69" applyFont="1"/>
    <xf numFmtId="0" fontId="63" fillId="0" borderId="0" xfId="69" applyFont="1" applyAlignment="1">
      <alignment horizontal="center" vertical="center"/>
    </xf>
    <xf numFmtId="0" fontId="6" fillId="0" borderId="1" xfId="69" applyFont="1" applyBorder="1" applyAlignment="1">
      <alignment vertical="center"/>
    </xf>
    <xf numFmtId="4" fontId="68" fillId="0" borderId="0" xfId="69" applyNumberFormat="1" applyFont="1"/>
    <xf numFmtId="0" fontId="8" fillId="0" borderId="0" xfId="70" applyFont="1" applyAlignment="1">
      <alignment horizontal="right"/>
    </xf>
    <xf numFmtId="0" fontId="8" fillId="0" borderId="0" xfId="70" applyFont="1" applyAlignment="1">
      <alignment horizontal="center" vertical="center"/>
    </xf>
    <xf numFmtId="49" fontId="11" fillId="0" borderId="0" xfId="69" applyNumberFormat="1" applyFont="1" applyAlignment="1">
      <alignment horizontal="left" wrapText="1"/>
    </xf>
    <xf numFmtId="4" fontId="11" fillId="0" borderId="0" xfId="69" applyNumberFormat="1" applyFont="1" applyAlignment="1">
      <alignment horizontal="right" indent="1"/>
    </xf>
    <xf numFmtId="4" fontId="11" fillId="0" borderId="0" xfId="69" applyNumberFormat="1" applyFont="1" applyAlignment="1">
      <alignment horizontal="right" indent="2"/>
    </xf>
    <xf numFmtId="0" fontId="93" fillId="0" borderId="0" xfId="69" applyFont="1"/>
    <xf numFmtId="0" fontId="11" fillId="0" borderId="0" xfId="72" applyFont="1" applyAlignment="1">
      <alignment horizontal="left"/>
    </xf>
    <xf numFmtId="4" fontId="8" fillId="0" borderId="0" xfId="69" applyNumberFormat="1" applyAlignment="1">
      <alignment horizontal="right" indent="1"/>
    </xf>
    <xf numFmtId="4" fontId="8" fillId="0" borderId="0" xfId="69" applyNumberFormat="1" applyAlignment="1">
      <alignment horizontal="right" indent="2"/>
    </xf>
    <xf numFmtId="175" fontId="68" fillId="0" borderId="0" xfId="69" applyNumberFormat="1" applyFont="1"/>
    <xf numFmtId="0" fontId="11" fillId="0" borderId="0" xfId="72" applyFont="1" applyAlignment="1">
      <alignment wrapText="1"/>
    </xf>
    <xf numFmtId="176" fontId="68" fillId="0" borderId="0" xfId="69" applyNumberFormat="1" applyFont="1"/>
    <xf numFmtId="0" fontId="12" fillId="0" borderId="0" xfId="69" applyFont="1"/>
    <xf numFmtId="0" fontId="11" fillId="0" borderId="0" xfId="69" applyFont="1"/>
    <xf numFmtId="0" fontId="8" fillId="0" borderId="0" xfId="69" applyAlignment="1">
      <alignment horizontal="left" indent="1"/>
    </xf>
    <xf numFmtId="49" fontId="8" fillId="0" borderId="0" xfId="69" applyNumberFormat="1" applyAlignment="1">
      <alignment horizontal="left" wrapText="1"/>
    </xf>
    <xf numFmtId="4" fontId="8" fillId="0" borderId="0" xfId="69" applyNumberFormat="1"/>
    <xf numFmtId="49" fontId="68" fillId="0" borderId="0" xfId="69" applyNumberFormat="1" applyFont="1" applyAlignment="1">
      <alignment horizontal="left" wrapText="1"/>
    </xf>
    <xf numFmtId="0" fontId="2" fillId="0" borderId="0" xfId="74"/>
    <xf numFmtId="0" fontId="4" fillId="0" borderId="0" xfId="74" applyFont="1"/>
    <xf numFmtId="2" fontId="11" fillId="0" borderId="0" xfId="74" applyNumberFormat="1" applyFont="1" applyAlignment="1">
      <alignment horizontal="right" indent="1"/>
    </xf>
    <xf numFmtId="2" fontId="11" fillId="0" borderId="0" xfId="74" applyNumberFormat="1" applyFont="1" applyAlignment="1">
      <alignment horizontal="right" indent="2"/>
    </xf>
    <xf numFmtId="0" fontId="66" fillId="0" borderId="0" xfId="74" applyFont="1"/>
    <xf numFmtId="2" fontId="8" fillId="0" borderId="0" xfId="74" applyNumberFormat="1" applyFont="1" applyAlignment="1">
      <alignment horizontal="right" indent="1"/>
    </xf>
    <xf numFmtId="4" fontId="8" fillId="0" borderId="0" xfId="75" applyNumberFormat="1" applyFont="1" applyAlignment="1">
      <alignment horizontal="left" vertical="center" wrapText="1" indent="2"/>
    </xf>
    <xf numFmtId="2" fontId="8" fillId="0" borderId="0" xfId="74" applyNumberFormat="1" applyFont="1" applyAlignment="1">
      <alignment horizontal="right" indent="2"/>
    </xf>
    <xf numFmtId="0" fontId="8" fillId="0" borderId="0" xfId="72" applyFont="1" applyAlignment="1">
      <alignment horizontal="left" indent="2"/>
    </xf>
    <xf numFmtId="2" fontId="66" fillId="0" borderId="0" xfId="74" applyNumberFormat="1" applyFont="1"/>
    <xf numFmtId="0" fontId="2" fillId="0" borderId="0" xfId="76"/>
    <xf numFmtId="0" fontId="4" fillId="0" borderId="0" xfId="76" applyFont="1"/>
    <xf numFmtId="2" fontId="11" fillId="0" borderId="0" xfId="76" applyNumberFormat="1" applyFont="1" applyAlignment="1">
      <alignment horizontal="right" indent="1"/>
    </xf>
    <xf numFmtId="2" fontId="11" fillId="0" borderId="0" xfId="76" applyNumberFormat="1" applyFont="1" applyAlignment="1">
      <alignment horizontal="right" indent="2"/>
    </xf>
    <xf numFmtId="0" fontId="66" fillId="0" borderId="0" xfId="76" applyFont="1"/>
    <xf numFmtId="2" fontId="8" fillId="0" borderId="0" xfId="76" applyNumberFormat="1" applyFont="1" applyAlignment="1">
      <alignment horizontal="right" indent="1"/>
    </xf>
    <xf numFmtId="2" fontId="8" fillId="0" borderId="0" xfId="76" applyNumberFormat="1" applyFont="1" applyAlignment="1">
      <alignment horizontal="right" indent="2"/>
    </xf>
    <xf numFmtId="0" fontId="7" fillId="0" borderId="0" xfId="72" applyFont="1" applyAlignment="1">
      <alignment horizontal="left" indent="1"/>
    </xf>
    <xf numFmtId="2" fontId="7" fillId="0" borderId="0" xfId="76" applyNumberFormat="1" applyFont="1" applyAlignment="1">
      <alignment horizontal="right" indent="2"/>
    </xf>
    <xf numFmtId="2" fontId="2" fillId="0" borderId="0" xfId="76" applyNumberFormat="1"/>
    <xf numFmtId="0" fontId="3" fillId="0" borderId="0" xfId="70" applyFont="1" applyAlignment="1">
      <alignment horizontal="left"/>
    </xf>
    <xf numFmtId="0" fontId="3" fillId="0" borderId="0" xfId="77" applyFont="1"/>
    <xf numFmtId="0" fontId="4" fillId="0" borderId="0" xfId="77" applyFont="1"/>
    <xf numFmtId="0" fontId="4" fillId="0" borderId="0" xfId="70" applyFont="1"/>
    <xf numFmtId="0" fontId="8" fillId="0" borderId="0" xfId="70" applyFont="1"/>
    <xf numFmtId="0" fontId="8" fillId="0" borderId="2" xfId="70" applyFont="1" applyBorder="1"/>
    <xf numFmtId="0" fontId="11" fillId="0" borderId="0" xfId="70" applyFont="1"/>
    <xf numFmtId="2" fontId="11" fillId="0" borderId="0" xfId="77" applyNumberFormat="1" applyFont="1" applyAlignment="1">
      <alignment horizontal="right" indent="2"/>
    </xf>
    <xf numFmtId="177" fontId="12" fillId="0" borderId="0" xfId="70" applyNumberFormat="1" applyFont="1" applyAlignment="1">
      <alignment horizontal="left" indent="1"/>
    </xf>
    <xf numFmtId="2" fontId="8" fillId="0" borderId="0" xfId="77" applyNumberFormat="1" applyFont="1" applyAlignment="1">
      <alignment horizontal="right" indent="2"/>
    </xf>
    <xf numFmtId="177" fontId="8" fillId="0" borderId="0" xfId="70" applyNumberFormat="1" applyFont="1" applyAlignment="1">
      <alignment horizontal="left" indent="2"/>
    </xf>
    <xf numFmtId="2" fontId="8" fillId="0" borderId="0" xfId="78" applyNumberFormat="1" applyFont="1" applyAlignment="1">
      <alignment horizontal="right" indent="1"/>
    </xf>
    <xf numFmtId="2" fontId="8" fillId="0" borderId="0" xfId="78" applyNumberFormat="1" applyFont="1" applyAlignment="1">
      <alignment horizontal="right"/>
    </xf>
    <xf numFmtId="0" fontId="14" fillId="0" borderId="0" xfId="70" applyFont="1"/>
    <xf numFmtId="2" fontId="7" fillId="0" borderId="0" xfId="78" applyNumberFormat="1" applyFont="1" applyAlignment="1">
      <alignment horizontal="right"/>
    </xf>
    <xf numFmtId="2" fontId="4" fillId="0" borderId="0" xfId="77" applyNumberFormat="1" applyFont="1"/>
    <xf numFmtId="0" fontId="94" fillId="0" borderId="0" xfId="70" applyFont="1" applyAlignment="1">
      <alignment horizontal="left"/>
    </xf>
    <xf numFmtId="2" fontId="36" fillId="0" borderId="0" xfId="78" applyNumberFormat="1" applyFont="1" applyAlignment="1">
      <alignment horizontal="right"/>
    </xf>
    <xf numFmtId="0" fontId="8" fillId="0" borderId="0" xfId="77" applyFont="1"/>
    <xf numFmtId="164" fontId="7" fillId="0" borderId="0" xfId="15" applyNumberFormat="1" applyFont="1" applyAlignment="1">
      <alignment horizontal="right" indent="2"/>
    </xf>
    <xf numFmtId="164" fontId="7" fillId="0" borderId="0" xfId="15" applyNumberFormat="1" applyFont="1" applyAlignment="1">
      <alignment horizontal="right" indent="1"/>
    </xf>
    <xf numFmtId="0" fontId="7" fillId="0" borderId="0" xfId="15" applyFont="1" applyAlignment="1">
      <alignment horizontal="right" indent="2"/>
    </xf>
    <xf numFmtId="0" fontId="3" fillId="0" borderId="0" xfId="79" applyFont="1"/>
    <xf numFmtId="0" fontId="95" fillId="0" borderId="0" xfId="70" applyFont="1" applyAlignment="1">
      <alignment horizontal="left"/>
    </xf>
    <xf numFmtId="0" fontId="8" fillId="0" borderId="0" xfId="79"/>
    <xf numFmtId="0" fontId="4" fillId="0" borderId="0" xfId="79" applyFont="1"/>
    <xf numFmtId="0" fontId="42" fillId="0" borderId="2" xfId="42" applyFont="1" applyBorder="1" applyAlignment="1">
      <alignment horizontal="center" vertical="center" wrapText="1"/>
    </xf>
    <xf numFmtId="0" fontId="7" fillId="0" borderId="2" xfId="70" applyFont="1" applyBorder="1" applyAlignment="1">
      <alignment horizontal="center" vertical="center" wrapText="1"/>
    </xf>
    <xf numFmtId="0" fontId="42" fillId="0" borderId="0" xfId="42" applyFont="1" applyAlignment="1">
      <alignment horizontal="center" vertical="center" wrapText="1"/>
    </xf>
    <xf numFmtId="0" fontId="7" fillId="0" borderId="0" xfId="70" applyFont="1" applyAlignment="1">
      <alignment horizontal="center" vertical="center" wrapText="1"/>
    </xf>
    <xf numFmtId="0" fontId="7" fillId="0" borderId="0" xfId="70" quotePrefix="1" applyFont="1" applyAlignment="1">
      <alignment horizontal="center" vertical="center"/>
    </xf>
    <xf numFmtId="0" fontId="33" fillId="0" borderId="1" xfId="70" applyFont="1" applyBorder="1" applyAlignment="1">
      <alignment vertical="center"/>
    </xf>
    <xf numFmtId="0" fontId="42" fillId="0" borderId="1" xfId="42" applyFont="1" applyBorder="1" applyAlignment="1">
      <alignment horizontal="center" vertical="center" wrapText="1"/>
    </xf>
    <xf numFmtId="0" fontId="33" fillId="0" borderId="0" xfId="70" applyFont="1"/>
    <xf numFmtId="0" fontId="42" fillId="0" borderId="0" xfId="80" applyFont="1" applyAlignment="1">
      <alignment horizontal="center" vertical="center" wrapText="1"/>
    </xf>
    <xf numFmtId="2" fontId="11" fillId="0" borderId="0" xfId="78" applyNumberFormat="1" applyFont="1" applyAlignment="1">
      <alignment horizontal="right" indent="1"/>
    </xf>
    <xf numFmtId="2" fontId="11" fillId="0" borderId="0" xfId="78" applyNumberFormat="1" applyFont="1" applyAlignment="1">
      <alignment horizontal="left" indent="2"/>
    </xf>
    <xf numFmtId="2" fontId="8" fillId="0" borderId="0" xfId="79" applyNumberFormat="1" applyAlignment="1">
      <alignment horizontal="right" indent="1"/>
    </xf>
    <xf numFmtId="2" fontId="8" fillId="0" borderId="0" xfId="79" applyNumberFormat="1" applyAlignment="1">
      <alignment horizontal="left" indent="2"/>
    </xf>
    <xf numFmtId="0" fontId="20" fillId="0" borderId="0" xfId="70" applyFont="1"/>
    <xf numFmtId="2" fontId="8" fillId="0" borderId="0" xfId="79" applyNumberFormat="1" applyAlignment="1">
      <alignment horizontal="right" indent="2"/>
    </xf>
    <xf numFmtId="2" fontId="8" fillId="0" borderId="0" xfId="79" applyNumberFormat="1"/>
    <xf numFmtId="164" fontId="94" fillId="0" borderId="0" xfId="70" applyNumberFormat="1" applyFont="1" applyAlignment="1">
      <alignment horizontal="center"/>
    </xf>
    <xf numFmtId="2" fontId="11" fillId="0" borderId="0" xfId="79" applyNumberFormat="1" applyFont="1" applyAlignment="1">
      <alignment horizontal="left" indent="2"/>
    </xf>
    <xf numFmtId="2" fontId="11" fillId="0" borderId="0" xfId="78" quotePrefix="1" applyNumberFormat="1" applyFont="1" applyAlignment="1">
      <alignment horizontal="right" indent="1"/>
    </xf>
    <xf numFmtId="0" fontId="8" fillId="0" borderId="1" xfId="79" applyBorder="1"/>
    <xf numFmtId="0" fontId="8" fillId="0" borderId="0" xfId="78" applyFont="1" applyAlignment="1">
      <alignment horizontal="left" vertical="center"/>
    </xf>
    <xf numFmtId="0" fontId="96" fillId="0" borderId="0" xfId="80" applyFont="1" applyAlignment="1">
      <alignment horizontal="center" vertical="center" wrapText="1"/>
    </xf>
    <xf numFmtId="0" fontId="97" fillId="0" borderId="0" xfId="80" applyFont="1" applyAlignment="1">
      <alignment horizontal="center" vertical="center" wrapText="1"/>
    </xf>
    <xf numFmtId="0" fontId="97" fillId="0" borderId="0" xfId="80" applyFont="1" applyAlignment="1">
      <alignment vertical="center" wrapText="1"/>
    </xf>
    <xf numFmtId="0" fontId="96" fillId="0" borderId="0" xfId="80" applyFont="1" applyAlignment="1">
      <alignment vertical="center" wrapText="1"/>
    </xf>
    <xf numFmtId="0" fontId="71" fillId="0" borderId="0" xfId="81" applyFont="1"/>
    <xf numFmtId="0" fontId="72" fillId="0" borderId="0" xfId="82" applyFont="1"/>
    <xf numFmtId="0" fontId="98" fillId="0" borderId="0" xfId="81" applyFont="1"/>
    <xf numFmtId="0" fontId="56" fillId="0" borderId="0" xfId="82" applyFont="1"/>
    <xf numFmtId="0" fontId="42" fillId="0" borderId="0" xfId="81" applyFont="1"/>
    <xf numFmtId="0" fontId="42" fillId="0" borderId="0" xfId="82" applyFont="1"/>
    <xf numFmtId="0" fontId="99" fillId="0" borderId="0" xfId="82" applyFont="1"/>
    <xf numFmtId="0" fontId="99" fillId="0" borderId="0" xfId="82" applyFont="1" applyAlignment="1">
      <alignment horizontal="right"/>
    </xf>
    <xf numFmtId="0" fontId="38" fillId="0" borderId="0" xfId="82" applyFont="1" applyAlignment="1">
      <alignment horizontal="center" vertical="center"/>
    </xf>
    <xf numFmtId="0" fontId="38" fillId="0" borderId="0" xfId="82" quotePrefix="1" applyFont="1" applyAlignment="1">
      <alignment horizontal="center" vertical="center"/>
    </xf>
    <xf numFmtId="0" fontId="56" fillId="0" borderId="2" xfId="81" applyFont="1" applyBorder="1"/>
    <xf numFmtId="0" fontId="100" fillId="0" borderId="2" xfId="83" applyFont="1" applyBorder="1" applyAlignment="1">
      <alignment horizontal="center" vertical="center" wrapText="1"/>
    </xf>
    <xf numFmtId="0" fontId="56" fillId="0" borderId="0" xfId="81" applyFont="1"/>
    <xf numFmtId="164" fontId="56" fillId="0" borderId="0" xfId="81" applyNumberFormat="1" applyFont="1"/>
    <xf numFmtId="164" fontId="56" fillId="0" borderId="0" xfId="84" applyNumberFormat="1" applyFont="1"/>
    <xf numFmtId="0" fontId="100" fillId="0" borderId="0" xfId="83" applyFont="1" applyAlignment="1">
      <alignment horizontal="center" vertical="center" wrapText="1"/>
    </xf>
    <xf numFmtId="0" fontId="55" fillId="0" borderId="0" xfId="81" applyFont="1" applyAlignment="1">
      <alignment horizontal="center" vertical="center"/>
    </xf>
    <xf numFmtId="0" fontId="100" fillId="0" borderId="1" xfId="83" applyFont="1" applyBorder="1" applyAlignment="1">
      <alignment horizontal="center" vertical="center" wrapText="1"/>
    </xf>
    <xf numFmtId="0" fontId="14" fillId="0" borderId="1" xfId="20" applyFont="1" applyBorder="1" applyAlignment="1">
      <alignment horizontal="center" vertical="center"/>
    </xf>
    <xf numFmtId="0" fontId="55" fillId="0" borderId="1" xfId="81" applyFont="1" applyBorder="1" applyAlignment="1">
      <alignment horizontal="center" vertical="center"/>
    </xf>
    <xf numFmtId="0" fontId="56" fillId="0" borderId="0" xfId="82" applyFont="1" applyAlignment="1">
      <alignment horizontal="center" vertical="center" wrapText="1"/>
    </xf>
    <xf numFmtId="0" fontId="55" fillId="0" borderId="0" xfId="81" applyFont="1" applyAlignment="1">
      <alignment vertical="center"/>
    </xf>
    <xf numFmtId="1" fontId="56" fillId="0" borderId="0" xfId="85" applyNumberFormat="1" applyFont="1" applyAlignment="1">
      <alignment horizontal="right" vertical="center"/>
    </xf>
    <xf numFmtId="164" fontId="56" fillId="0" borderId="0" xfId="81" applyNumberFormat="1" applyFont="1" applyAlignment="1">
      <alignment vertical="center"/>
    </xf>
    <xf numFmtId="0" fontId="55" fillId="0" borderId="0" xfId="81" applyFont="1" applyAlignment="1">
      <alignment vertical="center" wrapText="1"/>
    </xf>
    <xf numFmtId="164" fontId="56" fillId="0" borderId="0" xfId="85" applyNumberFormat="1" applyFont="1" applyAlignment="1">
      <alignment horizontal="right" vertical="center"/>
    </xf>
    <xf numFmtId="0" fontId="28" fillId="0" borderId="0" xfId="81" applyFont="1"/>
    <xf numFmtId="164" fontId="28" fillId="0" borderId="0" xfId="81" applyNumberFormat="1" applyFont="1"/>
    <xf numFmtId="0" fontId="97" fillId="0" borderId="0" xfId="81" applyFont="1"/>
    <xf numFmtId="1" fontId="97" fillId="0" borderId="0" xfId="81" applyNumberFormat="1" applyFont="1"/>
    <xf numFmtId="2" fontId="42" fillId="0" borderId="0" xfId="81" applyNumberFormat="1" applyFont="1"/>
    <xf numFmtId="0" fontId="1" fillId="0" borderId="0" xfId="81"/>
    <xf numFmtId="0" fontId="72" fillId="0" borderId="0" xfId="81" applyFont="1"/>
    <xf numFmtId="0" fontId="58" fillId="0" borderId="0" xfId="81" applyFont="1" applyAlignment="1">
      <alignment horizontal="right"/>
    </xf>
    <xf numFmtId="0" fontId="101" fillId="0" borderId="2" xfId="81" applyFont="1" applyBorder="1" applyAlignment="1">
      <alignment horizontal="center" wrapText="1"/>
    </xf>
    <xf numFmtId="0" fontId="7" fillId="0" borderId="2" xfId="20" applyFont="1" applyBorder="1" applyAlignment="1">
      <alignment horizontal="center" vertical="center" wrapText="1"/>
    </xf>
    <xf numFmtId="15" fontId="7" fillId="0" borderId="2" xfId="20" quotePrefix="1" applyNumberFormat="1" applyFont="1" applyBorder="1" applyAlignment="1">
      <alignment vertical="center"/>
    </xf>
    <xf numFmtId="0" fontId="101" fillId="0" borderId="0" xfId="81" applyFont="1" applyAlignment="1">
      <alignment horizontal="center" wrapText="1"/>
    </xf>
    <xf numFmtId="0" fontId="7" fillId="0" borderId="1" xfId="20" applyFont="1" applyBorder="1" applyAlignment="1">
      <alignment horizontal="center" vertical="center"/>
    </xf>
    <xf numFmtId="0" fontId="7" fillId="0" borderId="1" xfId="20" applyFont="1" applyBorder="1" applyAlignment="1">
      <alignment horizontal="center" vertical="center" wrapText="1"/>
    </xf>
    <xf numFmtId="15" fontId="7" fillId="0" borderId="1" xfId="20" quotePrefix="1" applyNumberFormat="1" applyFont="1" applyBorder="1" applyAlignment="1">
      <alignment vertical="center"/>
    </xf>
    <xf numFmtId="0" fontId="7" fillId="0" borderId="0" xfId="20" applyFont="1" applyAlignment="1">
      <alignment horizontal="center" vertical="center" wrapText="1"/>
    </xf>
    <xf numFmtId="0" fontId="94" fillId="0" borderId="0" xfId="53" applyFont="1"/>
    <xf numFmtId="1" fontId="28" fillId="0" borderId="0" xfId="81" applyNumberFormat="1" applyFont="1"/>
    <xf numFmtId="164" fontId="28" fillId="0" borderId="0" xfId="81" applyNumberFormat="1" applyFont="1" applyAlignment="1">
      <alignment horizontal="right" wrapText="1"/>
    </xf>
    <xf numFmtId="0" fontId="38" fillId="0" borderId="0" xfId="82" applyFont="1"/>
    <xf numFmtId="164" fontId="38" fillId="0" borderId="0" xfId="82" applyNumberFormat="1" applyFont="1"/>
    <xf numFmtId="0" fontId="102" fillId="0" borderId="0" xfId="86" applyFont="1"/>
    <xf numFmtId="0" fontId="102" fillId="0" borderId="0" xfId="87" applyFont="1"/>
    <xf numFmtId="1" fontId="73" fillId="0" borderId="0" xfId="81" applyNumberFormat="1" applyFont="1"/>
    <xf numFmtId="164" fontId="73" fillId="0" borderId="0" xfId="81" applyNumberFormat="1" applyFont="1" applyAlignment="1">
      <alignment horizontal="right" wrapText="1"/>
    </xf>
    <xf numFmtId="0" fontId="103" fillId="0" borderId="0" xfId="82" applyFont="1"/>
    <xf numFmtId="0" fontId="55" fillId="0" borderId="0" xfId="87" applyFont="1"/>
    <xf numFmtId="0" fontId="100" fillId="0" borderId="0" xfId="87" applyFont="1" applyAlignment="1">
      <alignment horizontal="left" wrapText="1" indent="1"/>
    </xf>
    <xf numFmtId="1" fontId="56" fillId="0" borderId="0" xfId="81" applyNumberFormat="1" applyFont="1"/>
    <xf numFmtId="164" fontId="56" fillId="0" borderId="0" xfId="81" applyNumberFormat="1" applyFont="1" applyAlignment="1">
      <alignment horizontal="right" wrapText="1"/>
    </xf>
    <xf numFmtId="0" fontId="104" fillId="0" borderId="0" xfId="86" applyFont="1"/>
    <xf numFmtId="164" fontId="56" fillId="0" borderId="0" xfId="81" applyNumberFormat="1" applyFont="1" applyAlignment="1">
      <alignment wrapText="1"/>
    </xf>
    <xf numFmtId="164" fontId="56" fillId="0" borderId="0" xfId="82" applyNumberFormat="1" applyFont="1" applyAlignment="1">
      <alignment horizontal="right"/>
    </xf>
    <xf numFmtId="0" fontId="103" fillId="0" borderId="0" xfId="82" applyFont="1" applyAlignment="1">
      <alignment horizontal="right"/>
    </xf>
    <xf numFmtId="0" fontId="11" fillId="0" borderId="0" xfId="53" applyFont="1"/>
    <xf numFmtId="0" fontId="28" fillId="0" borderId="0" xfId="81" applyFont="1" applyAlignment="1">
      <alignment horizontal="right" indent="1"/>
    </xf>
    <xf numFmtId="164" fontId="28" fillId="0" borderId="0" xfId="81" applyNumberFormat="1" applyFont="1" applyAlignment="1">
      <alignment horizontal="right" indent="4"/>
    </xf>
    <xf numFmtId="0" fontId="73" fillId="0" borderId="0" xfId="81" applyFont="1" applyAlignment="1">
      <alignment horizontal="right" indent="1"/>
    </xf>
    <xf numFmtId="164" fontId="73" fillId="0" borderId="0" xfId="81" applyNumberFormat="1" applyFont="1" applyAlignment="1">
      <alignment horizontal="right" indent="4"/>
    </xf>
    <xf numFmtId="0" fontId="105" fillId="0" borderId="0" xfId="85" applyFont="1" applyAlignment="1">
      <alignment horizontal="left" wrapText="1" indent="1"/>
    </xf>
    <xf numFmtId="0" fontId="56" fillId="0" borderId="0" xfId="81" applyFont="1" applyAlignment="1">
      <alignment horizontal="right" indent="1"/>
    </xf>
    <xf numFmtId="164" fontId="56" fillId="0" borderId="0" xfId="81" applyNumberFormat="1" applyFont="1" applyAlignment="1">
      <alignment horizontal="right" indent="4"/>
    </xf>
    <xf numFmtId="0" fontId="73" fillId="0" borderId="0" xfId="85" applyFont="1"/>
    <xf numFmtId="164" fontId="28" fillId="0" borderId="0" xfId="81" applyNumberFormat="1" applyFont="1" applyAlignment="1">
      <alignment horizontal="center"/>
    </xf>
    <xf numFmtId="164" fontId="73" fillId="0" borderId="0" xfId="81" applyNumberFormat="1" applyFont="1" applyAlignment="1">
      <alignment horizontal="center"/>
    </xf>
    <xf numFmtId="164" fontId="56" fillId="0" borderId="0" xfId="81" applyNumberFormat="1" applyFont="1" applyAlignment="1">
      <alignment horizontal="center"/>
    </xf>
    <xf numFmtId="0" fontId="105" fillId="0" borderId="0" xfId="81" applyFont="1" applyAlignment="1">
      <alignment horizontal="left" wrapText="1" indent="1"/>
    </xf>
    <xf numFmtId="0" fontId="4" fillId="0" borderId="0" xfId="88" applyFont="1" applyAlignment="1">
      <alignment horizontal="center" vertical="center"/>
    </xf>
    <xf numFmtId="0" fontId="8" fillId="0" borderId="0" xfId="88" applyFont="1" applyAlignment="1">
      <alignment horizontal="center" vertical="center"/>
    </xf>
    <xf numFmtId="0" fontId="8" fillId="0" borderId="2" xfId="88" applyFont="1" applyBorder="1" applyAlignment="1">
      <alignment horizontal="center" vertical="center"/>
    </xf>
    <xf numFmtId="0" fontId="8" fillId="0" borderId="3" xfId="88" applyFont="1" applyBorder="1" applyAlignment="1">
      <alignment horizontal="center" vertical="center" wrapText="1"/>
    </xf>
    <xf numFmtId="0" fontId="8" fillId="0" borderId="0" xfId="88" applyFont="1" applyAlignment="1">
      <alignment horizontal="center" vertical="center" wrapText="1"/>
    </xf>
    <xf numFmtId="0" fontId="11" fillId="0" borderId="0" xfId="88" applyFont="1"/>
    <xf numFmtId="164" fontId="36" fillId="0" borderId="0" xfId="88" applyNumberFormat="1" applyFont="1"/>
    <xf numFmtId="164" fontId="11" fillId="0" borderId="0" xfId="88" applyNumberFormat="1" applyFont="1" applyAlignment="1">
      <alignment horizontal="right" vertical="center"/>
    </xf>
    <xf numFmtId="176" fontId="8" fillId="0" borderId="0" xfId="88" applyNumberFormat="1" applyFont="1" applyAlignment="1">
      <alignment horizontal="center" vertical="center"/>
    </xf>
    <xf numFmtId="0" fontId="43" fillId="0" borderId="0" xfId="88" applyFont="1" applyAlignment="1">
      <alignment horizontal="left"/>
    </xf>
    <xf numFmtId="164" fontId="7" fillId="0" borderId="0" xfId="88" applyNumberFormat="1" applyFont="1"/>
    <xf numFmtId="0" fontId="7" fillId="0" borderId="0" xfId="88" applyFont="1" applyAlignment="1">
      <alignment horizontal="left"/>
    </xf>
    <xf numFmtId="164" fontId="8" fillId="0" borderId="0" xfId="88" applyNumberFormat="1" applyFont="1" applyAlignment="1">
      <alignment horizontal="center" vertical="center"/>
    </xf>
    <xf numFmtId="0" fontId="7" fillId="0" borderId="0" xfId="88" applyFont="1"/>
    <xf numFmtId="2" fontId="7" fillId="0" borderId="0" xfId="88" applyNumberFormat="1" applyFont="1"/>
    <xf numFmtId="2" fontId="8" fillId="0" borderId="0" xfId="88" applyNumberFormat="1" applyFont="1" applyAlignment="1">
      <alignment horizontal="center" vertical="center"/>
    </xf>
    <xf numFmtId="0" fontId="8" fillId="0" borderId="0" xfId="88" applyFont="1" applyAlignment="1">
      <alignment horizontal="left" vertical="center"/>
    </xf>
    <xf numFmtId="164" fontId="8" fillId="0" borderId="0" xfId="88" applyNumberFormat="1" applyFont="1" applyAlignment="1">
      <alignment horizontal="right" vertical="center"/>
    </xf>
    <xf numFmtId="0" fontId="26" fillId="0" borderId="0" xfId="89" applyFont="1"/>
    <xf numFmtId="0" fontId="1" fillId="0" borderId="0" xfId="89"/>
    <xf numFmtId="0" fontId="8" fillId="0" borderId="1" xfId="88" applyFont="1" applyBorder="1" applyAlignment="1">
      <alignment horizontal="center" vertical="center" wrapText="1"/>
    </xf>
    <xf numFmtId="1" fontId="11" fillId="0" borderId="0" xfId="90" applyNumberFormat="1" applyFont="1" applyAlignment="1">
      <alignment horizontal="right" indent="1"/>
    </xf>
    <xf numFmtId="164" fontId="11" fillId="0" borderId="0" xfId="88" applyNumberFormat="1" applyFont="1" applyAlignment="1">
      <alignment horizontal="center" vertical="center"/>
    </xf>
    <xf numFmtId="0" fontId="11" fillId="0" borderId="0" xfId="88" applyFont="1" applyAlignment="1">
      <alignment horizontal="center" vertical="center"/>
    </xf>
    <xf numFmtId="0" fontId="11" fillId="0" borderId="0" xfId="88" applyFont="1" applyAlignment="1">
      <alignment wrapText="1"/>
    </xf>
    <xf numFmtId="164" fontId="11" fillId="0" borderId="0" xfId="88" applyNumberFormat="1" applyFont="1" applyAlignment="1">
      <alignment wrapText="1"/>
    </xf>
    <xf numFmtId="164" fontId="67" fillId="0" borderId="0" xfId="88" applyNumberFormat="1" applyFont="1"/>
    <xf numFmtId="164" fontId="11" fillId="0" borderId="0" xfId="90" applyNumberFormat="1" applyFont="1" applyAlignment="1">
      <alignment horizontal="right" indent="1"/>
    </xf>
    <xf numFmtId="0" fontId="12" fillId="0" borderId="0" xfId="88" applyFont="1" applyAlignment="1">
      <alignment horizontal="left"/>
    </xf>
    <xf numFmtId="164" fontId="12" fillId="0" borderId="0" xfId="88" applyNumberFormat="1" applyFont="1" applyAlignment="1">
      <alignment horizontal="left"/>
    </xf>
    <xf numFmtId="164" fontId="8" fillId="0" borderId="0" xfId="88" applyNumberFormat="1" applyFont="1"/>
    <xf numFmtId="0" fontId="8" fillId="0" borderId="0" xfId="88" applyFont="1" applyAlignment="1">
      <alignment horizontal="left" indent="1"/>
    </xf>
    <xf numFmtId="164" fontId="12" fillId="0" borderId="0" xfId="88" applyNumberFormat="1" applyFont="1"/>
    <xf numFmtId="164" fontId="47" fillId="0" borderId="0" xfId="88" applyNumberFormat="1" applyFont="1"/>
    <xf numFmtId="2" fontId="11" fillId="0" borderId="0" xfId="90" applyNumberFormat="1" applyFont="1" applyAlignment="1">
      <alignment horizontal="right" indent="1"/>
    </xf>
    <xf numFmtId="0" fontId="12" fillId="0" borderId="0" xfId="88" applyFont="1"/>
    <xf numFmtId="164" fontId="11" fillId="0" borderId="0" xfId="88" applyNumberFormat="1" applyFont="1"/>
    <xf numFmtId="164" fontId="8" fillId="0" borderId="0" xfId="88" applyNumberFormat="1" applyFont="1" applyAlignment="1">
      <alignment horizontal="right"/>
    </xf>
    <xf numFmtId="0" fontId="106" fillId="0" borderId="0" xfId="91" applyFont="1"/>
    <xf numFmtId="0" fontId="26" fillId="0" borderId="0" xfId="92" applyFont="1"/>
    <xf numFmtId="0" fontId="107" fillId="0" borderId="0" xfId="91" applyFont="1"/>
    <xf numFmtId="0" fontId="23" fillId="0" borderId="0" xfId="91" applyFont="1"/>
    <xf numFmtId="0" fontId="1" fillId="0" borderId="0" xfId="92"/>
    <xf numFmtId="0" fontId="9" fillId="0" borderId="1" xfId="93" applyFont="1" applyBorder="1" applyAlignment="1">
      <alignment horizontal="right"/>
    </xf>
    <xf numFmtId="0" fontId="23" fillId="0" borderId="2" xfId="91" applyFont="1" applyBorder="1"/>
    <xf numFmtId="0" fontId="23" fillId="0" borderId="1" xfId="91" applyFont="1" applyBorder="1" applyAlignment="1">
      <alignment horizontal="center" vertical="center"/>
    </xf>
    <xf numFmtId="0" fontId="25" fillId="0" borderId="0" xfId="91" applyFont="1"/>
    <xf numFmtId="0" fontId="23" fillId="0" borderId="0" xfId="91" applyFont="1" applyAlignment="1">
      <alignment horizontal="left" indent="2"/>
    </xf>
    <xf numFmtId="2" fontId="23" fillId="0" borderId="0" xfId="91" applyNumberFormat="1" applyFont="1" applyAlignment="1">
      <alignment horizontal="right" indent="1"/>
    </xf>
    <xf numFmtId="0" fontId="23" fillId="0" borderId="0" xfId="91" applyFont="1" applyAlignment="1">
      <alignment horizontal="right" indent="1"/>
    </xf>
    <xf numFmtId="0" fontId="25" fillId="0" borderId="0" xfId="91" applyFont="1" applyAlignment="1">
      <alignment horizontal="right" indent="1"/>
    </xf>
    <xf numFmtId="0" fontId="23" fillId="0" borderId="0" xfId="91" applyFont="1" applyAlignment="1">
      <alignment horizontal="right"/>
    </xf>
    <xf numFmtId="0" fontId="25" fillId="0" borderId="0" xfId="91" applyFont="1" applyAlignment="1">
      <alignment horizontal="left"/>
    </xf>
    <xf numFmtId="164" fontId="11" fillId="0" borderId="0" xfId="88" applyNumberFormat="1" applyFont="1" applyAlignment="1">
      <alignment horizontal="right" indent="1"/>
    </xf>
    <xf numFmtId="164" fontId="8" fillId="0" borderId="0" xfId="88" applyNumberFormat="1" applyFont="1" applyAlignment="1">
      <alignment horizontal="right" indent="1"/>
    </xf>
    <xf numFmtId="164" fontId="23" fillId="0" borderId="0" xfId="91" applyNumberFormat="1" applyFont="1"/>
    <xf numFmtId="0" fontId="23" fillId="0" borderId="1" xfId="91" applyFont="1" applyBorder="1"/>
    <xf numFmtId="164" fontId="8" fillId="0" borderId="1" xfId="88" applyNumberFormat="1" applyFont="1" applyBorder="1" applyAlignment="1">
      <alignment horizontal="right" indent="1"/>
    </xf>
    <xf numFmtId="0" fontId="3" fillId="0" borderId="0" xfId="9" applyFont="1"/>
    <xf numFmtId="0" fontId="2" fillId="0" borderId="0" xfId="9"/>
    <xf numFmtId="0" fontId="8" fillId="0" borderId="0" xfId="9" applyFont="1"/>
    <xf numFmtId="0" fontId="8" fillId="0" borderId="1" xfId="9" applyFont="1" applyBorder="1"/>
    <xf numFmtId="0" fontId="2" fillId="0" borderId="1" xfId="9" applyBorder="1"/>
    <xf numFmtId="0" fontId="9" fillId="0" borderId="1" xfId="9" applyFont="1" applyBorder="1" applyAlignment="1">
      <alignment horizontal="right"/>
    </xf>
    <xf numFmtId="0" fontId="8" fillId="0" borderId="2" xfId="9" applyFont="1" applyBorder="1"/>
    <xf numFmtId="0" fontId="70" fillId="0" borderId="2" xfId="9" applyFont="1" applyBorder="1" applyAlignment="1">
      <alignment horizontal="center" vertical="center"/>
    </xf>
    <xf numFmtId="0" fontId="70" fillId="0" borderId="0" xfId="9" applyFont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8" fillId="0" borderId="0" xfId="9" applyFont="1" applyAlignment="1">
      <alignment horizontal="center"/>
    </xf>
    <xf numFmtId="1" fontId="36" fillId="0" borderId="0" xfId="8" applyNumberFormat="1" applyFont="1"/>
    <xf numFmtId="2" fontId="36" fillId="0" borderId="0" xfId="9" applyNumberFormat="1" applyFont="1" applyAlignment="1">
      <alignment horizontal="right" wrapText="1"/>
    </xf>
    <xf numFmtId="1" fontId="2" fillId="0" borderId="0" xfId="9" applyNumberFormat="1"/>
    <xf numFmtId="2" fontId="2" fillId="0" borderId="0" xfId="9" applyNumberFormat="1"/>
    <xf numFmtId="0" fontId="91" fillId="0" borderId="0" xfId="9" applyFont="1"/>
    <xf numFmtId="0" fontId="36" fillId="0" borderId="0" xfId="9" applyFont="1"/>
    <xf numFmtId="0" fontId="7" fillId="0" borderId="0" xfId="9" applyFont="1" applyAlignment="1">
      <alignment horizontal="left" indent="1"/>
    </xf>
    <xf numFmtId="1" fontId="7" fillId="0" borderId="0" xfId="8" applyNumberFormat="1" applyFont="1"/>
    <xf numFmtId="2" fontId="7" fillId="0" borderId="0" xfId="9" applyNumberFormat="1" applyFont="1" applyAlignment="1">
      <alignment horizontal="right" wrapText="1"/>
    </xf>
    <xf numFmtId="0" fontId="7" fillId="0" borderId="0" xfId="9" applyFont="1" applyAlignment="1">
      <alignment horizontal="left" indent="2"/>
    </xf>
    <xf numFmtId="178" fontId="7" fillId="0" borderId="0" xfId="9" applyNumberFormat="1" applyFont="1" applyAlignment="1">
      <alignment horizontal="right" wrapText="1"/>
    </xf>
    <xf numFmtId="0" fontId="7" fillId="0" borderId="0" xfId="9" applyFont="1" applyAlignment="1">
      <alignment horizontal="left" wrapText="1" indent="2"/>
    </xf>
    <xf numFmtId="0" fontId="36" fillId="0" borderId="0" xfId="9" applyFont="1" applyAlignment="1">
      <alignment horizontal="left"/>
    </xf>
    <xf numFmtId="0" fontId="7" fillId="0" borderId="0" xfId="9" applyFont="1" applyAlignment="1">
      <alignment horizontal="left" wrapText="1" indent="1"/>
    </xf>
    <xf numFmtId="0" fontId="8" fillId="0" borderId="0" xfId="9" applyFont="1" applyAlignment="1">
      <alignment vertical="center"/>
    </xf>
    <xf numFmtId="1" fontId="7" fillId="0" borderId="0" xfId="8" applyNumberFormat="1" applyFont="1" applyAlignment="1">
      <alignment vertical="center"/>
    </xf>
    <xf numFmtId="2" fontId="7" fillId="0" borderId="0" xfId="9" applyNumberFormat="1" applyFont="1" applyAlignment="1">
      <alignment horizontal="right" vertical="center" wrapText="1"/>
    </xf>
    <xf numFmtId="0" fontId="2" fillId="0" borderId="0" xfId="9" applyAlignment="1">
      <alignment vertical="center"/>
    </xf>
    <xf numFmtId="2" fontId="36" fillId="0" borderId="0" xfId="9" applyNumberFormat="1" applyFont="1" applyAlignment="1">
      <alignment horizontal="right" wrapText="1" indent="1"/>
    </xf>
    <xf numFmtId="2" fontId="7" fillId="0" borderId="0" xfId="9" applyNumberFormat="1" applyFont="1" applyAlignment="1">
      <alignment horizontal="right" wrapText="1" indent="1"/>
    </xf>
    <xf numFmtId="0" fontId="3" fillId="0" borderId="0" xfId="95" applyFont="1" applyAlignment="1">
      <alignment horizontal="left"/>
    </xf>
    <xf numFmtId="0" fontId="4" fillId="0" borderId="0" xfId="95" applyFont="1" applyAlignment="1">
      <alignment horizontal="left"/>
    </xf>
    <xf numFmtId="0" fontId="4" fillId="0" borderId="0" xfId="95" applyFont="1" applyAlignment="1">
      <alignment horizontal="center"/>
    </xf>
    <xf numFmtId="0" fontId="2" fillId="0" borderId="0" xfId="95"/>
    <xf numFmtId="0" fontId="4" fillId="0" borderId="0" xfId="95" applyFont="1"/>
    <xf numFmtId="0" fontId="33" fillId="0" borderId="0" xfId="95" applyFont="1"/>
    <xf numFmtId="0" fontId="33" fillId="0" borderId="0" xfId="95" applyFont="1" applyAlignment="1">
      <alignment horizontal="center"/>
    </xf>
    <xf numFmtId="0" fontId="9" fillId="0" borderId="0" xfId="95" applyFont="1" applyAlignment="1">
      <alignment horizontal="right"/>
    </xf>
    <xf numFmtId="0" fontId="33" fillId="0" borderId="2" xfId="95" applyFont="1" applyBorder="1"/>
    <xf numFmtId="0" fontId="33" fillId="0" borderId="2" xfId="95" applyFont="1" applyBorder="1" applyAlignment="1">
      <alignment vertical="center"/>
    </xf>
    <xf numFmtId="0" fontId="8" fillId="0" borderId="2" xfId="95" applyFont="1" applyBorder="1" applyAlignment="1">
      <alignment horizontal="center" vertical="center"/>
    </xf>
    <xf numFmtId="0" fontId="33" fillId="0" borderId="0" xfId="95" applyFont="1" applyAlignment="1">
      <alignment vertical="center"/>
    </xf>
    <xf numFmtId="0" fontId="8" fillId="0" borderId="1" xfId="95" applyFont="1" applyBorder="1" applyAlignment="1">
      <alignment horizontal="center" vertical="center"/>
    </xf>
    <xf numFmtId="0" fontId="11" fillId="0" borderId="0" xfId="95" applyFont="1"/>
    <xf numFmtId="0" fontId="8" fillId="0" borderId="0" xfId="10"/>
    <xf numFmtId="1" fontId="11" fillId="0" borderId="0" xfId="95" applyNumberFormat="1" applyFont="1" applyAlignment="1">
      <alignment horizontal="right" indent="3"/>
    </xf>
    <xf numFmtId="164" fontId="11" fillId="0" borderId="0" xfId="95" applyNumberFormat="1" applyFont="1" applyAlignment="1">
      <alignment horizontal="right" indent="2"/>
    </xf>
    <xf numFmtId="1" fontId="8" fillId="0" borderId="0" xfId="95" applyNumberFormat="1" applyFont="1" applyAlignment="1">
      <alignment horizontal="right" indent="3"/>
    </xf>
    <xf numFmtId="0" fontId="1" fillId="0" borderId="0" xfId="96" applyAlignment="1">
      <alignment horizontal="right" indent="2"/>
    </xf>
    <xf numFmtId="0" fontId="8" fillId="0" borderId="0" xfId="95" applyFont="1"/>
    <xf numFmtId="164" fontId="8" fillId="0" borderId="0" xfId="95" applyNumberFormat="1" applyFont="1" applyAlignment="1">
      <alignment horizontal="right" indent="2"/>
    </xf>
    <xf numFmtId="0" fontId="32" fillId="0" borderId="0" xfId="14" applyAlignment="1">
      <alignment vertical="center" wrapText="1"/>
    </xf>
    <xf numFmtId="0" fontId="8" fillId="0" borderId="0" xfId="97" applyFont="1" applyAlignment="1">
      <alignment horizontal="right" indent="3"/>
    </xf>
    <xf numFmtId="169" fontId="110" fillId="0" borderId="0" xfId="97" applyNumberFormat="1" applyFont="1" applyAlignment="1">
      <alignment horizontal="center"/>
    </xf>
    <xf numFmtId="169" fontId="9" fillId="0" borderId="0" xfId="97" applyNumberFormat="1" applyFont="1" applyAlignment="1">
      <alignment horizontal="right" indent="3"/>
    </xf>
    <xf numFmtId="164" fontId="9" fillId="0" borderId="0" xfId="97" applyNumberFormat="1" applyFont="1" applyAlignment="1">
      <alignment horizontal="right" indent="2"/>
    </xf>
    <xf numFmtId="43" fontId="75" fillId="0" borderId="0" xfId="94" applyFont="1" applyFill="1" applyBorder="1" applyAlignment="1">
      <alignment vertical="center"/>
    </xf>
    <xf numFmtId="0" fontId="71" fillId="0" borderId="0" xfId="30" applyFont="1"/>
    <xf numFmtId="0" fontId="111" fillId="0" borderId="0" xfId="30" applyFont="1"/>
    <xf numFmtId="0" fontId="97" fillId="0" borderId="1" xfId="30" applyFont="1" applyBorder="1"/>
    <xf numFmtId="0" fontId="56" fillId="0" borderId="0" xfId="30" applyFont="1"/>
    <xf numFmtId="0" fontId="1" fillId="0" borderId="0" xfId="30"/>
    <xf numFmtId="0" fontId="97" fillId="0" borderId="2" xfId="30" applyFont="1" applyBorder="1"/>
    <xf numFmtId="0" fontId="56" fillId="0" borderId="2" xfId="30" applyFont="1" applyBorder="1"/>
    <xf numFmtId="0" fontId="105" fillId="0" borderId="2" xfId="42" applyFont="1" applyBorder="1" applyAlignment="1">
      <alignment horizontal="center" vertical="center" wrapText="1"/>
    </xf>
    <xf numFmtId="0" fontId="97" fillId="0" borderId="0" xfId="30" applyFont="1"/>
    <xf numFmtId="0" fontId="105" fillId="0" borderId="1" xfId="42" applyFont="1" applyBorder="1" applyAlignment="1">
      <alignment horizontal="center" vertical="center" wrapText="1"/>
    </xf>
    <xf numFmtId="0" fontId="105" fillId="0" borderId="0" xfId="42" applyFont="1" applyAlignment="1">
      <alignment horizontal="center" vertical="center" wrapText="1"/>
    </xf>
    <xf numFmtId="0" fontId="28" fillId="0" borderId="0" xfId="52" applyFont="1"/>
    <xf numFmtId="0" fontId="1" fillId="0" borderId="0" xfId="52"/>
    <xf numFmtId="0" fontId="56" fillId="0" borderId="0" xfId="52" applyFont="1"/>
    <xf numFmtId="0" fontId="105" fillId="0" borderId="0" xfId="98" applyFont="1" applyAlignment="1">
      <alignment horizontal="center" wrapText="1"/>
    </xf>
    <xf numFmtId="0" fontId="56" fillId="0" borderId="0" xfId="52" applyFont="1" applyAlignment="1">
      <alignment horizontal="center"/>
    </xf>
    <xf numFmtId="0" fontId="100" fillId="0" borderId="0" xfId="98" applyFont="1" applyAlignment="1">
      <alignment horizontal="right" wrapText="1" indent="1"/>
    </xf>
    <xf numFmtId="0" fontId="55" fillId="0" borderId="0" xfId="52" applyFont="1" applyAlignment="1">
      <alignment horizontal="right" indent="1"/>
    </xf>
    <xf numFmtId="0" fontId="56" fillId="0" borderId="0" xfId="52" applyFont="1" applyAlignment="1">
      <alignment horizontal="left" indent="1"/>
    </xf>
    <xf numFmtId="164" fontId="55" fillId="0" borderId="0" xfId="52" applyNumberFormat="1" applyFont="1" applyAlignment="1">
      <alignment horizontal="right" indent="1"/>
    </xf>
    <xf numFmtId="164" fontId="100" fillId="0" borderId="0" xfId="98" applyNumberFormat="1" applyFont="1" applyAlignment="1">
      <alignment horizontal="right" wrapText="1" indent="1"/>
    </xf>
    <xf numFmtId="0" fontId="30" fillId="0" borderId="0" xfId="52" applyFont="1"/>
    <xf numFmtId="1" fontId="55" fillId="0" borderId="0" xfId="52" applyNumberFormat="1" applyFont="1" applyAlignment="1">
      <alignment horizontal="right" indent="1"/>
    </xf>
    <xf numFmtId="1" fontId="100" fillId="0" borderId="0" xfId="98" applyNumberFormat="1" applyFont="1" applyAlignment="1">
      <alignment horizontal="right" wrapText="1" indent="1"/>
    </xf>
    <xf numFmtId="0" fontId="26" fillId="0" borderId="0" xfId="30" applyFont="1"/>
    <xf numFmtId="164" fontId="112" fillId="0" borderId="0" xfId="2" applyNumberFormat="1" applyFont="1" applyAlignment="1">
      <alignment horizontal="right"/>
    </xf>
    <xf numFmtId="2" fontId="8" fillId="0" borderId="0" xfId="3" applyNumberFormat="1" applyFont="1"/>
    <xf numFmtId="0" fontId="7" fillId="0" borderId="3" xfId="9" applyFont="1" applyBorder="1" applyAlignment="1">
      <alignment horizontal="center" vertical="center"/>
    </xf>
    <xf numFmtId="0" fontId="11" fillId="0" borderId="0" xfId="9" applyFont="1" applyAlignment="1">
      <alignment horizontal="left"/>
    </xf>
    <xf numFmtId="0" fontId="7" fillId="0" borderId="2" xfId="9" applyFont="1" applyBorder="1" applyAlignment="1">
      <alignment horizontal="center" vertical="center"/>
    </xf>
    <xf numFmtId="0" fontId="7" fillId="0" borderId="1" xfId="9" applyFont="1" applyBorder="1" applyAlignment="1">
      <alignment horizontal="center" vertical="center"/>
    </xf>
    <xf numFmtId="0" fontId="3" fillId="0" borderId="0" xfId="15" applyFont="1" applyAlignment="1">
      <alignment horizontal="left" wrapText="1"/>
    </xf>
    <xf numFmtId="0" fontId="7" fillId="0" borderId="3" xfId="15" applyFont="1" applyBorder="1" applyAlignment="1">
      <alignment horizontal="center" vertical="center"/>
    </xf>
    <xf numFmtId="0" fontId="14" fillId="0" borderId="3" xfId="20" applyFont="1" applyBorder="1" applyAlignment="1">
      <alignment horizontal="center" vertical="center"/>
    </xf>
    <xf numFmtId="0" fontId="7" fillId="0" borderId="3" xfId="26" applyFont="1" applyBorder="1" applyAlignment="1">
      <alignment horizontal="center" vertical="center" wrapText="1"/>
      <protection locked="0"/>
    </xf>
    <xf numFmtId="0" fontId="7" fillId="0" borderId="3" xfId="26" applyFont="1" applyBorder="1" applyAlignment="1">
      <alignment horizontal="center" vertical="center"/>
      <protection locked="0"/>
    </xf>
    <xf numFmtId="0" fontId="3" fillId="0" borderId="0" xfId="27" applyFont="1" applyAlignment="1">
      <alignment horizontal="left" wrapText="1"/>
    </xf>
    <xf numFmtId="0" fontId="14" fillId="0" borderId="2" xfId="20" quotePrefix="1" applyFont="1" applyBorder="1" applyAlignment="1">
      <alignment horizontal="center" vertical="center"/>
    </xf>
    <xf numFmtId="0" fontId="14" fillId="0" borderId="1" xfId="20" quotePrefix="1" applyFont="1" applyBorder="1" applyAlignment="1">
      <alignment horizontal="center" vertical="center"/>
    </xf>
    <xf numFmtId="0" fontId="7" fillId="0" borderId="2" xfId="20" quotePrefix="1" applyFont="1" applyBorder="1" applyAlignment="1">
      <alignment horizontal="center" vertical="center"/>
    </xf>
    <xf numFmtId="0" fontId="7" fillId="0" borderId="2" xfId="20" applyFont="1" applyBorder="1" applyAlignment="1">
      <alignment horizontal="center" vertical="center"/>
    </xf>
    <xf numFmtId="0" fontId="7" fillId="0" borderId="1" xfId="20" applyFont="1" applyBorder="1" applyAlignment="1">
      <alignment horizontal="center" vertical="center"/>
    </xf>
    <xf numFmtId="0" fontId="7" fillId="0" borderId="2" xfId="20" applyFont="1" applyBorder="1" applyAlignment="1">
      <alignment horizontal="center" vertical="center" wrapText="1"/>
    </xf>
    <xf numFmtId="0" fontId="7" fillId="0" borderId="1" xfId="20" applyFont="1" applyBorder="1" applyAlignment="1">
      <alignment horizontal="center" vertical="center" wrapText="1"/>
    </xf>
    <xf numFmtId="0" fontId="7" fillId="0" borderId="3" xfId="20" applyFont="1" applyBorder="1" applyAlignment="1">
      <alignment horizontal="center" vertical="center"/>
    </xf>
    <xf numFmtId="0" fontId="56" fillId="0" borderId="2" xfId="42" applyFont="1" applyBorder="1" applyAlignment="1">
      <alignment horizontal="center" vertical="center" wrapText="1"/>
    </xf>
    <xf numFmtId="0" fontId="56" fillId="0" borderId="1" xfId="42" applyFont="1" applyBorder="1" applyAlignment="1">
      <alignment horizontal="center" vertical="center" wrapText="1"/>
    </xf>
    <xf numFmtId="0" fontId="11" fillId="0" borderId="0" xfId="40" applyFont="1" applyAlignment="1">
      <alignment horizontal="left"/>
    </xf>
    <xf numFmtId="0" fontId="56" fillId="0" borderId="3" xfId="32" applyFont="1" applyBorder="1" applyAlignment="1">
      <alignment horizontal="center" vertical="center" wrapText="1"/>
    </xf>
    <xf numFmtId="0" fontId="42" fillId="0" borderId="1" xfId="63" applyFont="1" applyBorder="1" applyAlignment="1">
      <alignment horizontal="center" wrapText="1"/>
    </xf>
    <xf numFmtId="0" fontId="42" fillId="0" borderId="3" xfId="63" applyFont="1" applyBorder="1" applyAlignment="1">
      <alignment horizontal="center" wrapText="1"/>
    </xf>
    <xf numFmtId="0" fontId="42" fillId="0" borderId="2" xfId="63" applyFont="1" applyBorder="1" applyAlignment="1">
      <alignment horizontal="center" wrapText="1"/>
    </xf>
    <xf numFmtId="0" fontId="42" fillId="0" borderId="0" xfId="63" applyFont="1" applyAlignment="1">
      <alignment horizontal="center" wrapText="1"/>
    </xf>
    <xf numFmtId="0" fontId="36" fillId="0" borderId="0" xfId="62" applyFont="1" applyAlignment="1">
      <alignment horizontal="left"/>
    </xf>
    <xf numFmtId="0" fontId="42" fillId="0" borderId="2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49" fontId="36" fillId="0" borderId="0" xfId="67" applyNumberFormat="1" applyFont="1" applyFill="1" applyBorder="1" applyAlignment="1">
      <alignment horizontal="left" wrapText="1"/>
    </xf>
    <xf numFmtId="0" fontId="7" fillId="0" borderId="3" xfId="70" applyFont="1" applyBorder="1" applyAlignment="1">
      <alignment horizontal="center" vertical="center"/>
    </xf>
    <xf numFmtId="164" fontId="9" fillId="0" borderId="0" xfId="88" applyNumberFormat="1" applyFont="1" applyAlignment="1">
      <alignment horizontal="center" vertical="center"/>
    </xf>
    <xf numFmtId="0" fontId="23" fillId="0" borderId="2" xfId="91" applyFont="1" applyBorder="1" applyAlignment="1">
      <alignment horizontal="center" vertical="center"/>
    </xf>
    <xf numFmtId="0" fontId="23" fillId="0" borderId="1" xfId="91" applyFont="1" applyBorder="1" applyAlignment="1">
      <alignment horizontal="center" vertical="center"/>
    </xf>
    <xf numFmtId="0" fontId="23" fillId="0" borderId="3" xfId="91" applyFont="1" applyBorder="1" applyAlignment="1">
      <alignment horizontal="center" vertical="center"/>
    </xf>
    <xf numFmtId="0" fontId="105" fillId="0" borderId="3" xfId="42" applyFont="1" applyBorder="1" applyAlignment="1">
      <alignment horizontal="center" vertical="center" wrapText="1"/>
    </xf>
  </cellXfs>
  <cellStyles count="100">
    <cellStyle name="Comma" xfId="94" builtinId="3"/>
    <cellStyle name="Comma 10 2 2" xfId="17"/>
    <cellStyle name="Comma 10 2 2 4 2" xfId="46"/>
    <cellStyle name="Comma 13" xfId="23"/>
    <cellStyle name="Comma 2" xfId="55"/>
    <cellStyle name="Comma 2 2" xfId="13"/>
    <cellStyle name="Comma 25 2" xfId="45"/>
    <cellStyle name="Comma 3 2 5 4 2" xfId="97"/>
    <cellStyle name="Comma_Bieu 012011" xfId="64"/>
    <cellStyle name="Comma_Bieu 012011 2" xfId="67"/>
    <cellStyle name="Comma_Bieu 012011 2 3" xfId="66"/>
    <cellStyle name="Normal" xfId="0" builtinId="0"/>
    <cellStyle name="Normal - Style1" xfId="2"/>
    <cellStyle name="Normal - Style1 3" xfId="8"/>
    <cellStyle name="Normal 10 2" xfId="29"/>
    <cellStyle name="Normal 10 2 2 2" xfId="30"/>
    <cellStyle name="Normal 10 2 2 2 2" xfId="32"/>
    <cellStyle name="Normal 10 2 2 2 2 2" xfId="71"/>
    <cellStyle name="Normal 10 2 2 2 2 2 2" xfId="73"/>
    <cellStyle name="Normal 10 2 2 2 3" xfId="52"/>
    <cellStyle name="Normal 10 2 2 2 4 2" xfId="87"/>
    <cellStyle name="Normal 10 2 2 2 5" xfId="81"/>
    <cellStyle name="Normal 10 2 2 2 5 2" xfId="85"/>
    <cellStyle name="Normal 10 4 2 2 2" xfId="86"/>
    <cellStyle name="Normal 10 4 2 3" xfId="82"/>
    <cellStyle name="Normal 11 4" xfId="14"/>
    <cellStyle name="Normal 12 3" xfId="19"/>
    <cellStyle name="Normal 12 4" xfId="99"/>
    <cellStyle name="Normal 15 2" xfId="21"/>
    <cellStyle name="Normal 153 2 2" xfId="96"/>
    <cellStyle name="Normal 156" xfId="42"/>
    <cellStyle name="Normal 156 2" xfId="98"/>
    <cellStyle name="Normal 157" xfId="25"/>
    <cellStyle name="Normal 157 2" xfId="63"/>
    <cellStyle name="Normal 158" xfId="31"/>
    <cellStyle name="Normal 158 2" xfId="89"/>
    <cellStyle name="Normal 159" xfId="92"/>
    <cellStyle name="Normal 186 2" xfId="11"/>
    <cellStyle name="Normal 2" xfId="80"/>
    <cellStyle name="Normal 2 13 2" xfId="10"/>
    <cellStyle name="Normal 2 16 2" xfId="83"/>
    <cellStyle name="Normal 2 17" xfId="3"/>
    <cellStyle name="Normal 2 2" xfId="12"/>
    <cellStyle name="Normal 2 5 2 2" xfId="5"/>
    <cellStyle name="Normal 2 7 2" xfId="60"/>
    <cellStyle name="Normal 2_Copy of CSGSX Qui IV. 2011" xfId="76"/>
    <cellStyle name="Normal 2_revise" xfId="75"/>
    <cellStyle name="Normal 3" xfId="56"/>
    <cellStyle name="Normal 3 2" xfId="74"/>
    <cellStyle name="Normal 3 2 2 2 2" xfId="49"/>
    <cellStyle name="Normal 3 2 2 2 2 3" xfId="59"/>
    <cellStyle name="Normal 3 3" xfId="58"/>
    <cellStyle name="Normal 5" xfId="44"/>
    <cellStyle name="Normal 7 2 5" xfId="4"/>
    <cellStyle name="Normal 7 4" xfId="39"/>
    <cellStyle name="Normal 7_Xl0000108" xfId="88"/>
    <cellStyle name="Normal_02NN" xfId="1"/>
    <cellStyle name="Normal_03&amp;04CN" xfId="16"/>
    <cellStyle name="Normal_05XD 2" xfId="34"/>
    <cellStyle name="Normal_05XD_Dautu(6-2011)" xfId="24"/>
    <cellStyle name="Normal_06DTNN 2" xfId="95"/>
    <cellStyle name="Normal_07Dulich11 2" xfId="54"/>
    <cellStyle name="Normal_07gia 2" xfId="70"/>
    <cellStyle name="Normal_07gia_chi so gia PPI3.2012" xfId="72"/>
    <cellStyle name="Normal_07VT" xfId="47"/>
    <cellStyle name="Normal_08-12TM" xfId="61"/>
    <cellStyle name="Normal_08tmt3" xfId="40"/>
    <cellStyle name="Normal_08tmt3 2" xfId="43"/>
    <cellStyle name="Normal_08tmt3_VT- TM Diep" xfId="41"/>
    <cellStyle name="Normal_6-11nlnts" xfId="6"/>
    <cellStyle name="Normal_BC CSG NLTS Qui 1  2011 2" xfId="68"/>
    <cellStyle name="Normal_Book2" xfId="78"/>
    <cellStyle name="Normal_Copy of CSGSX Qui IV. 2011" xfId="69"/>
    <cellStyle name="Normal_Dau tu 2" xfId="37"/>
    <cellStyle name="Normal_Dautu" xfId="38"/>
    <cellStyle name="Normal_GDP 9 thang" xfId="90"/>
    <cellStyle name="Normal_Gui Vu TH-Bao cao nhanh VDT 2006" xfId="36"/>
    <cellStyle name="Normal_nhanh sap xep lai 2 2" xfId="50"/>
    <cellStyle name="Normal_nhanh sap xep lai 3" xfId="62"/>
    <cellStyle name="Normal_Sheet1" xfId="18"/>
    <cellStyle name="Normal_Sheet4" xfId="7"/>
    <cellStyle name="Normal_solieu gdp 2" xfId="9"/>
    <cellStyle name="Normal_solieu gdp 2 2" xfId="53"/>
    <cellStyle name="Normal_SPT3-96" xfId="20"/>
    <cellStyle name="Normal_SPT3-96_Bieu 012011 2" xfId="35"/>
    <cellStyle name="Normal_SPT3-96_Bieudautu_Dautu(6-2011)" xfId="33"/>
    <cellStyle name="Normal_SPT3-96_Van tai12.2010" xfId="51"/>
    <cellStyle name="Normal_Tieu thu-Ton kho thang 7.2012 (dieu chinh)" xfId="26"/>
    <cellStyle name="Normal_Xl0000008" xfId="57"/>
    <cellStyle name="Normal_Xl0000107" xfId="27"/>
    <cellStyle name="Normal_Xl0000109" xfId="77"/>
    <cellStyle name="Normal_Xl0000109_1" xfId="28"/>
    <cellStyle name="Normal_Xl0000110" xfId="93"/>
    <cellStyle name="Normal_Xl0000117" xfId="91"/>
    <cellStyle name="Normal_Xl0000141" xfId="15"/>
    <cellStyle name="Normal_Xl0000156" xfId="48"/>
    <cellStyle name="Normal_Xl0000163" xfId="79"/>
    <cellStyle name="Normal_Xl0000203" xfId="65"/>
    <cellStyle name="Percent 2" xfId="22"/>
    <cellStyle name="Percent 3" xfId="8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13.xml"/><Relationship Id="rId68" Type="http://schemas.openxmlformats.org/officeDocument/2006/relationships/externalLink" Target="externalLinks/externalLink1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3.xml"/><Relationship Id="rId58" Type="http://schemas.openxmlformats.org/officeDocument/2006/relationships/externalLink" Target="externalLinks/externalLink8.xml"/><Relationship Id="rId66" Type="http://schemas.openxmlformats.org/officeDocument/2006/relationships/externalLink" Target="externalLinks/externalLink1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6.xml"/><Relationship Id="rId64" Type="http://schemas.openxmlformats.org/officeDocument/2006/relationships/externalLink" Target="externalLinks/externalLink14.xml"/><Relationship Id="rId69" Type="http://schemas.openxmlformats.org/officeDocument/2006/relationships/externalLink" Target="externalLinks/externalLink1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72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9.xml"/><Relationship Id="rId67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4.xml"/><Relationship Id="rId62" Type="http://schemas.openxmlformats.org/officeDocument/2006/relationships/externalLink" Target="externalLinks/externalLink12.xml"/><Relationship Id="rId70" Type="http://schemas.openxmlformats.org/officeDocument/2006/relationships/externalLink" Target="externalLinks/externalLink2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2.xml"/><Relationship Id="rId60" Type="http://schemas.openxmlformats.org/officeDocument/2006/relationships/externalLink" Target="externalLinks/externalLink10.xml"/><Relationship Id="rId65" Type="http://schemas.openxmlformats.org/officeDocument/2006/relationships/externalLink" Target="externalLinks/externalLink15.xml"/><Relationship Id="rId73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ung%20Quat\Goi3\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O%20CAO\Bao%20cao%20thang\2021\T12\3.Tien%20do%20T12.2021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DOCUMENT\DAUTHAU\Dungquat\GOI3\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le.gso.gov.vn/truyenfile/NLTS/2009/890004101DBTS_Bieu25_DBNN20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0HE709MB\VPQH\Dia%20mem\Sai%20gon\du%20to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tqvuong\Local%20Settings\Temporary%20Internet%20Files\Content.IE5\O5IZ0TU7\Hieu\Data\Nien%20giam\Hoan\Nien%20giam%2095-2002\NN95-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qvuong\Local%20Settings\Temporary%20Internet%20Files\Content.IE5\O5IZ0TU7\Hieu\Data\Nien%20giam\Hoan\Nien%20giam%2095-2002\NN95-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tqvuong\Local%20Settings\Temporary%20Internet%20Files\Content.IE5\O5IZ0TU7\Hieu\Data\Nien%20giam\Hoan\Nien%20giam%2095-2002\NN95-20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tqvuong\Local%20Settings\Temporary%20Internet%20Files\Content.IE5\O5IZ0TU7\Hieu\Data\Nien%20giam\Hoan\Nien%20giam%2095-2002\NN95-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trangnt/Downloads/Ch&#7881;%20ti&#234;u%20b&#225;o%20c&#225;o%20ti&#7871;n%20&#273;&#7897;%20th&#225;ng,%20qu&#253;,%20n&#259;m_BC%20Th&#7911;y%20s&#7843;n_06.02.20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IBASE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CS3408\Standard\RP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Nien%20giam%20day%20du\2013\Vu%20Tong%20hop\Gui%20NXB\Nam\10Nam\xaydungcntt98\dung\&#167;&#222;a%20ph&#173;&#172;ng%2095-96%20(V&#232;n,%20TSC&#167;)%20hai%20gi&#18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bÑi_x0003_"/>
      <sheetName val="_x000f_"/>
      <sheetName val="M pc_x0006_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/>
      <sheetData sheetId="690" refreshError="1"/>
      <sheetData sheetId="691"/>
      <sheetData sheetId="692" refreshError="1"/>
      <sheetData sheetId="693"/>
      <sheetData sheetId="694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Du tnan chi tiet coc nuoc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thaß26"/>
      <sheetName val="FORM jc"/>
      <sheetName val="TNghiÖ- VL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DG "/>
      <sheetName val="I"/>
      <sheetName val="CT.XF1"/>
      <sheetName val="QD cua "/>
      <sheetName val="DŃ02"/>
      <sheetName val="_x0014_M01"/>
      <sheetName val="PNT-P3"/>
      <sheetName val="tt chu don"/>
      <sheetName val="P210-TP20"/>
      <sheetName val="CB32"/>
      <sheetName val="DGþ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CTT NuiC_x000f_eo"/>
      <sheetName val="TDT-TB?"/>
      <sheetName val="Km280 ? Km281"/>
      <sheetName val="Kluo-_x0008_ phu"/>
      <sheetName val="QD cua HDQ²_x0000__x0000_€)"/>
      <sheetName val="T[ 131"/>
      <sheetName val="XL4Toppy"/>
      <sheetName val="GS11- tÝnh KH_x0014_SC§"/>
      <sheetName val="nghi dinhmCP"/>
      <sheetName val="CVpden trong tong"/>
      <sheetName val="5 nam (tach) x2)"/>
      <sheetName val="tuong"/>
      <sheetName val="Cong baj 2x1,5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TO 141"/>
      <sheetName val="Cong ban 1,5_x0013_?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t01.06"/>
      <sheetName val="DUONG BDT 11  823282ms Hao"/>
      <sheetName val="CKTANDINHT1 782346 Huong (2)"/>
      <sheetName val="UNZAT01743972- Phuong(vp) (2)"/>
      <sheetName val="LONGVANT12 759469 Ms Van (2)"/>
      <sheetName val="Ho la 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_x0000__x000a__x0000__x0000__x0000_âO"/>
      <sheetName val="_x000c__x0000__x0000__x0000__x0000__x0000__x0000__x0000__x000a__x0000__x0000__x0000_"/>
      <sheetName val="_x0000__x000a__x0000__x0000__x0000_âOŽ"/>
      <sheetName val="HNI"/>
      <sheetName val="DC2@ï4"/>
      <sheetName val="Tong hop$Op mai"/>
      <sheetName val="bÑi_x0003_"/>
      <sheetName val="???????-BLDG"/>
      <sheetName val="⁋㌱Ա_x0000_䭔㌱س_x0000_䭔ㄠㄴ_x0006_牴湯⁧琠湯౧_x0000_杮楨搠湩⵨偃_x0006_匀䈀ᅪ"/>
      <sheetName val="Temp"/>
      <sheetName val="⁋㌱Ա_x0000_䭔㌱س_x0000_䭔ㄠㄴ_x0006_牴湯⁧琠湯౧_x0000_杮楨搠湩⵨偃_x0006_匀렀቟"/>
      <sheetName val="I_x0005__x0000__x0000_"/>
      <sheetName val="chie԰_x0000__x0000__x0000_Ȁ_x0000_"/>
      <sheetName val="Tong hopQ48­1"/>
      <sheetName val="nam2004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GS08)B.hµng"/>
      <sheetName val="⁋㌱Ա_x0000_䭔㌱س_x0000_䭔ㄠㄴ_x0006_牴湯⁧琠湯౧_x0000_杮楨搠湩⵨偃_x0006_匀︀ᇕ"/>
      <sheetName val="XXXXX_XX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Dhp+d"/>
      <sheetName val="DC0#"/>
      <sheetName val="_x000f_p m!i 284"/>
      <sheetName val="AA"/>
      <sheetName val="chieud"/>
      <sheetName val="Tong hop ၑL48 - 2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DGh"/>
      <sheetName val="tra-vat-lieu"/>
      <sheetName val="DG("/>
      <sheetName val="bÑi_x0003_?²r_x0013_?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TH Ky Afh"/>
      <sheetName val="KHTS_x0000__x000d_2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԰_x0000_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[PNT-P3.xls]XXXXX\XX"/>
      <sheetName val="[PNT-P3.xls]C/c t)eu"/>
      <sheetName val="[PNT-P3.xls]C4ulu/ngq.1.05"/>
      <sheetName val="T±1 "/>
      <sheetName val="411"/>
      <sheetName val="632"/>
      <sheetName val="333"/>
      <sheetName val="1uÝ1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_x0000__x000f__x0000_︀ᇕ԰_x0000_缀"/>
      <sheetName val="[PNT-P3.xlsѝKQKDKTﴀ셅u淪洂"/>
      <sheetName val="GS09-chi TM"/>
      <sheetName val="TK33313"/>
      <sheetName val="UK 911"/>
      <sheetName val="CEPS1"/>
      <sheetName val="Km285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QUY IV _x0005__x0000_"/>
      <sheetName val="⁋㌱Ա_x0000_䭔㌱س_x0000_䭔ㄠㄴ_x0006_牴湯⁧琠湯౧_x0000_杮楨搠湩⵨偃_x0006_匀㠀䂅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[PNT-P3.xls][PNT-P3.xls]XXXXX\X"/>
      <sheetName val="Tkng hop QL48 - 2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ong ban_x0009__x0000__x0009__x0000__x0004__x0000__x0003_"/>
      <sheetName val="Cong ban _x0000_ _x0000__x0004__x0000__x0003_"/>
      <sheetName val="Èoasen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41¹"/>
      <sheetName val="Cong ban`1,5x1,5"/>
      <sheetName val="gia!he1"/>
      <sheetName val="k angluc"/>
      <sheetName val="giai he  "/>
      <sheetName val="CC@S03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IBASE"/>
      <sheetName val="M pc_x0006__x0000_CamPhþ"/>
      <sheetName val="chieuday"/>
      <sheetName val="TK42ı"/>
      <sheetName val="tÿ-01"/>
      <sheetName val="SoCaiT_x0000_"/>
      <sheetName val="⁋㌱Ա_x0000_䭔㌱س_x0000_䭔ㄠㄴ_x0006_牴湯⁧琠湯౧_x0000_杮楨搠湩_x0005__x0000__x0000__x0000_타_x0012_"/>
      <sheetName val="Cong ban "/>
      <sheetName val="t"/>
      <sheetName val="CV den"/>
      <sheetName val="[PNT-P3.xls][PNT-P3.xls]C/c t)e"/>
      <sheetName val="[PNT-P3.xls][PNT-P3.xls]C4ulu/n"/>
      <sheetName val="7 THAI NGUYEN"/>
      <sheetName val="gia԰_x0000__x0000__x0000_"/>
      <sheetName val="_x0000__x000f__x0000__x0000__x0000_‚ž興"/>
      <sheetName val="Np mai 280"/>
      <sheetName val="Thu hồi cá nhân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Cong ɢan 0,7x0,7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BD"/>
      <sheetName val="Gia_GC_Satthep"/>
      <sheetName val="_x0003_hah"/>
      <sheetName val="_x0003_ha_x0000_"/>
      <sheetName val="_x0003_haÖ"/>
      <sheetName val="TNghiÖm VD"/>
      <sheetName val="KHTS_x0000__x000a_2"/>
      <sheetName val="_x0000__x000f__x0000__x0000__x0000_‚_x0000__x0000_"/>
      <sheetName val="_x0000__x000f__x0000__x0000__x0000_‚_x0010__x0000_"/>
      <sheetName val="Cong ban 0,7p0,_x0005_"/>
      <sheetName val="Data"/>
      <sheetName val="Nov19 Plan"/>
      <sheetName val="xnt 1ãµP"/>
      <sheetName val="bÑi_x0003__x0000_²r_x0013_¸"/>
      <sheetName val="bÑi_x0003__x0000_²r_x0013__x0005_"/>
      <sheetName val="bÑi_x0003__x0000_²r_x0013_X"/>
      <sheetName val="20_x0000__x0000__x0000__x0000__x0000__x0000__x0000__x0000__x0000__x0000__x0000_瀐ϔ_x0000__x0004__x0000__x0000__x0000__x0000__x0000__x0000_좔ϑ_x0000__x0000__x0000__x0000__x0000__x0000_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QHC Ha Noi11.3.2010_Thang"/>
      <sheetName val="Cm276 - Ke277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 mai 2_x000c_"/>
      <sheetName val="_x000f__x0000_‚ž½"/>
      <sheetName val="_x000d_âOŽ"/>
      <sheetName val="Cong ban 1,5„—_x0013_"/>
      <sheetName val="_x000c__x0000__x000d_"/>
      <sheetName val="_x000a_âO"/>
      <sheetName val="_x000c__x0000__x000a_"/>
      <sheetName val="_x000a_âOŽ"/>
      <sheetName val="chieud_x0005_"/>
      <sheetName val="_x000d_â_x0005_"/>
      <sheetName val="I_x0005_"/>
      <sheetName val="QUY IV _x0005_"/>
      <sheetName val="co_x0005_"/>
      <sheetName val="SoCaiT"/>
      <sheetName val="Opmai 280"/>
      <sheetName val="M pc_x0006_CamPh"/>
      <sheetName val="gia x may"/>
      <sheetName val="_x000c__x000d_"/>
      <sheetName val="_x000c__x000a_"/>
      <sheetName val="_x000f__x0005_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c__x000d_Õ"/>
      <sheetName val="_x000f_‚眨,"/>
      <sheetName val="_x000f_‚禈."/>
      <sheetName val="_x000f_‚稸1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M pc_x0006_CamPhþ"/>
      <sheetName val="_x000f_‚ž興"/>
      <sheetName val="gia԰"/>
      <sheetName val="Du_lieu"/>
      <sheetName val="ThongSo"/>
      <sheetName val="Bu CL"/>
      <sheetName val="Tong hop ?L48 - 2"/>
      <sheetName val="AM"/>
      <sheetName val="QMCT"/>
      <sheetName val="KQKDKT'04-1_x0000__x0000__x0000__x0000__x0018_[PNT-P3.xls]"/>
      <sheetName val="GS08-B.hµng_x0000__x0000__x0000__x0000__x0018_[PNT-P3.xls]pha"/>
      <sheetName val="Sheet16_x0000__x0000__x0000__x0000__x0016_[PNT-P3.xls]gia xe "/>
      <sheetName val="_x0000__x0000__x0005__x0000__x0000__x0000_!._x0001__x0001_ _x0004__x0008__x0002_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_x0000_Ä"/>
      <sheetName val="QD_x0000__x0001_a TGD (2)"/>
      <sheetName val="BTH phi"/>
      <sheetName val="Vat tu"/>
      <sheetName val="_x0000_✧_x0000__x0000__x0000__x0000__x0000__x0001__x0000_&amp;_x0000_✧_x0000__x0000__x0000__x0000__x0000__x0001__x0000_"/>
      <sheetName val="B5-TĐ"/>
      <sheetName val="giaihe_x0005_"/>
      <sheetName val="gìIÏÝ_x001c__x0005__x0000__x0000__x0000_턄_x0013_"/>
      <sheetName val="gìIÏÝ_x001c__x0005__x0000__x0000__x0000_뛴_x0013_"/>
      <sheetName val="DanhSachTKNNT"/>
      <sheetName val="QD"/>
      <sheetName val="CV den trong toÂg"/>
      <sheetName val="Dt 2001"/>
      <sheetName val="_x0000__x0000_"/>
      <sheetName val="??di trong  tong"/>
      <sheetName val="CDKTKD2002"/>
      <sheetName val="_x0003_ha"/>
      <sheetName val="KHTS_x000a_2"/>
      <sheetName val="_x000f_‚"/>
      <sheetName val="_x000f_‚_x0010_"/>
      <sheetName val="KQKDKT'04-1_x0018_[PNT-P3.xls]"/>
      <sheetName val="GS08-B.hµng_x0018_[PNT-P3.xls]pha"/>
      <sheetName val="Sheet16_x0016_[PNT-P3.xls]gia xe "/>
      <sheetName val="_x0005_!._x0001__x0001_ _x0004__x0008__x0002_"/>
      <sheetName val="Op mai276"/>
      <sheetName val="Op mai281"/>
      <sheetName val="QD_x0001_a TGD (2)"/>
      <sheetName val="?撕攕獽?-BLDG"/>
      <sheetName val="DN02"/>
      <sheetName val="_x000c__x0000__x0000__x0000__x0000__x0000__x0000__x0000__x0006__x0000_"/>
      <sheetName val="56"/>
      <sheetName val="Tinh "/>
      <sheetName val="tlðm190337,8"/>
      <sheetName val="chie?_x0000__x0000__x0000_?_x0000_"/>
      <sheetName val="_x000c__x0006_"/>
      <sheetName val="chie??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 refreshError="1"/>
      <sheetData sheetId="489"/>
      <sheetData sheetId="490"/>
      <sheetData sheetId="49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/>
      <sheetData sheetId="1037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/>
      <sheetData sheetId="1120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/>
      <sheetData sheetId="1128" refreshError="1"/>
      <sheetData sheetId="1129" refreshError="1"/>
      <sheetData sheetId="1130" refreshError="1"/>
      <sheetData sheetId="1131" refreshError="1"/>
      <sheetData sheetId="1132"/>
      <sheetData sheetId="1133" refreshError="1"/>
      <sheetData sheetId="1134"/>
      <sheetData sheetId="1135" refreshError="1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/>
      <sheetData sheetId="1177" refreshError="1"/>
      <sheetData sheetId="1178"/>
      <sheetData sheetId="1179"/>
      <sheetData sheetId="1180"/>
      <sheetData sheetId="1181" refreshError="1"/>
      <sheetData sheetId="1182" refreshError="1"/>
      <sheetData sheetId="1183" refreshError="1"/>
      <sheetData sheetId="1184" refreshError="1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/>
      <sheetData sheetId="1193"/>
      <sheetData sheetId="1194"/>
      <sheetData sheetId="1195"/>
      <sheetData sheetId="1196"/>
      <sheetData sheetId="1197"/>
      <sheetData sheetId="1198"/>
      <sheetData sheetId="1199" refreshError="1"/>
      <sheetData sheetId="1200"/>
      <sheetData sheetId="1201"/>
      <sheetData sheetId="1202"/>
      <sheetData sheetId="1203"/>
      <sheetData sheetId="1204"/>
      <sheetData sheetId="1205" refreshError="1"/>
      <sheetData sheetId="1206" refreshError="1"/>
      <sheetData sheetId="1207"/>
      <sheetData sheetId="1208"/>
      <sheetData sheetId="1209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 refreshError="1"/>
      <sheetData sheetId="1224"/>
      <sheetData sheetId="1225" refreshError="1"/>
      <sheetData sheetId="1226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/>
      <sheetData sheetId="1363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 refreshError="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/>
      <sheetData sheetId="1391" refreshError="1"/>
      <sheetData sheetId="1392" refreshError="1"/>
      <sheetData sheetId="1393"/>
      <sheetData sheetId="1394" refreshError="1"/>
      <sheetData sheetId="1395" refreshError="1"/>
      <sheetData sheetId="1396"/>
      <sheetData sheetId="1397"/>
      <sheetData sheetId="1398"/>
      <sheetData sheetId="1399"/>
      <sheetData sheetId="1400"/>
      <sheetData sheetId="1401" refreshError="1"/>
      <sheetData sheetId="1402" refreshError="1"/>
      <sheetData sheetId="1403"/>
      <sheetData sheetId="1404" refreshError="1"/>
      <sheetData sheetId="1405" refreshError="1"/>
      <sheetData sheetId="1406" refreshError="1"/>
      <sheetData sheetId="1407"/>
      <sheetData sheetId="1408"/>
      <sheetData sheetId="1409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/>
      <sheetData sheetId="1422" refreshError="1"/>
      <sheetData sheetId="1423" refreshError="1"/>
      <sheetData sheetId="1424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  <sheetData sheetId="1435" refreshError="1"/>
      <sheetData sheetId="14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Du tnan chi tiet coc nuoc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thaß26"/>
      <sheetName val="FORM jc"/>
      <sheetName val="TNghiÖ- VL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XXXXX_XX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"/>
      <sheetName val="gia x"/>
      <sheetName val="⁋㌱Ա"/>
      <sheetName val="chieud_x0005_"/>
      <sheetName val="Op mai 2_x000c_"/>
      <sheetName val="Cong ban 1,5„—_x0013_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TDT-TB?"/>
      <sheetName val="I_x0005__x0000__x0000_"/>
      <sheetName val="GS08)B.hµng"/>
      <sheetName val="QUY IV _x0005__x0000_"/>
      <sheetName val="Cong baj 2x1,5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tuong"/>
      <sheetName val="Ho la "/>
      <sheetName val="chie԰_x0000__x0000__x0000_Ȁ_x0000_"/>
      <sheetName val="S2_x0000__x0000_1"/>
      <sheetName val="t01.06"/>
      <sheetName val="bÑi_x0003_"/>
      <sheetName val="_x000f_"/>
      <sheetName val="M pc_x0006_"/>
      <sheetName val="nghi dinhmCP"/>
      <sheetName val="CVpden trong tong"/>
      <sheetName val="5 nam (tach) x2)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PNT_QUO"/>
      <sheetName val="PNghiÖm VL"/>
      <sheetName val="DGþ"/>
      <sheetName val="chieud"/>
      <sheetName val="Tong hop ၑL48 - 2"/>
      <sheetName val="_x0000__x000a__x0000__x0000__x0000_âO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I_x0005_"/>
      <sheetName val="QUY IV _x0005_"/>
      <sheetName val="_x000d_â_x0005_"/>
      <sheetName val="co_x0005_"/>
      <sheetName val="t"/>
      <sheetName val="CV den"/>
      <sheetName val="Cong ban "/>
      <sheetName val="Opmai 280"/>
      <sheetName val="M pc_x0006_CamPh"/>
      <sheetName val="gia x may"/>
      <sheetName val="_x000c__x000d_"/>
      <sheetName val="_x000f_‚ž½"/>
      <sheetName val="_x000d_âOŽ"/>
      <sheetName val="_x000a_âO"/>
      <sheetName val="_x000f__x0005_"/>
      <sheetName val="_x000c__x000a_"/>
      <sheetName val="_x000a_âOŽ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f_‚眨,"/>
      <sheetName val="_x000f_‚禈."/>
      <sheetName val="_x000f_‚稸1"/>
      <sheetName val="_x000c__x000d_Õ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xdcb_01-2003"/>
      <sheetName val="KQKD02-2_(2)"/>
      <sheetName val="KQKD-2_(2)"/>
      <sheetName val="KQKD_thu2004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tong_hop"/>
      <sheetName val="phan_tich_DG"/>
      <sheetName val="gia_vat_lieu"/>
      <sheetName val="gia_xe_may"/>
      <sheetName val="gia_nhan_cong"/>
      <sheetName val="CV_den_trong_to聮g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FORM_hc"/>
      <sheetName val="FORM_pc"/>
      <sheetName val="Oð_mai_279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Xaylap_"/>
      <sheetName val="Nhan_cong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Km27'_-_Km278"/>
      <sheetName val="Cong_ban_1,5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0000000"/>
      <sheetName val="Thang10-2002_"/>
      <sheetName val="Sheet1_(3)"/>
      <sheetName val="XLÇoppy"/>
      <sheetName val="Bao_cao_KQTH_quy_hoach_135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BAO_CAO_AN"/>
      <sheetName val="T331"/>
      <sheetName val="Khac_DP"/>
      <sheetName val="Khoi_than_"/>
      <sheetName val="Km283_-_Jm284"/>
      <sheetName val="cocB40_5B"/>
      <sheetName val="cocD50_9A"/>
      <sheetName val="cocD75_16"/>
      <sheetName val="coc_B80_TD25"/>
      <sheetName val="P27_B80"/>
      <sheetName val="Coc23_B80"/>
      <sheetName val="cong_B80_C4"/>
      <sheetName val="O0_mai_279"/>
      <sheetName val="Opmai_280"/>
      <sheetName val="Op_mai_28"/>
      <sheetName val="5_nam_(tac`)_(2)"/>
      <sheetName val="D%o_nai"/>
      <sheetName val="CTT_cao_so_"/>
      <sheetName val="XNxlva_sxdhanKCII"/>
      <sheetName val="CTxay_lap_mo_C"/>
      <sheetName val="Song_ban_0,7x0,7"/>
      <sheetName val="Cong_ban_0,8x_,8"/>
      <sheetName val="Khach_iang_le_"/>
      <sheetName val="[PNT-P3_xlsѝKQKDKT'04-1"/>
      <sheetName val="Du_tnan_chi_tiet_coc_nuoc"/>
      <sheetName val="TNghiÖ-_VL"/>
      <sheetName val="So_lieu"/>
      <sheetName val="tt_chu_dong"/>
      <sheetName val="Tinh_j+cvi"/>
      <sheetName val="Tinh_MoP"/>
      <sheetName val="giai_he_2"/>
      <sheetName val="TL33-13_14"/>
      <sheetName val="TL033_,2,4"/>
      <sheetName val="TL_0331,2"/>
      <sheetName val="Lap_®at_®hÖn"/>
      <sheetName val="[PNT-P3_xlsUTong_hop_(2)"/>
      <sheetName val="Km276_-_Ke277"/>
      <sheetName val="[PNT-P3_xlsUKm279_-_Km280"/>
      <sheetName val="7000_000"/>
      <sheetName val="XNxlva_sxthanKCIÉ"/>
      <sheetName val="K43+0_00_-_338_Trai"/>
      <sheetName val="Tong_(op"/>
      <sheetName val="Coc_4ieu"/>
      <sheetName val="gìIÏÝÃç¾{è"/>
      <sheetName val="ESTI_"/>
      <sheetName val="CV_den_trong_to?g"/>
      <sheetName val="Don_gia"/>
      <sheetName val="Nhap_du_lieu"/>
      <sheetName val="ၔong_hop_QL48_-_2"/>
      <sheetName val="Mp_mai_275"/>
      <sheetName val="Ton_31_1"/>
      <sheetName val="NhapT_2"/>
      <sheetName val="Xuat_T_2"/>
      <sheetName val="Ton_28_2"/>
      <sheetName val="H_Tra"/>
      <sheetName val="Hang_CTY_TRA_LAI"/>
      <sheetName val="Hang_NV_Tra_Lai"/>
      <sheetName val="TNghiªm_T_"/>
      <sheetName val="tt-BA"/>
      <sheetName val="TD"/>
      <sheetName val="_12"/>
      <sheetName val="QD_c5a_HDQT_(2)"/>
      <sheetName val="hart1"/>
      <sheetName val="mua_vao"/>
      <sheetName val="chi_phi_"/>
      <sheetName val="ban_ra_10%"/>
      <sheetName val="Ban_pha_2"/>
      <sheetName val="luong_phu"/>
      <sheetName val="gìIÏÝ齘龜ꗃ〒"/>
      <sheetName val="Op_mai_2"/>
      <sheetName val="bÑi²r"/>
      <sheetName val="k,_vt_tho"/>
      <sheetName val="Km77_"/>
      <sheetName val="K-280_-_Km281"/>
      <sheetName val="Km280_࠭_Km281"/>
      <sheetName val="½"/>
      <sheetName val="M_pcCamPh"/>
      <sheetName val="Cong_ban_1,5„—"/>
      <sheetName val="Xa9lap_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LV_®at_®iÖn"/>
      <sheetName val="Cong_ban_0,7p0,7"/>
      <sheetName val="Km275_-_Ke276"/>
      <sheetName val="Km280_-_Km2(1"/>
      <sheetName val="Km282_-_Kl283"/>
      <sheetName val="Tong_hop_Op_m!i"/>
      <sheetName val="K_O"/>
      <sheetName val="xang__clc"/>
      <sheetName val="Thang_07"/>
      <sheetName val="Giao_nhie-_vu"/>
      <sheetName val="Diem_mon_hoc"/>
      <sheetName val="Tong_hop_diem"/>
      <sheetName val="HoTen-khong_duoc_xoa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Giao_nhiem_fu"/>
      <sheetName val="QDcea_TGD_(2)"/>
      <sheetName val="For_Summary"/>
      <sheetName val="For_Summary(KG)"/>
      <sheetName val="PP_Cloth"/>
      <sheetName val="Mix-PP_Cloth"/>
      <sheetName val="Material_Price-PP"/>
      <sheetName val="har"/>
      <sheetName val="VÃt_liÖu"/>
      <sheetName val="CVden_nw8ai_TCT_(1)"/>
      <sheetName val="gia_x_may"/>
      <sheetName val="FORM_jc"/>
      <sheetName val="?ong_hop_QL48_-_2"/>
      <sheetName val="Giao_nhÿÿÿÿvu"/>
      <sheetName val="⁋㌱Ա䭔㌱س䭔ㄠㄴ牴湯⁧琠湯౧杮楨搠湩⵨偃匀敨瑥"/>
      <sheetName val="Cac_cang_UT_mua_thal_Dong_bac"/>
      <sheetName val="CV_di_ngoai_to~g"/>
      <sheetName val="CT_XF1"/>
      <sheetName val="DG_"/>
      <sheetName val="GS11-_tÝnh_KHSC§"/>
      <sheetName val="gia_x"/>
      <sheetName val="2.withQSXK"/>
      <sheetName val="Gia"/>
      <sheetName val=" âO"/>
      <sheetName val="_x0000_ _x0000__x0000__x0000_âO"/>
      <sheetName val="MT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/>
      <sheetData sheetId="1131"/>
      <sheetData sheetId="1132"/>
      <sheetData sheetId="1133"/>
      <sheetData sheetId="1134" refreshError="1"/>
      <sheetData sheetId="1135" refreshError="1"/>
      <sheetData sheetId="1136" refreshError="1"/>
      <sheetData sheetId="1137" refreshError="1"/>
      <sheetData sheetId="1138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/>
      <sheetData sheetId="1146" refreshError="1"/>
      <sheetData sheetId="1147"/>
      <sheetData sheetId="1148"/>
      <sheetData sheetId="1149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/>
      <sheetData sheetId="1182" refreshError="1"/>
      <sheetData sheetId="1183"/>
      <sheetData sheetId="1184" refreshError="1"/>
      <sheetData sheetId="1185"/>
      <sheetData sheetId="1186"/>
      <sheetData sheetId="1187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 refreshError="1"/>
      <sheetData sheetId="1207" refreshError="1"/>
      <sheetData sheetId="1208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1"/>
      <sheetName val="3.NN"/>
      <sheetName val="4NN "/>
      <sheetName val="5. NN"/>
      <sheetName val="1.1 SB CHN 2021"/>
      <sheetName val="VĐ"/>
      <sheetName val="Lua_4 vu"/>
      <sheetName val="sb 2021"/>
      <sheetName val="Tinh"/>
      <sheetName val="TH"/>
      <sheetName val="1"/>
      <sheetName val="2"/>
      <sheetName val="4"/>
      <sheetName val="6"/>
      <sheetName val="8"/>
      <sheetName val="10"/>
      <sheetName val="11"/>
      <sheetName val="12"/>
      <sheetName val="14"/>
      <sheetName val="15"/>
      <sheetName val="17"/>
      <sheetName val="19"/>
      <sheetName val="20"/>
      <sheetName val="22"/>
      <sheetName val="24"/>
      <sheetName val="25"/>
      <sheetName val="26"/>
      <sheetName val="27"/>
      <sheetName val="30"/>
      <sheetName val="31"/>
      <sheetName val="33"/>
      <sheetName val="34"/>
      <sheetName val="35"/>
      <sheetName val="36"/>
      <sheetName val="37"/>
      <sheetName val="38"/>
      <sheetName val="40"/>
      <sheetName val="42"/>
      <sheetName val="44"/>
      <sheetName val="45"/>
      <sheetName val="46"/>
      <sheetName val="48"/>
      <sheetName val="49"/>
      <sheetName val="51"/>
      <sheetName val="52"/>
      <sheetName val="54"/>
      <sheetName val="56"/>
      <sheetName val="58"/>
      <sheetName val="60"/>
      <sheetName val="62"/>
      <sheetName val="64"/>
      <sheetName val="66"/>
      <sheetName val="67"/>
      <sheetName val="68"/>
      <sheetName val="70"/>
      <sheetName val="72"/>
      <sheetName val="74"/>
      <sheetName val="75"/>
      <sheetName val="77"/>
      <sheetName val="79"/>
      <sheetName val="80"/>
      <sheetName val="82"/>
      <sheetName val="83"/>
      <sheetName val="84"/>
      <sheetName val="86"/>
      <sheetName val="87"/>
      <sheetName val="89"/>
      <sheetName val="91"/>
      <sheetName val="92"/>
      <sheetName val="93"/>
      <sheetName val="94"/>
      <sheetName val="95"/>
      <sheetName val="9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NC10"/>
      <sheetName val="VL10"/>
      <sheetName val="CFmay10"/>
      <sheetName val="627(10)"/>
      <sheetName val="T1"/>
      <sheetName val="TH du toan "/>
      <sheetName val="Du toan "/>
      <sheetName val="C.Tinh"/>
      <sheetName val="TK_cap"/>
      <sheetName val="MTO REV.2(ARMOR)"/>
      <sheetName val="Bang gia ca may"/>
      <sheetName val="Bang luong CB"/>
      <sheetName val="Bang P.tich CT"/>
      <sheetName val="D.toan chi tiet"/>
      <sheetName val="Bang TH Dtoan"/>
      <sheetName val="XXXXX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ong hop"/>
      <sheetName val="phan tich DG"/>
      <sheetName val="gia vat lieu"/>
      <sheetName val="gia xe may"/>
      <sheetName val="gia nhan cong"/>
      <sheetName val="XL4Test5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PC"/>
      <sheetName val="Ph-Thu"/>
      <sheetName val="Ph-Thu (2)"/>
      <sheetName val="PC (2)"/>
      <sheetName val="Chart2"/>
      <sheetName val="PC (3)"/>
      <sheetName val="DTCT"/>
      <sheetName val="PTVT"/>
      <sheetName val="THDT"/>
      <sheetName val="THVT"/>
      <sheetName val="THGT"/>
      <sheetName val="TongHopSuaLoé"/>
      <sheetName val="Bang ke chi tiet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KTQT-AFC"/>
      <sheetName val="KTQT-KH"/>
      <sheetName val="CLDG"/>
      <sheetName val="CLKL"/>
      <sheetName val="Bang du toan"/>
      <sheetName val="Bu gia"/>
      <sheetName val="PT vat tu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uၡn"/>
      <sheetName val="km345+400-km345+500 (6'-"/>
      <sheetName val="T9"/>
      <sheetName val="T6"/>
      <sheetName val="T3"/>
      <sheetName val="T10"/>
      <sheetName val="T2"/>
      <sheetName val="SD0"/>
      <sheetName val="KL DUONG DC L_x0004_Í"/>
      <sheetName val="Y_x0004_ÏY_x0004_ÐY_x0004_ÑY_x0004_"/>
      <sheetName val="Y_x0004_ÝY_x0004_ÞY_x0004_ßY_x0004_"/>
      <sheetName val="Y_x0004_éY_x0004_êY_x0004_ëY_x0004_"/>
      <sheetName val="Y_x0004_õY_x0004_öY_x0004_÷Y_x0004_"/>
      <sheetName val="_x0001_Y_x0004__x0001__x0001_Y_x0004__x0002__x0001_Y_x0004__x0003__x0001_Y_x0004_"/>
      <sheetName val="_x0001_Y_x0004__x000d__x0001_Y_x0004__x000e__x0001_Y_x0004__x000f__x0001_Y_x0004_"/>
      <sheetName val="_x0001_Y_x0004__x0019__x0001_Y_x0004__x001a__x0001_Y_x0004__x001b__x0001_Y_x0004_"/>
      <sheetName val="_x0001_Y_x0004_&amp;_x0001_Y_x0004_'_x0001_Y_x0004_(_x0001_Y_x0004_"/>
      <sheetName val="_x0001_Y_x0004_2_x0001_Y_x0004_3_x0001_Y_x0004_4_x0001_Y_x0004_"/>
      <sheetName val="_x0001_Y_x0004_&gt;_x0001_Y_x0004_?_x0001_Y_x0004_@_x0001_Y_x0004_"/>
      <sheetName val="_x0001_Y_x0004_J_x0001_Y_x0004_K_x0001_Y_x0004_L_x0001_Y_x0004_"/>
      <sheetName val="Co quan TCT"/>
      <sheetName val="BOT"/>
      <sheetName val="BOT (PA chon)"/>
      <sheetName val="Yaly &amp; Ri Ninh"/>
      <sheetName val="Thuy dien Na Loi"/>
      <sheetName val="mau c47"/>
      <sheetName val="km337+136-ki337-35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hang 1"/>
      <sheetName val="Thang 10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' vu hcm (6)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ccvo12q405   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Giao"/>
      <sheetName val="CHIET TINH"/>
      <sheetName val="Bang Gia VL"/>
      <sheetName val="Tong Hop KP"/>
      <sheetName val=" DON GIA"/>
      <sheetName val="CHIET TINH THEO KH.SAT"/>
      <sheetName val="Con NCS thu"/>
      <sheetName val="BHCond_Batch"/>
      <sheetName val="KHTT"/>
      <sheetName val="KHCBthan"/>
      <sheetName val="KHTTthan"/>
      <sheetName val="KHPC"/>
      <sheetName val="KHPCthan"/>
      <sheetName val="BC tån kho than"/>
      <sheetName val="KHPCthan2002"/>
      <sheetName val="VCTT"/>
      <sheetName val="VCTh"/>
      <sheetName val="143"/>
      <sheetName val="161"/>
      <sheetName val="162"/>
      <sheetName val="163"/>
      <sheetName val="164"/>
      <sheetName val="171"/>
      <sheetName val="172"/>
      <sheetName val="310"/>
      <sheetName val="320"/>
      <sheetName val="330"/>
      <sheetName val="360"/>
      <sheetName val="410"/>
      <sheetName val="420"/>
      <sheetName val="500"/>
      <sheetName val="GIAO TBI"/>
      <sheetName val="20000000"/>
      <sheetName val="BKmua vao"/>
      <sheetName val="BKBan ra"/>
      <sheetName val="BCsudunghd"/>
      <sheetName val="TOkhaithue"/>
      <sheetName val="MTL$-JDTTY"/>
      <sheetName val="A6"/>
      <sheetName val="5 nam (tach)"/>
      <sheetName val="5 nam (tach) (2)"/>
      <sheetName val="KH 2003"/>
      <sheetName val="shorequant"/>
      <sheetName val="MV06"/>
      <sheetName val="BR06"/>
      <sheetName val="TH06"/>
      <sheetName val="TL10PH"/>
      <sheetName val="bth "/>
      <sheetName val="Khoan"/>
      <sheetName val="cvc"/>
      <sheetName val="bcl "/>
      <sheetName val="6 T-2003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BIABAO"/>
      <sheetName val="PHAN TICH VAT TU NGANG"/>
      <sheetName val="BANG DU TOAN DRC"/>
      <sheetName val="DIEN GIAI TIEN LUONG"/>
      <sheetName val="TONGKET"/>
      <sheetName val="TMINH"/>
      <sheetName val="CHIET TINH DON GIA"/>
      <sheetName val="KHOILUONG"/>
      <sheetName val="THIETBI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LEGEND"/>
      <sheetName val="Outlets"/>
      <sheetName val="PGs"/>
      <sheetName val="KHo152"/>
      <sheetName val="Kho153"/>
      <sheetName val="Bia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BKNHAP"/>
      <sheetName val="BKX"/>
      <sheetName val="MSVT"/>
      <sheetName val="MSSP"/>
      <sheetName val="§V"/>
      <sheetName val="N-X -T"/>
      <sheetName val="ESTI."/>
      <sheetName val="DI-ESTI"/>
      <sheetName val="Lists"/>
      <sheetName val="bang tinh chi phi KSSB"/>
      <sheetName val="bang ke khoi luong"/>
      <sheetName val="bang tinh don gia khao sat"/>
      <sheetName val="bu nha cong"/>
      <sheetName val="phu cap"/>
      <sheetName val="bang luong"/>
      <sheetName val="bangtinhchiphi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BangTTKLQIV2000"/>
      <sheetName val="THTKnam 2000"/>
      <sheetName val="Kho than 9 thang"/>
      <sheetName val="KLQIII"/>
      <sheetName val="KL6thang"/>
      <sheetName val="KLQIV"/>
      <sheetName val="KL2000"/>
      <sheetName val="Kho gach 9 thang"/>
      <sheetName val="Kho gach2000"/>
      <sheetName val="BM moiBC2000"/>
      <sheetName val="KLQI2001"/>
      <sheetName val="KLQII2001"/>
      <sheetName val="BC ton kho than QI2001"/>
      <sheetName val="TonkhoQII"/>
      <sheetName val="THTon khoQ1&amp;GC"/>
      <sheetName val="TH ton kho 6 thang"/>
      <sheetName val="KL6 thang"/>
      <sheetName val="TKho QIV2000"/>
      <sheetName val="Ton kho 6 thang 2001"/>
      <sheetName val="KL QIV2001"/>
      <sheetName val="KL QI 2002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km342+500-km342+690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ÿÿ$-PRODÿÿÿÿ-UG"/>
      <sheetName val="MTL$-PÿÿDTANK-AG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aung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818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THChi"/>
      <sheetName val="THthu"/>
      <sheetName val="BCD"/>
      <sheetName val="111"/>
      <sheetName val="112"/>
      <sheetName val="133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Proj.Sum"/>
      <sheetName val="5.1TB"/>
      <sheetName val="HT1"/>
      <sheetName val="5.1"/>
      <sheetName val="HT5.1"/>
      <sheetName val="kich thuoc"/>
      <sheetName val="DTHH"/>
      <sheetName val="DTHU-T8"/>
      <sheetName val="Ch-tinh"/>
      <sheetName val="Chiet tinh dz35"/>
      <sheetName val="Quantity"/>
      <sheetName val="Trunggian"/>
      <sheetName val="Danh Sach"/>
      <sheetName val="8. Danh muc chuc danh"/>
      <sheetName val="De11A"/>
      <sheetName val="Gia vat tu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??-BLDG"/>
      <sheetName val="уровни"/>
      <sheetName val="PVGC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_x0001_Y"/>
      <sheetName val="KS"/>
      <sheetName val="DG"/>
      <sheetName val="CPTV"/>
      <sheetName val="TM"/>
      <sheetName val="Duong"/>
      <sheetName val="VLHT"/>
      <sheetName val="LT sua"/>
      <sheetName val="30000000"/>
      <sheetName val="40000000"/>
      <sheetName val="Thau"/>
      <sheetName val="Mong"/>
      <sheetName val="CT-BT"/>
      <sheetName val="bao ve"/>
      <sheetName val="doi xe"/>
      <sheetName val="lap may"/>
      <sheetName val="Co quan"/>
      <sheetName val="Xay dung"/>
      <sheetName val="ket cau"/>
      <sheetName val="luong le"/>
      <sheetName val="co khi"/>
      <sheetName val="KLQII02"/>
      <sheetName val="KL QIII02"/>
      <sheetName val="KL ca nam"/>
      <sheetName val="Bieu M4"/>
      <sheetName val="KLQ III2003"/>
      <sheetName val="KLQI2004"/>
      <sheetName val="TK 6&amp;ca nam 03"/>
      <sheetName val="Bieu M5"/>
      <sheetName val="TKQ3-04-m3a"/>
      <sheetName val="TK-Q3-04-M2A-dc,td"/>
      <sheetName val=" 2"/>
      <sheetName val="8+9"/>
      <sheetName val="15+16"/>
      <sheetName val=" 20"/>
      <sheetName val=" 21"/>
      <sheetName val=" 22+23"/>
      <sheetName val="KH23"/>
      <sheetName val=" 27"/>
      <sheetName val=" 28"/>
      <sheetName val=" "/>
      <sheetName val="TL"/>
      <sheetName val="CT"/>
      <sheetName val="GK"/>
      <sheetName val="917"/>
      <sheetName val="CB"/>
      <sheetName val="VP"/>
      <sheetName val="TQT"/>
      <sheetName val="VC"/>
      <sheetName val="VL"/>
      <sheetName val="ND"/>
      <sheetName val="411"/>
      <sheetName val="421"/>
      <sheetName val="511"/>
      <sheetName val="621"/>
      <sheetName val="622"/>
      <sheetName val="623"/>
      <sheetName val="627b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_x0001_Y_x0000__x0004__x0000__x0000__x0000__x0001__x0001_Y_x0000__x0004__x0000__x0000__x0000__x0002__x0001_Y_x0000__x0004__x0000__x0000__x0000__x0003__x0001_Y_x0000__x0004__x0000__x0000__x0000_"/>
      <sheetName val="_x0001_Y_x0000__x0004__x0000__x0000__x0000__x000d__x0001_Y_x0000__x0004__x0000__x0000__x0000__x000e__x0001_Y_x0000__x0004__x0000__x0000__x0000__x000f__x0001_Y_x0000__x0004__x0000__x0000__x0000_"/>
      <sheetName val="_x0001_Y_x0000__x0004__x0000__x0000__x0000__x0019__x0001_Y_x0000__x0004__x0000__x0000__x0000__x001a__x0001_Y_x0000__x0004__x0000__x0000__x0000__x001b__x0001_Y_x0000__x0004__x0000__x0000__x0000_"/>
      <sheetName val="_x0001_Y_x0000__x0004__x0000__x0000__x0000_&amp;_x0001_Y_x0000__x0004__x0000__x0000__x0000_'_x0001_Y_x0000__x0004__x0000__x0000__x0000_(_x0001_Y_x0000__x0004__x0000__x0000__x0000_"/>
      <sheetName val="_x0001_Y_x0000__x0004__x0000__x0000__x0000_2_x0001_Y_x0000__x0004__x0000__x0000__x0000_3_x0001_Y_x0000__x0004__x0000__x0000__x0000_4_x0001_Y_x0000__x0004__x0000__x0000__x0000_"/>
      <sheetName val="_x0001_Y_x0000__x0004__x0000__x0000__x0000_&gt;_x0001_Y_x0000__x0004__x0000__x0000__x0000_?_x0001_Y_x0000__x0004__x0000__x0000__x0000_@_x0001_Y_x0000__x0004__x0000__x0000__x0000_"/>
      <sheetName val="_x0001_Y_x0000__x0004__x0000__x0000__x0000_J_x0001_Y_x0000__x0004__x0000__x0000__x0000_K_x0001_Y_x0000__x0004__x0000__x0000__x0000_L_x0001_Y_x0000__x0004__x0000__x0000__x0000_"/>
      <sheetName val="_x0001_Y_x0004_&gt;_x0001_Y_x0004___x0001_Y_x0004_@_x0001_Y_x0004_"/>
      <sheetName val="thong bao"/>
      <sheetName val="duyet gia"/>
      <sheetName val="so do"/>
      <sheetName val="Duong cong vu h#m (2;) (2)"/>
      <sheetName val="thixa"/>
      <sheetName val="tantru"/>
      <sheetName val="chauthanh"/>
      <sheetName val="thuthua"/>
      <sheetName val="benluc"/>
      <sheetName val="duchoa"/>
      <sheetName val="duchue"/>
      <sheetName val="canduoc"/>
      <sheetName val="cangiuoc"/>
      <sheetName val="Thanh Hoa"/>
      <sheetName val="Tan Thanh"/>
      <sheetName val="Moc Hoa "/>
      <sheetName val="Vinh Hung "/>
      <sheetName val="Tan Hung"/>
      <sheetName val="tongcong"/>
      <sheetName val="00000001"/>
      <sheetName val="T4"/>
      <sheetName val="tu?n"/>
      <sheetName val="632"/>
      <sheetName val="642"/>
      <sheetName val="711"/>
      <sheetName val="811"/>
      <sheetName val="911"/>
      <sheetName val="009"/>
      <sheetName val="KL DUONG DC L_x0004_"/>
      <sheetName val="So lieu chung"/>
      <sheetName val="QM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/>
      <sheetData sheetId="1076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 refreshError="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eu 25b"/>
      <sheetName val="Bieu 25a"/>
      <sheetName val="00000000"/>
      <sheetName val="10000000"/>
      <sheetName val="Du_lieu"/>
      <sheetName val="THK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dg"/>
      <sheetName val="VT,NC,M"/>
      <sheetName val="dt"/>
      <sheetName val="Sheet3"/>
      <sheetName val="dt (2)"/>
      <sheetName val="XL4Poppy"/>
      <sheetName val="gia vt,nc,may"/>
      <sheetName val="THKP"/>
      <sheetName val="2.withQSXK"/>
      <sheetName val="Năm"/>
      <sheetName val="Thời gian"/>
      <sheetName val="Tỉnh"/>
      <sheetName val="dg-VTu"/>
    </sheetNames>
    <sheetDataSet>
      <sheetData sheetId="0">
        <row r="5">
          <cell r="A5" t="str">
            <v>VT</v>
          </cell>
        </row>
      </sheetData>
      <sheetData sheetId="1" refreshError="1">
        <row r="5">
          <cell r="A5" t="str">
            <v>VT</v>
          </cell>
          <cell r="D5" t="str">
            <v>M</v>
          </cell>
        </row>
        <row r="6">
          <cell r="D6" t="str">
            <v>Maùy bôm BT 50m3/h</v>
          </cell>
          <cell r="E6">
            <v>1533650.26</v>
          </cell>
        </row>
        <row r="7">
          <cell r="D7" t="str">
            <v>Maùy caåu 10T</v>
          </cell>
          <cell r="E7">
            <v>658596.77</v>
          </cell>
        </row>
        <row r="8">
          <cell r="D8" t="str">
            <v>Maùy caét uoán</v>
          </cell>
          <cell r="E8">
            <v>42574.23</v>
          </cell>
        </row>
        <row r="9">
          <cell r="D9" t="str">
            <v>Maùy haøn 15kw</v>
          </cell>
          <cell r="E9">
            <v>59577.600000000006</v>
          </cell>
        </row>
        <row r="10">
          <cell r="D10" t="str">
            <v>Maùy haøn 23Kw</v>
          </cell>
          <cell r="E10">
            <v>82751.66</v>
          </cell>
        </row>
        <row r="11">
          <cell r="D11" t="str">
            <v>Maùy khoan 4,5Kw</v>
          </cell>
          <cell r="E11">
            <v>77397.38</v>
          </cell>
        </row>
        <row r="12">
          <cell r="D12" t="str">
            <v>Maùy ñaàm baøn 1kw</v>
          </cell>
          <cell r="E12">
            <v>34801.75</v>
          </cell>
        </row>
        <row r="13">
          <cell r="D13" t="str">
            <v>Maùy ñaàm baùnh loáp 25T</v>
          </cell>
          <cell r="E13">
            <v>541046.57000000007</v>
          </cell>
        </row>
        <row r="14">
          <cell r="D14" t="str">
            <v>Maùy ñaàm coùc</v>
          </cell>
          <cell r="E14">
            <v>53681.9</v>
          </cell>
        </row>
        <row r="15">
          <cell r="D15" t="str">
            <v>Maùy ñaàm duøi 1,5Kw</v>
          </cell>
          <cell r="E15">
            <v>40077.920000000006</v>
          </cell>
        </row>
        <row r="16">
          <cell r="D16" t="str">
            <v>Maùy ñaøo &lt;=0,8m3</v>
          </cell>
          <cell r="E16">
            <v>755258.43</v>
          </cell>
        </row>
        <row r="17">
          <cell r="D17" t="str">
            <v>Maùy san 110CV</v>
          </cell>
          <cell r="E17">
            <v>625169.97000000009</v>
          </cell>
        </row>
        <row r="18">
          <cell r="D18" t="str">
            <v>Maùy troän 250 lít</v>
          </cell>
          <cell r="E18">
            <v>103011.04000000001</v>
          </cell>
        </row>
        <row r="19">
          <cell r="D19" t="str">
            <v>Maùy troän vöõa 80 lít</v>
          </cell>
          <cell r="E19">
            <v>48464.58</v>
          </cell>
        </row>
        <row r="20">
          <cell r="D20" t="str">
            <v>Maùy uûi 110CV</v>
          </cell>
          <cell r="E20">
            <v>716202.36</v>
          </cell>
        </row>
        <row r="21">
          <cell r="D21" t="str">
            <v>Maùy vaän thaêng 0,8T</v>
          </cell>
          <cell r="E21">
            <v>58309.65</v>
          </cell>
        </row>
        <row r="22">
          <cell r="D22" t="str">
            <v>Maùy, oâ toâ 5T</v>
          </cell>
          <cell r="E22">
            <v>331529.87</v>
          </cell>
        </row>
        <row r="23">
          <cell r="D23" t="str">
            <v>Maùy, oâ toâ töôùi nöôùc 5m3</v>
          </cell>
          <cell r="E23">
            <v>367065.64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GVL"/>
      <sheetName val="J(Priv.Cap)"/>
      <sheetName val="Old Table"/>
      <sheetName val="KH-Q1,Q2,01"/>
      <sheetName val="gia_vt,nc,may"/>
      <sheetName val="2.74"/>
      <sheetName val="dtxl"/>
      <sheetName val="TiÕn ®é thùc hiÖn K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dtxl"/>
      <sheetName val="NS"/>
      <sheetName val="2.withQSXK"/>
      <sheetName val="HT"/>
      <sheetName val="IBASE"/>
      <sheetName val="2_59_1"/>
      <sheetName val="2_1"/>
      <sheetName val="2_2"/>
      <sheetName val="2_3_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2_14"/>
      <sheetName val="2_15"/>
      <sheetName val="2_16"/>
      <sheetName val="2_17"/>
      <sheetName val="2_18"/>
      <sheetName val="2_19"/>
      <sheetName val="2_20"/>
      <sheetName val="2_21"/>
      <sheetName val="2_22"/>
      <sheetName val="2_23"/>
      <sheetName val="2_24"/>
      <sheetName val="2_25"/>
      <sheetName val="2_26"/>
      <sheetName val="2_27"/>
      <sheetName val="2_28"/>
      <sheetName val="2_29"/>
      <sheetName val="2_30"/>
      <sheetName val="2_31"/>
      <sheetName val="2_32"/>
      <sheetName val="2_33"/>
      <sheetName val="2_34"/>
      <sheetName val="2_35"/>
      <sheetName val="2_36"/>
      <sheetName val="2_37"/>
      <sheetName val="2_38"/>
      <sheetName val="2_38_1"/>
      <sheetName val="2_38_2"/>
      <sheetName val="2_38_3"/>
      <sheetName val="2_39"/>
      <sheetName val="2_40"/>
      <sheetName val="2_41"/>
      <sheetName val="2_42"/>
      <sheetName val="2_43"/>
      <sheetName val="2_44"/>
      <sheetName val="2_45"/>
      <sheetName val="2_46"/>
      <sheetName val="2_47"/>
      <sheetName val="2_48"/>
      <sheetName val="2_49"/>
      <sheetName val="2_50"/>
      <sheetName val="2_51"/>
      <sheetName val="2_52"/>
      <sheetName val="2_53"/>
      <sheetName val="2_54"/>
      <sheetName val="2_55"/>
      <sheetName val="2_56"/>
      <sheetName val="2_57"/>
      <sheetName val="2_58"/>
      <sheetName val="2_59"/>
      <sheetName val="2_60"/>
      <sheetName val="2_61"/>
      <sheetName val="2_62"/>
      <sheetName val="2_63"/>
      <sheetName val="2_64"/>
      <sheetName val="2_65"/>
      <sheetName val="2_66"/>
      <sheetName val="2_67"/>
      <sheetName val="2_68"/>
      <sheetName val="2_69"/>
      <sheetName val="2_70"/>
      <sheetName val="2_71"/>
      <sheetName val="2_72"/>
      <sheetName val="2_73"/>
      <sheetName val="2_74"/>
      <sheetName val="2_74_1"/>
      <sheetName val="2_90"/>
      <sheetName val="7_THAI_NGUYEN"/>
      <sheetName val="Ban_ra"/>
      <sheetName val="2_withQSXK"/>
      <sheetName val="VT,NC,M"/>
      <sheetName val="Du_lieu"/>
      <sheetName val="KH-Q1,Q2,01"/>
      <sheetName val="DI-ESTI"/>
      <sheetName val="NN95-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TỶ TRỌNG (XĐ sp đưa vào biểu)"/>
      <sheetName val="Biểu BC&amp;Tỉnh BC"/>
      <sheetName val="B.PHÂN NHÓM TỈNH"/>
      <sheetName val="C.BIỂU ĐẦU VÀO-ĐẦU RA"/>
      <sheetName val="C.1.Biểu đầu vào_tỉnh,TW"/>
      <sheetName val="DV THANG"/>
      <sheetName val="ĐV các QUY"/>
      <sheetName val="ĐV.02.TS.SB.Q"/>
      <sheetName val="ĐV.03.TS.Phân bổ tháng.quý"/>
      <sheetName val="C.3.Biểu đầu ra_tỉnh"/>
      <sheetName val="ĐR.01.TS. Tiến độ_tỉnh"/>
      <sheetName val="ĐR.02.TS. Chuỗi năm_tỉnh"/>
      <sheetName val="C.4.Biểu đầu ra_TW"/>
      <sheetName val="ĐR.01.TS.(T.Q.6T.N)_TQ"/>
      <sheetName val="ĐR.02.TS.SB.SLKTB.T_TQ"/>
      <sheetName val="ĐR.03.TS.SB.Q_TQ"/>
      <sheetName val="ĐR.04.TS.Phân bổ tháng.quý_TQ"/>
      <sheetName val="ĐR.05.TS. Chuỗi năm_TQ"/>
      <sheetName val="Thời gian"/>
      <sheetName val="Năm"/>
      <sheetName val="Tỉnh"/>
      <sheetName val="ĐR.06.TS.TH.Chỉ tiêu_TQ"/>
      <sheetName val="Tên chỉ tiêu"/>
      <sheetName val="ĐR.07.TS. Tiến độ.TH_TQ"/>
      <sheetName val="ĐR.08.TS.BC_TQ"/>
      <sheetName val="ĐR.9.MK. QI_TQ"/>
      <sheetName val="ĐR.10.MK. 6T_TQ"/>
      <sheetName val="ĐR.11.MK. 9T_TQ"/>
      <sheetName val="ĐR.12.MK. N_TQ"/>
      <sheetName val="Quy trình Ước-SB-CT"/>
      <sheetName val="Quy trình nhập số liệu"/>
      <sheetName val="THKP"/>
      <sheetName val="LN_9 thang"/>
      <sheetName val="2.7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D2" t="str">
            <v>Tháng 1</v>
          </cell>
        </row>
        <row r="3">
          <cell r="D3" t="str">
            <v>Tháng 2</v>
          </cell>
        </row>
        <row r="4">
          <cell r="D4" t="str">
            <v>Tháng 3</v>
          </cell>
        </row>
        <row r="5">
          <cell r="D5" t="str">
            <v>Tháng 4</v>
          </cell>
        </row>
        <row r="6">
          <cell r="D6" t="str">
            <v>Tháng 5</v>
          </cell>
        </row>
        <row r="7">
          <cell r="D7" t="str">
            <v>Tháng 6</v>
          </cell>
        </row>
        <row r="8">
          <cell r="D8" t="str">
            <v>Tháng 7</v>
          </cell>
        </row>
        <row r="9">
          <cell r="D9" t="str">
            <v>Tháng 8</v>
          </cell>
        </row>
        <row r="10">
          <cell r="D10" t="str">
            <v>Tháng 9</v>
          </cell>
        </row>
        <row r="11">
          <cell r="D11" t="str">
            <v>Tháng 10</v>
          </cell>
        </row>
        <row r="12">
          <cell r="D12" t="str">
            <v>Tháng 11</v>
          </cell>
        </row>
        <row r="13">
          <cell r="D13" t="str">
            <v>Tháng 12</v>
          </cell>
        </row>
        <row r="14">
          <cell r="D14" t="str">
            <v>Tháng 13</v>
          </cell>
        </row>
        <row r="15">
          <cell r="D15" t="str">
            <v>Quý I</v>
          </cell>
        </row>
        <row r="16">
          <cell r="D16" t="str">
            <v>Quý II</v>
          </cell>
        </row>
        <row r="17">
          <cell r="D17" t="str">
            <v>Quý III</v>
          </cell>
        </row>
        <row r="18">
          <cell r="D18" t="str">
            <v>Quý IV</v>
          </cell>
        </row>
        <row r="19">
          <cell r="D19" t="str">
            <v>6T</v>
          </cell>
        </row>
        <row r="20">
          <cell r="D20" t="str">
            <v>9T</v>
          </cell>
        </row>
        <row r="21">
          <cell r="D21" t="str">
            <v>Năm</v>
          </cell>
        </row>
      </sheetData>
      <sheetData sheetId="19">
        <row r="2">
          <cell r="H2">
            <v>2010</v>
          </cell>
        </row>
        <row r="3">
          <cell r="H3">
            <v>2011</v>
          </cell>
        </row>
        <row r="4">
          <cell r="H4">
            <v>2012</v>
          </cell>
        </row>
        <row r="5">
          <cell r="H5">
            <v>2013</v>
          </cell>
        </row>
        <row r="6">
          <cell r="H6">
            <v>2014</v>
          </cell>
        </row>
        <row r="7">
          <cell r="H7">
            <v>2015</v>
          </cell>
        </row>
        <row r="8">
          <cell r="H8">
            <v>2016</v>
          </cell>
        </row>
        <row r="9">
          <cell r="H9">
            <v>2017</v>
          </cell>
        </row>
        <row r="10">
          <cell r="H10">
            <v>2018</v>
          </cell>
        </row>
        <row r="11">
          <cell r="H11">
            <v>2019</v>
          </cell>
        </row>
        <row r="12">
          <cell r="H12">
            <v>2020</v>
          </cell>
        </row>
        <row r="13">
          <cell r="H13">
            <v>2021</v>
          </cell>
        </row>
        <row r="14">
          <cell r="H14">
            <v>2022</v>
          </cell>
        </row>
        <row r="15">
          <cell r="H15">
            <v>2023</v>
          </cell>
        </row>
        <row r="16">
          <cell r="H16">
            <v>2024</v>
          </cell>
        </row>
        <row r="17">
          <cell r="H17">
            <v>2025</v>
          </cell>
        </row>
        <row r="18">
          <cell r="H18">
            <v>2026</v>
          </cell>
        </row>
        <row r="19">
          <cell r="H19">
            <v>2027</v>
          </cell>
        </row>
        <row r="20">
          <cell r="H20">
            <v>2028</v>
          </cell>
        </row>
        <row r="21">
          <cell r="H21">
            <v>2029</v>
          </cell>
        </row>
        <row r="22">
          <cell r="H22">
            <v>2030</v>
          </cell>
        </row>
        <row r="23">
          <cell r="H23">
            <v>2031</v>
          </cell>
        </row>
        <row r="24">
          <cell r="H24">
            <v>2032</v>
          </cell>
        </row>
        <row r="25">
          <cell r="H25">
            <v>2033</v>
          </cell>
        </row>
        <row r="26">
          <cell r="H26">
            <v>2034</v>
          </cell>
        </row>
        <row r="27">
          <cell r="H27">
            <v>2035</v>
          </cell>
        </row>
      </sheetData>
      <sheetData sheetId="20">
        <row r="1">
          <cell r="H1" t="str">
            <v>Cả nước</v>
          </cell>
        </row>
        <row r="2">
          <cell r="H2" t="str">
            <v>ĐB sông Hồng</v>
          </cell>
        </row>
        <row r="3">
          <cell r="H3" t="str">
            <v>Hà Nội</v>
          </cell>
        </row>
        <row r="4">
          <cell r="H4" t="str">
            <v>Vĩnh Phúc</v>
          </cell>
        </row>
        <row r="5">
          <cell r="H5" t="str">
            <v>Bắc Ninh</v>
          </cell>
        </row>
        <row r="6">
          <cell r="H6" t="str">
            <v>Quảng Ninh</v>
          </cell>
        </row>
        <row r="7">
          <cell r="H7" t="str">
            <v>Hải Dương</v>
          </cell>
        </row>
        <row r="8">
          <cell r="H8" t="str">
            <v>Hải Phòng</v>
          </cell>
        </row>
        <row r="9">
          <cell r="H9" t="str">
            <v>Hưng Yên</v>
          </cell>
        </row>
        <row r="10">
          <cell r="H10" t="str">
            <v>Thái Bình</v>
          </cell>
        </row>
        <row r="11">
          <cell r="H11" t="str">
            <v>Hà Nam</v>
          </cell>
        </row>
        <row r="12">
          <cell r="H12" t="str">
            <v>Nam Định</v>
          </cell>
        </row>
        <row r="13">
          <cell r="H13" t="str">
            <v>Ninh Bình</v>
          </cell>
        </row>
        <row r="14">
          <cell r="H14" t="str">
            <v>Trung du và miền núi phía Bắc</v>
          </cell>
        </row>
        <row r="15">
          <cell r="H15" t="str">
            <v>Hà Giang</v>
          </cell>
        </row>
        <row r="16">
          <cell r="H16" t="str">
            <v>Cao Bằng</v>
          </cell>
        </row>
        <row r="17">
          <cell r="H17" t="str">
            <v>Bắc Cạn</v>
          </cell>
        </row>
        <row r="18">
          <cell r="H18" t="str">
            <v>Tuyên Quang</v>
          </cell>
        </row>
        <row r="19">
          <cell r="H19" t="str">
            <v>Lào Cai</v>
          </cell>
        </row>
        <row r="20">
          <cell r="H20" t="str">
            <v>Yên Bái</v>
          </cell>
        </row>
        <row r="21">
          <cell r="H21" t="str">
            <v>Thái Nguyên</v>
          </cell>
        </row>
        <row r="22">
          <cell r="H22" t="str">
            <v>Lạng Sơn</v>
          </cell>
        </row>
        <row r="23">
          <cell r="H23" t="str">
            <v>Bắc Giang</v>
          </cell>
        </row>
        <row r="24">
          <cell r="H24" t="str">
            <v>Phú Thọ</v>
          </cell>
        </row>
        <row r="25">
          <cell r="H25" t="str">
            <v>Điện Biên</v>
          </cell>
        </row>
        <row r="26">
          <cell r="H26" t="str">
            <v>Lai Châu</v>
          </cell>
        </row>
        <row r="27">
          <cell r="H27" t="str">
            <v>Sơn La</v>
          </cell>
        </row>
        <row r="28">
          <cell r="H28" t="str">
            <v>Hòa Bình</v>
          </cell>
        </row>
        <row r="29">
          <cell r="H29" t="str">
            <v>Bắc Trung Bộ và Duyên hải miền Trung</v>
          </cell>
        </row>
        <row r="30">
          <cell r="H30" t="str">
            <v>Thanh Hóa</v>
          </cell>
        </row>
        <row r="31">
          <cell r="H31" t="str">
            <v>Nghệ An</v>
          </cell>
        </row>
        <row r="32">
          <cell r="H32" t="str">
            <v>Hà Tĩnh</v>
          </cell>
        </row>
        <row r="33">
          <cell r="H33" t="str">
            <v>Quảng Bình</v>
          </cell>
        </row>
        <row r="34">
          <cell r="H34" t="str">
            <v>Quảng Trị</v>
          </cell>
        </row>
        <row r="35">
          <cell r="H35" t="str">
            <v>Thừa Thiên Huế</v>
          </cell>
        </row>
        <row r="36">
          <cell r="H36" t="str">
            <v>Đà Nẵng</v>
          </cell>
        </row>
        <row r="37">
          <cell r="H37" t="str">
            <v>Quảng Nam</v>
          </cell>
        </row>
        <row r="38">
          <cell r="H38" t="str">
            <v>Quãng Ngãi</v>
          </cell>
        </row>
        <row r="39">
          <cell r="H39" t="str">
            <v>Bình Định</v>
          </cell>
        </row>
        <row r="40">
          <cell r="H40" t="str">
            <v>Phú Yên</v>
          </cell>
        </row>
        <row r="41">
          <cell r="H41" t="str">
            <v>Khánh Hòa</v>
          </cell>
        </row>
        <row r="42">
          <cell r="H42" t="str">
            <v>Ninh Thuận</v>
          </cell>
        </row>
        <row r="43">
          <cell r="H43" t="str">
            <v>Bình Thuận</v>
          </cell>
        </row>
        <row r="44">
          <cell r="H44" t="str">
            <v>Tây Nguyên</v>
          </cell>
        </row>
        <row r="45">
          <cell r="H45" t="str">
            <v>Kom Tum</v>
          </cell>
        </row>
        <row r="46">
          <cell r="H46" t="str">
            <v>Gia Lai</v>
          </cell>
        </row>
        <row r="47">
          <cell r="H47" t="str">
            <v>Đắc Nông</v>
          </cell>
        </row>
        <row r="48">
          <cell r="H48" t="str">
            <v>Đắc Lắc</v>
          </cell>
        </row>
        <row r="49">
          <cell r="H49" t="str">
            <v>Lâm Đồng</v>
          </cell>
        </row>
        <row r="50">
          <cell r="H50" t="str">
            <v>Đông Nam Bộ</v>
          </cell>
        </row>
        <row r="51">
          <cell r="H51" t="str">
            <v>Bình Phước</v>
          </cell>
        </row>
        <row r="52">
          <cell r="H52" t="str">
            <v>Tây Ninh</v>
          </cell>
        </row>
        <row r="53">
          <cell r="H53" t="str">
            <v>Bình Dương</v>
          </cell>
        </row>
        <row r="54">
          <cell r="H54" t="str">
            <v>Đồng Nai</v>
          </cell>
        </row>
        <row r="55">
          <cell r="H55" t="str">
            <v>Bà Rịa Vũng Tàu</v>
          </cell>
        </row>
        <row r="56">
          <cell r="H56" t="str">
            <v>Thành phố Hồ Chí Minh</v>
          </cell>
        </row>
        <row r="57">
          <cell r="H57" t="str">
            <v>Đồng bằng sông Cửu Long</v>
          </cell>
        </row>
        <row r="58">
          <cell r="H58" t="str">
            <v>Long An</v>
          </cell>
        </row>
        <row r="59">
          <cell r="H59" t="str">
            <v>Tiền Giang</v>
          </cell>
        </row>
        <row r="60">
          <cell r="H60" t="str">
            <v>Bến Tre</v>
          </cell>
        </row>
        <row r="61">
          <cell r="H61" t="str">
            <v>Trà Vinh</v>
          </cell>
        </row>
        <row r="62">
          <cell r="H62" t="str">
            <v>Vĩnh Long</v>
          </cell>
        </row>
        <row r="63">
          <cell r="H63" t="str">
            <v>Đồng Tháp</v>
          </cell>
        </row>
        <row r="64">
          <cell r="H64" t="str">
            <v>An Giang</v>
          </cell>
        </row>
        <row r="65">
          <cell r="H65" t="str">
            <v>Kiên Giang</v>
          </cell>
        </row>
        <row r="66">
          <cell r="H66" t="str">
            <v>Hậu Giang</v>
          </cell>
        </row>
        <row r="67">
          <cell r="H67" t="str">
            <v>Sóc Trăng</v>
          </cell>
        </row>
        <row r="68">
          <cell r="H68" t="str">
            <v>Bạc Liêu</v>
          </cell>
        </row>
        <row r="69">
          <cell r="H69" t="str">
            <v>Cà Mau</v>
          </cell>
        </row>
      </sheetData>
      <sheetData sheetId="21"/>
      <sheetData sheetId="22">
        <row r="1">
          <cell r="I1" t="str">
            <v>Chỉ tiêu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2.74"/>
      <sheetName val="Km282-Km_x0003_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120"/>
      <sheetName val="IFAD"/>
      <sheetName val="CVHN"/>
      <sheetName val="TCVM"/>
      <sheetName val="RIDP"/>
      <sheetName val="LDNN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Soqu_x0005_"/>
      <sheetName val="thong ke"/>
      <sheetName val="DMT"/>
      <sheetName val="T4-99_x0005_"/>
      <sheetName val="Năm"/>
      <sheetName val="Thời gian"/>
      <sheetName val="Tỉnh"/>
      <sheetName val="NS"/>
      <sheetName val="Km282-Km_x0003_3"/>
      <sheetName val="_x0005_"/>
      <sheetName val="tien uong"/>
      <sheetName val="Y_BA"/>
      <sheetName val="T6-99 _x0012_[IBASE2.XLS]T"/>
      <sheetName val="T4-99_x0005_T5-99"/>
      <sheetName val="ma-pt"/>
      <sheetName val="KH-Q1,Q2,01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T8-9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inh_ha nha"/>
      <sheetName val="23+327"/>
      <sheetName val="23+468"/>
      <sheetName val="Nhap_lieu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Chart3"/>
      <sheetName val="Chart2"/>
      <sheetName val="BaTrieu-L.con"/>
      <sheetName val="EDT - Ro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.tuanM"/>
      <sheetName val="[IBASE2.XLS}BHXH"/>
      <sheetName val="2.74"/>
      <sheetName val="T6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ia_x0018_"/>
      <sheetName val="QD cua HDQT (ÿÿ"/>
      <sheetName val="ÿÿÿÿi ngoai tongÿÿ2)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Sheet12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Tonf hop"/>
      <sheetName val="CoquyTM"/>
      <sheetName val="TH_B¸"/>
      <sheetName val="T8-9_x0008_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È"/>
      <sheetName val="PNT-QUOT-#3"/>
      <sheetName val="COAT&amp;WRAP-QIOT-#3"/>
      <sheetName val="Nhap_lie"/>
      <sheetName val="Nhap_lie(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Km282-Km_x0003_?3"/>
      <sheetName val="lapdap TB "/>
      <sheetName val=" GT CPhi tung dot"/>
      <sheetName val="[IBASE2.XLS䁝BC6tT17"/>
      <sheetName val="TK13_x0005_"/>
      <sheetName val="Bia¬"/>
      <sheetName val="THQþ"/>
      <sheetName val="7 THAI NGUYEN"/>
      <sheetName val="CongNo"/>
      <sheetName val="TD khao sat"/>
      <sheetName val="_x0000__x0000__x0005__x0000__x0000_"/>
      <sheetName val="CHITIET VL-NC"/>
      <sheetName val="DON GIA"/>
      <sheetName val="ESTI."/>
      <sheetName val="DI-ESTI"/>
      <sheetName val="THTBþ"/>
      <sheetName val="nghi dinh-_x0004__x0010_"/>
      <sheetName val="Cong hop 2,0ࡸ2,0"/>
      <sheetName val="Biaþ"/>
      <sheetName val="Luot"/>
      <sheetName val="IBASE2"/>
      <sheetName val="KQKDKT#04-1"/>
      <sheetName val="VtuHaTheSauTBABenThuy1 Ш2)"/>
      <sheetName val="T8-9h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Bang can doi "/>
      <sheetName val="Tinh hinh cat lang"/>
      <sheetName val="Tinh hinh SX phu"/>
      <sheetName val="Tinh hinh do xop"/>
      <sheetName val="Diem mon hoc"/>
      <sheetName val="Diem Tong ket"/>
      <sheetName val="DS - HoTen"/>
      <sheetName val="DS-Loc"/>
      <sheetName val="thong ke_x0000_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Km282-Km_x0003_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H-Q1,Q2,01"/>
      <sheetName val=" Njinh"/>
      <sheetName val="L]gngT2"/>
      <sheetName val="VT,NC,M"/>
      <sheetName val="Figure 6 NPV"/>
      <sheetName val="XXXXXXÿÿ"/>
      <sheetName val="KHT4ÿÿ-02"/>
      <sheetName val="ÿÿÿÿ "/>
      <sheetName val="Soqu窨_x0013_竬"/>
      <sheetName val="Soqu_x0005__x0000_"/>
      <sheetName val="T4-99_x0005_"/>
      <sheetName val="PhanTichDonGia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BTH chua"/>
      <sheetName val="XXXXXX?"/>
      <sheetName val="MTO REV.2(ARMOR)"/>
      <sheetName val="Dhue GTGT"/>
      <sheetName val="DMTCNTM"/>
      <sheetName val="QD_x0000_cua HDQD"/>
      <sheetName val="CTOBT"/>
      <sheetName val="Qheet10"/>
      <sheetName val="ThieuHD "/>
      <sheetName val="Trich Ngalg"/>
      <sheetName val="THANG7 "/>
      <sheetName val="THANG8"/>
      <sheetName val="THANG9"/>
      <sheetName val="THANG10"/>
      <sheetName val="THANG 11"/>
      <sheetName val="THANG 12"/>
      <sheetName val="De Tai Vhuc Tap"/>
      <sheetName val="_IBASE2.XLS}BHXH"/>
      <sheetName val="_IBASE2.XLS_Tong hop Matduong"/>
      <sheetName val="_IBASE2.XLS䁝BC6tT17"/>
      <sheetName val="Km282-Km_x0003__3"/>
      <sheetName val="Cong tron D7_"/>
      <sheetName val="°_nh"/>
      <sheetName val="XXXXXX_X"/>
      <sheetName val="_IBASE2.XLS뭝êm283-Km284"/>
      <sheetName val="_IBASE2_XLSѝTNHNoi"/>
      <sheetName val="_IBASE2_XLS}BHXH"/>
      <sheetName val="L_gngT2"/>
      <sheetName val="trong"/>
      <sheetName val="DT1"/>
      <sheetName val="HDong ԰_x0000_"/>
      <sheetName val="c¨"/>
      <sheetName val="cØ"/>
      <sheetName val="BK-C T"/>
      <sheetName val="_x0000_"/>
      <sheetName val="Bia_x0000_"/>
      <sheetName val="Soqu_x0005_"/>
      <sheetName val="thong ke"/>
      <sheetName val="Soqu "/>
      <sheetName val="DMT"/>
      <sheetName val="Km282-Km_x0003_3"/>
      <sheetName val="_x0005_"/>
      <sheetName val="tien uong"/>
      <sheetName val="Y_BA"/>
      <sheetName val="T6-99 _x0012_[IBASE2.XLS]T"/>
      <sheetName val="T4-99_x0005_T5-99"/>
      <sheetName val="Km282-Km 3"/>
      <sheetName val=" "/>
      <sheetName val="Soqu_x0005_"/>
      <sheetName val="T6-99_x0000__x0000__x0000__x0000__x0000__x0000__x0000__x0000__x0000__x0000__x0009__x0000__x0012_[IBASE2.XLS]T"/>
      <sheetName val="CCPS_x0005__x0000_"/>
      <sheetName val="NK9"/>
      <sheetName val="TOTAL"/>
      <sheetName val="Sept.01 (2)"/>
      <sheetName val="Aug."/>
      <sheetName val="chuong phu"/>
      <sheetName val="TNghi?m TB "/>
      <sheetName val="V?t li?u"/>
      <sheetName val="Lap ?at ?i?n"/>
      <sheetName val="TNghi?m VL"/>
      <sheetName val="Klukng phu"/>
      <sheetName val="THA"/>
      <sheetName val="149-2"/>
      <sheetName val="Formulas"/>
      <sheetName val="BT@"/>
      <sheetName val="Balance Sheet"/>
      <sheetName val="Journal"/>
      <sheetName val="BTHDT_TBA_x000d__x0000__x0000_THXL_DZcaoth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REAM-Thang9"/>
      <sheetName val="OAR-FS"/>
      <sheetName val="TB Grouping"/>
      <sheetName val="BTHCT"/>
      <sheetName val="GVT"/>
      <sheetName val="K252 K9и"/>
      <sheetName val="TTDN"/>
      <sheetName val="GiaVL"/>
      <sheetName val="TNHCHINH"/>
      <sheetName val="VL1(Phu Luong)"/>
      <sheetName val="TONG HOP VL-NC TT"/>
      <sheetName val="CHITIET VL-NC-TT -1p"/>
      <sheetName val="TDTKP1"/>
      <sheetName val="KPVC-BD "/>
      <sheetName val="dongia (2)"/>
      <sheetName val="SoqѵyTM"/>
      <sheetName val="SoCѡiTM"/>
      <sheetName val="KHT⑓CD2"/>
      <sheetName val="BASE"/>
      <sheetName val="[IBASE2.XLS?TNHNoi"/>
      <sheetName val="T11.06"/>
      <sheetName val="T12.06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電線リスト"/>
      <sheetName val="Table1"/>
      <sheetName val="BTHDT_TBA_x000a__x0000__x0000_THXL_DZcaothe"/>
      <sheetName val="phuong aL 1"/>
      <sheetName val="socai200_x0013_-6tc"/>
      <sheetName val="200000000헾】_x0005_"/>
      <sheetName val="200000000_x0000__x0000__x0005_"/>
      <sheetName val="200000000"/>
      <sheetName val="Dieuchinh"/>
      <sheetName val="bangluonU"/>
      <sheetName val="bangluon_x0005_"/>
      <sheetName val="Strt Archi"/>
      <sheetName val="Thang_x0005_"/>
      <sheetName val="Other(data)"/>
      <sheetName val="ChiTie_x001c_"/>
      <sheetName val="assy1"/>
      <sheetName val="Sales"/>
      <sheetName val="負荷15XX"/>
      <sheetName val="Detail"/>
      <sheetName val="?_x0000__x0000_0_x0000__x0000__x0000__x0000__x0000__x0000__x0000__x0000__x0000__x0000__x0000__x0000__x0000__x0000__x0000__x001d_[IBASE2.XLS"/>
      <sheetName val="BTHDT_TBA_x000d_??THXL_DZcaothe"/>
      <sheetName val="ESTI_1"/>
      <sheetName val="Km282-Km_x0003__x0000__x0005_"/>
      <sheetName val="Thangþ"/>
      <sheetName val="Thang_x001c_"/>
      <sheetName val="schedule"/>
      <sheetName val="Thang("/>
      <sheetName val="31.12.01"/>
      <sheetName val="NKì"/>
      <sheetName val="PL"/>
      <sheetName val="Output"/>
      <sheetName val="6_Data"/>
      <sheetName val="1_Hướng dẫn sử dụng"/>
      <sheetName val="K"/>
      <sheetName val="Parametri"/>
      <sheetName val="dtxl"/>
      <sheetName val="_x0016_PPN"/>
      <sheetName val="OPERATING HEAD"/>
      <sheetName val="Sat tron"/>
      <sheetName val="Tohop1(a_x0007_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Six"/>
      <sheetName val="Bieu 2a"/>
      <sheetName val="_x0003_"/>
      <sheetName val="A3210-MO"/>
      <sheetName val="NKC-2009"/>
      <sheetName val="BC-BANHALG"/>
      <sheetName val="TT04"/>
      <sheetName val="封皮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_x0000_Km278 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Thang_4"/>
      <sheetName val="[IBASE2_XLS䁝BC6tT17"/>
      <sheetName val="TK13"/>
      <sheetName val="_GT_CPhi_tung_dot"/>
      <sheetName val="[IBASE2_XLS_Tong_hop_Matduong"/>
      <sheetName val="chi_phi_cap_tien"/>
      <sheetName val="BC§_2001"/>
      <sheetName val="BBC§_2002"/>
      <sheetName val="TSC§_2001"/>
      <sheetName val="TSc®_2002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socai200-6tc"/>
      <sheetName val="Km282-Km?3"/>
      <sheetName val="Bang_can_doi_"/>
      <sheetName val="De_Tai_Vhuc_Tap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_x0000__x0000_Cong tron D150"/>
      <sheetName val="Cost Center 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chitimc"/>
      <sheetName val="THPDMoi  (2)"/>
      <sheetName val="t-h HA THE"/>
      <sheetName val="TH XL"/>
      <sheetName val="TONGKE3p "/>
      <sheetName val="Tiepdia"/>
      <sheetName val="CHITIET VL-NC-TT-3p"/>
      <sheetName val="TDTKP"/>
      <sheetName val="VCV-BE-TONG"/>
      <sheetName val="ｺﾝY条件BD"/>
      <sheetName val="HDþ"/>
      <sheetName val="BTHDT_TBA_x000d__x0000__x0000_T"/>
      <sheetName val="BTHDT_TBA_x000d___THXL_DZcaothe"/>
      <sheetName val="BTHDT_TBA_x000a__x0000__x0000_T"/>
      <sheetName val="Stationary"/>
      <sheetName val="BTHDT_TBA "/>
      <sheetName val="nam2004"/>
      <sheetName val="Lookup Tables"/>
      <sheetName val="Cong ban 11yx1,2"/>
      <sheetName val="櫘"/>
      <sheetName val="List"/>
      <sheetName val="Parem"/>
      <sheetName val="CT Thang Mo"/>
      <sheetName val="CT  PL"/>
      <sheetName val="142201_x0005__x0000__x0000_"/>
      <sheetName val="Dropdow list"/>
      <sheetName val="Packing type 2"/>
      <sheetName val="Links"/>
      <sheetName val="Lead"/>
      <sheetName val="Px1"/>
      <sheetName val="Px2"/>
      <sheetName val="MTO REV.0"/>
      <sheetName val="Settings"/>
      <sheetName val="Translation"/>
      <sheetName val="Official"/>
      <sheetName val="BL3"/>
      <sheetName val="KG4"/>
      <sheetName val="BL4"/>
      <sheetName val="Nham"/>
      <sheetName val="Thai"/>
      <sheetName val="Linh"/>
      <sheetName val="Linh (2)"/>
      <sheetName val="KG6"/>
      <sheetName val="[IBASE2.XLSULuongT2"/>
      <sheetName val="SOban"/>
      <sheetName val="MHH"/>
      <sheetName val="HDmua "/>
      <sheetName val="OT"/>
      <sheetName val="PAGE1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CHITIET VL-NC-TT1p"/>
      <sheetName val="TONGKE3p"/>
      <sheetName val="Form"/>
      <sheetName val="NV"/>
      <sheetName val="10000ူ000000"/>
      <sheetName val="Cong bal 2x2"/>
      <sheetName val="SBD-Phach"/>
      <sheetName val="01pl"/>
      <sheetName val="Ca._x0000_"/>
      <sheetName val="BS"/>
      <sheetName val="FX FWD KS"/>
      <sheetName val="Phan bo 142"/>
      <sheetName val="Xuat hang"/>
      <sheetName val="Can doi"/>
      <sheetName val="ma"/>
      <sheetName val="VP-MM"/>
      <sheetName val="KQKDluytien"/>
      <sheetName val="MUA-"/>
      <sheetName val="BAN"/>
      <sheetName val="TONKHO CHITIET"/>
      <sheetName val="LAI%CTY"/>
      <sheetName val="Lai%CO"/>
      <sheetName val="LAI CTY 0,75%"/>
      <sheetName val="Sheet17"/>
      <sheetName val="Sheet18"/>
      <sheetName val="Sheet19"/>
      <sheetName val="Sheet20"/>
      <sheetName val="Data Sheet"/>
      <sheetName val="SP10"/>
      <sheetName val="food0402AMT&gt;=0"/>
      <sheetName val="1A.Muc-tieu Cty"/>
      <sheetName val="ctTBA"/>
      <sheetName val="매출계획대실적"/>
      <sheetName val="QDcua TGD (0)"/>
      <sheetName val="NKChung "/>
      <sheetName val="TH_CPNVL"/>
      <sheetName val="DC"/>
      <sheetName val="Bieu do"/>
      <sheetName val="CusotmerVendorGroup"/>
      <sheetName val="メニュー"/>
      <sheetName val="LK PHIEU (2)"/>
      <sheetName val="材料表用リスト"/>
      <sheetName val="端子リスト"/>
      <sheetName val="NhKy-Thg"/>
      <sheetName val="Reference"/>
      <sheetName val="KHQT-00-01"/>
      <sheetName val="Mavt"/>
      <sheetName val="KHVô Xx"/>
      <sheetName val="baocaochinh(qui1.05) (DC)"/>
      <sheetName val="Ctuluongq.1.05"/>
      <sheetName val="BANG PHAN BO qui1.05(DC)"/>
      <sheetName val="BANG PHAN BO quiII.05"/>
      <sheetName val="bao cac cinh Qui II-2005"/>
      <sheetName val="Gia thanh"/>
      <sheetName val="DON GIA TRAM (3)"/>
      <sheetName val="Solieu"/>
      <sheetName val="USdd"/>
      <sheetName val="USdcs"/>
      <sheetName val="USdcq"/>
      <sheetName val="Luc"/>
      <sheetName val="Tongke"/>
      <sheetName val="Lietke"/>
      <sheetName val="CDay"/>
      <sheetName val="Catalog"/>
      <sheetName val="K2"/>
      <sheetName val="VTuHaVheSautramBT2"/>
      <sheetName val="Coog ban 0,7x0,7"/>
      <sheetName val="XXXXXX_x005f_x005f_x005f_xda24_X"/>
      <sheetName val="0("/>
      <sheetName val="0v"/>
      <sheetName val="0"/>
      <sheetName val="OM"/>
      <sheetName val="T11_06"/>
      <sheetName val="T12_06"/>
      <sheetName val="det_VP1"/>
      <sheetName val="det_hn1"/>
      <sheetName val="chi_Hieu1"/>
      <sheetName val="c_thoa1"/>
      <sheetName val="A_thanh_-_DL1"/>
      <sheetName val="A_Tuyen1"/>
      <sheetName val="A_Tien_-laphu1"/>
      <sheetName val="T11_061"/>
      <sheetName val="T12_061"/>
      <sheetName val="TT35"/>
      <sheetName val="bm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ô_rôiDY3"/>
      <sheetName val="bang_so_sanh_tong_hop_(_PA_cho3"/>
      <sheetName val="dang_ap_dung3"/>
      <sheetName val="bang_tong_hop_(dang_huong)3"/>
      <sheetName val="ql_(2)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_KQTH_quy_hoach_1353"/>
      <sheetName val="Bao_cao_KQTH_quy_hoach_1353"/>
      <sheetName val="CT_033"/>
      <sheetName val="TH_033"/>
      <sheetName val="bcth_05-043"/>
      <sheetName val="baocao_05-043"/>
      <sheetName val="Tien_dien3"/>
      <sheetName val="Thue_GTGT3"/>
      <sheetName val="Cong_hop_2,0ࡸ2,02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_x0009__x0000__x0007__x0000_"/>
      <sheetName val="܀ऀఀ܀"/>
      <sheetName val="Tkedo _x0000__x0007__x0000_"/>
      <sheetName val="Dept.List"/>
      <sheetName val="Statement"/>
      <sheetName val="˜Ünh m÷c"/>
      <sheetName val="Income Statement"/>
      <sheetName val="TRBANG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142201-T1_6"/>
      <sheetName val="142201-T2-th_6"/>
      <sheetName val="142201-T3-th_6"/>
      <sheetName val="142201-T4-th__6"/>
      <sheetName val="Thep_be6"/>
      <sheetName val="Thep_than6"/>
      <sheetName val="Thep_xa_mu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T_so_thay_doi6"/>
      <sheetName val="b_THchitietDZCT6"/>
      <sheetName val="b_THchitietTBA6"/>
      <sheetName val="Khao_sat6"/>
      <sheetName val="TT_khao_sat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VtuHaTheSauTBABenThuy1_(2)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CDSL_(2)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ô_rôiDY5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Dancau-Q_Ninh6"/>
      <sheetName val="BaTrieu-L_son6"/>
      <sheetName val="HHVt_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Tay_ninh6"/>
      <sheetName val="A_Duc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o~g_hop_1,5x1,5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TH_du_toan_6"/>
      <sheetName val="Du_toan_6"/>
      <sheetName val="C_Tinh6"/>
      <sheetName val="Xaylap_6"/>
      <sheetName val="Nhan_cong6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So_sanh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CV_di_trong__dong6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bang_so_sanh_tong_hop_(_PA_cho5"/>
      <sheetName val="dang_ap_dung5"/>
      <sheetName val="bang_tong_hop_(dang_huong)5"/>
      <sheetName val="bcth_05-045"/>
      <sheetName val="baocao_05-045"/>
      <sheetName val="ql_(2)5"/>
      <sheetName val="CT_035"/>
      <sheetName val="TH_035"/>
      <sheetName val="_KQTH_quy_hoach_1355"/>
      <sheetName val="Bao_cao_KQTH_quy_hoach_1355"/>
      <sheetName val="[IBASE2_XLSѝTNHNoi6"/>
      <sheetName val="Nhap_lieu6"/>
      <sheetName val="Tien_dien5"/>
      <sheetName val="Thue_GTGT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nhan_su5"/>
      <sheetName val="luong_cty5"/>
      <sheetName val="Dinh_ha_nha5"/>
      <sheetName val="_tuanM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THT_nam_04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[IBASE2_XLS}BHXH5"/>
      <sheetName val="chuong_phu5"/>
      <sheetName val="THANG7_5"/>
      <sheetName val="THANG_115"/>
      <sheetName val="THANG_125"/>
      <sheetName val="phuong_aL_15"/>
      <sheetName val="[IBASE2_XLS䁝BC6tT175"/>
      <sheetName val="Khac_DP5"/>
      <sheetName val="Khoi_than_5"/>
      <sheetName val="TK__TK5"/>
      <sheetName val="Thang_45"/>
      <sheetName val="HD_CTrinh15"/>
      <sheetName val="HD_benA5"/>
      <sheetName val="Theodoi_HD5"/>
      <sheetName val="Theodoi_HD_(2)5"/>
      <sheetName val="_GT_CPhi_tung_dot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_IBASE2_XLSѝTNHNoi3"/>
      <sheetName val="_IBASE2_XLS䁝BC6tT172"/>
      <sheetName val="BTHDT_TBA_x000a___THXL_DZcaothe"/>
      <sheetName val="_IBASE2_XLS}BHXH2"/>
      <sheetName val="_IBASE2_XLS_Tong_hop_Matduong2"/>
      <sheetName val="BTHDT_TBA_2"/>
      <sheetName val="DS_tong2"/>
      <sheetName val="CDSM_(2)2"/>
      <sheetName val="c"/>
      <sheetName val="Cost_Center_2"/>
      <sheetName val="Part_data2"/>
      <sheetName val="Vender_Data2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142201-T1_4"/>
      <sheetName val="142201-T2-th_4"/>
      <sheetName val="142201-T3-th_4"/>
      <sheetName val="142201-T4-th__4"/>
      <sheetName val="Thep_be4"/>
      <sheetName val="Thep_than4"/>
      <sheetName val="Thep_xa_mu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T_so_thay_doi4"/>
      <sheetName val="b_THchitietDZCT4"/>
      <sheetName val="b_THchitietTBA4"/>
      <sheetName val="Khao_sat4"/>
      <sheetName val="TT_khao_sat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VtuHaTheSauTBABenThuy1_(2)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CDSL_(2)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Dancau-Q_Ninh4"/>
      <sheetName val="BaTrieu-L_son4"/>
      <sheetName val="HHVt_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Tay_ninh4"/>
      <sheetName val="A_Duc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o~g_hop_1,5x1,5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TH_du_toan_4"/>
      <sheetName val="Du_toan_4"/>
      <sheetName val="C_Tinh4"/>
      <sheetName val="Xaylap_4"/>
      <sheetName val="Nhan_cong4"/>
      <sheetName val="So_sanh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CV_di_trong__dong4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[IBASE2_XLSѝTNHNoi4"/>
      <sheetName val="Nhap_lieu4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nhan_su3"/>
      <sheetName val="luong_cty3"/>
      <sheetName val="Dinh_ha_nha3"/>
      <sheetName val="_tuanM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THT_nam_04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[IBASE2_XLS}BHXH3"/>
      <sheetName val="chuong_phu3"/>
      <sheetName val="THANG7_3"/>
      <sheetName val="THANG_113"/>
      <sheetName val="THANG_123"/>
      <sheetName val="phuong_aL_13"/>
      <sheetName val="[IBASE2_XLS䁝BC6tT173"/>
      <sheetName val="Khac_DP3"/>
      <sheetName val="Khoi_than_3"/>
      <sheetName val="TK__TK3"/>
      <sheetName val="Thang_43"/>
      <sheetName val="HD_CTrinh13"/>
      <sheetName val="HD_benA3"/>
      <sheetName val="Theodoi_HD3"/>
      <sheetName val="Theodoi_HD_(2)3"/>
      <sheetName val="_GT_CPhi_tung_dot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_IBASE2_XLSѝTNHNoi1"/>
      <sheetName val="_IBASE2_XLS䁝BC6tT17"/>
      <sheetName val="_IBASE2_XLS_Tong_hop_Matduong"/>
      <sheetName val="BTHDT_TBA_"/>
      <sheetName val="DS_tong"/>
      <sheetName val="Cost_Center_"/>
      <sheetName val="Part_data"/>
      <sheetName val="Vender_Data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142201-T1_5"/>
      <sheetName val="142201-T2-th_5"/>
      <sheetName val="142201-T3-th_5"/>
      <sheetName val="142201-T4-th__5"/>
      <sheetName val="Thep_be5"/>
      <sheetName val="Thep_than5"/>
      <sheetName val="Thep_xa_mu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T_so_thay_doi5"/>
      <sheetName val="b_THchitietDZCT5"/>
      <sheetName val="b_THchitietTBA5"/>
      <sheetName val="Khao_sat5"/>
      <sheetName val="TT_khao_sat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VtuHaTheSauTBABenThuy1_(2)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CDSL_(2)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ô_rôiDY4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Dancau-Q_Ninh5"/>
      <sheetName val="BaTrieu-L_son5"/>
      <sheetName val="HHVt_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Tay_ninh5"/>
      <sheetName val="A_Duc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o~g_hop_1,5x1,5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TH_du_toan_5"/>
      <sheetName val="Du_toan_5"/>
      <sheetName val="C_Tinh5"/>
      <sheetName val="Xaylap_5"/>
      <sheetName val="Nhan_cong5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So_sanh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CV_di_trong__dong5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4"/>
      <sheetName val="dang_ap_dung4"/>
      <sheetName val="bang_tong_hop_(dang_huong)4"/>
      <sheetName val="bcth_05-044"/>
      <sheetName val="baocao_05-044"/>
      <sheetName val="ql_(2)4"/>
      <sheetName val="CT_034"/>
      <sheetName val="TH_034"/>
      <sheetName val="_KQTH_quy_hoach_1354"/>
      <sheetName val="Bao_cao_KQTH_quy_hoach_1354"/>
      <sheetName val="[IBASE2_XLSѝTNHNoi5"/>
      <sheetName val="Nhap_lieu5"/>
      <sheetName val="Tien_dien4"/>
      <sheetName val="Thue_GTGT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nhan_su4"/>
      <sheetName val="luong_cty4"/>
      <sheetName val="Dinh_ha_nha4"/>
      <sheetName val="_tuanM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THT_nam_04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[IBASE2_XLS}BHXH4"/>
      <sheetName val="chuong_phu4"/>
      <sheetName val="THANG7_4"/>
      <sheetName val="THANG_114"/>
      <sheetName val="THANG_124"/>
      <sheetName val="phuong_aL_14"/>
      <sheetName val="[IBASE2_XLS䁝BC6tT174"/>
      <sheetName val="Khac_DP4"/>
      <sheetName val="Khoi_than_4"/>
      <sheetName val="TK__TK4"/>
      <sheetName val="Thang_44"/>
      <sheetName val="HD_CTrinh14"/>
      <sheetName val="HD_benA4"/>
      <sheetName val="Theodoi_HD4"/>
      <sheetName val="Theodoi_HD_(2)4"/>
      <sheetName val="_GT_CPhi_tung_dot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_IBASE2_XLSѝTNHNoi2"/>
      <sheetName val="_IBASE2_XLS䁝BC6tT171"/>
      <sheetName val="_IBASE2_XLS}BHXH1"/>
      <sheetName val="_IBASE2_XLS_Tong_hop_Matduong1"/>
      <sheetName val="BTHDT_TBA_1"/>
      <sheetName val="DS_tong1"/>
      <sheetName val="CDSM_(2)1"/>
      <sheetName val="Cost_Center_1"/>
      <sheetName val="Part_data1"/>
      <sheetName val="Vender_Data1"/>
      <sheetName val="HDmua_"/>
      <sheetName val="tien_uong"/>
      <sheetName val="IMP TAX"/>
      <sheetName val="Model"/>
      <sheetName val="TramKCࡓ"/>
      <sheetName val="Tohop1ȨLD"/>
      <sheetName val="基本登録"/>
      <sheetName val="ｶｯﾄ表"/>
      <sheetName val="基本登录（1）"/>
      <sheetName val="Tables"/>
      <sheetName val="VALEO Requirements File"/>
      <sheetName val="所要数計算"/>
      <sheetName val="工数単価"/>
      <sheetName val="材料単価"/>
      <sheetName val="s&amp;iBR"/>
      <sheetName val="_x0016_PP¸"/>
      <sheetName val="Tracked"/>
      <sheetName val="Km277 %"/>
      <sheetName val="ThieuHD nal 2001"/>
      <sheetName val="CT 0_x0000_"/>
      <sheetName val="DATA2"/>
      <sheetName val="TP nhap"/>
      <sheetName val="NK PL"/>
      <sheetName val="NHAP NVL"/>
      <sheetName val="01. CONG TY 2013"/>
      <sheetName val="SO KET CONG TY"/>
      <sheetName val="Thong_tin"/>
      <sheetName val="DuyetGia"/>
      <sheetName val="X_x0003__x0000_Test5"/>
      <sheetName val="THXHTBA"/>
      <sheetName val="tong hÒq BQ"/>
      <sheetName val="DANHPHAP"/>
      <sheetName val="LCK"/>
      <sheetName val="LXTP"/>
      <sheetName val="T.LONG"/>
      <sheetName val="P.DAT"/>
      <sheetName val="CBL"/>
      <sheetName val="TBB"/>
      <sheetName val="TDHD"/>
      <sheetName val="LXK"/>
      <sheetName val="KHTBB"/>
      <sheetName val="LIET KE HANG HOA"/>
      <sheetName val="BT"/>
      <sheetName val="NEW_PANEL"/>
      <sheetName val="Ct_ DZ35kV"/>
      <sheetName val="Industry"/>
      <sheetName val="MSVT"/>
      <sheetName val="OFFICE TOWER"/>
      <sheetName val="BC6tT52 (_x0000__x0000_"/>
      <sheetName val="CV dej ngoai TCT (2)"/>
      <sheetName val="CV di ngoai to.g (2)"/>
      <sheetName val="Sum"/>
      <sheetName val="HÈp"/>
      <sheetName val="HÆX"/>
      <sheetName val="H_x0000__x0000_"/>
      <sheetName val="H§µ"/>
      <sheetName val="H_x0005__x0000_"/>
      <sheetName val="CONG TY"/>
      <sheetName val="GTHAU"/>
      <sheetName val="Hhp"/>
      <sheetName val="H@W"/>
      <sheetName val="DTC0"/>
      <sheetName val="TABLE"/>
      <sheetName val="KTCT (2)"/>
      <sheetName val="Plan"/>
      <sheetName val="ExchRates"/>
      <sheetName val="PLALL"/>
      <sheetName val="P&amp;L by Month"/>
      <sheetName val="gas (2)"/>
      <sheetName val="Phant԰_x0000__x0000__x0000_"/>
      <sheetName val="BK-SP"/>
      <sheetName val="Mã cũ-mới"/>
      <sheetName val="NHD"/>
      <sheetName val="Du lieu"/>
      <sheetName val="Data-AN90-2002"/>
      <sheetName val="Module"/>
      <sheetName val="ThangB"/>
      <sheetName val="Dinh muc chuan"/>
      <sheetName val="TH du toan_x0005_"/>
      <sheetName val="TH du toanð"/>
      <sheetName val="TH du toan "/>
      <sheetName val="DS Protecter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bcth_05-0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Sat L"/>
      <sheetName val="TinhToan"/>
      <sheetName val="D-product"/>
      <sheetName val="Dinh Muc VT"/>
      <sheetName val="Sheet2 (2)"/>
      <sheetName val="mst"/>
      <sheetName val="Ge"/>
      <sheetName val="Ct- DZ35kV"/>
      <sheetName val="Order contact list to PUR"/>
      <sheetName val="Furnitures"/>
      <sheetName val="Project Management"/>
      <sheetName val="DM"/>
      <sheetName val="CableSum"/>
      <sheetName val="DM đoi tac"/>
      <sheetName val="Price Schedule_ABB"/>
      <sheetName val="Danh gia NL chuyen mon ca nhan"/>
      <sheetName val="Hoan thanh"/>
      <sheetName val="Khoach"/>
      <sheetName val="q2"/>
      <sheetName val="PHAT SINH THANH PHAM"/>
      <sheetName val="3.03.1.ButtoanDC"/>
      <sheetName val="PL_1_2"/>
      <sheetName val="DTC_x0008_"/>
      <sheetName val="Du toan"/>
      <sheetName val="tai trong &amp; he so phan bo ngang"/>
      <sheetName val="gioi thieu"/>
      <sheetName val="SBay"/>
      <sheetName val="?ԂĀC"/>
      <sheetName val="DHKK"/>
      <sheetName val="CV di trůng  tong"/>
      <sheetName val="HAT1"/>
      <sheetName val="HAT2"/>
      <sheetName val="HAT3"/>
      <sheetName val="RATE"/>
      <sheetName val="QDcua TGD (2)????????????䚼˰?_x0004_??"/>
      <sheetName val="ChiTietDZ"/>
      <sheetName val="VuaBT"/>
      <sheetName val="BTHDT_TBA_x000d_"/>
      <sheetName val="BTHDT_TBA_x000a_"/>
      <sheetName val="?"/>
      <sheetName val="Cong tron D100_x000e_"/>
      <sheetName val="Chi tiet"/>
      <sheetName val="No"/>
      <sheetName val="Danh_sach"/>
      <sheetName val="Danh sách"/>
      <sheetName val="Milestone Doc"/>
      <sheetName val="VF-Glob+Regl"/>
      <sheetName val="Vol Frcst"/>
      <sheetName val="CDPS"/>
      <sheetName val="Mã_cũ-mới"/>
      <sheetName val="Mã_cũ-mới1"/>
      <sheetName val="phatsinh"/>
      <sheetName val="Mã_cũ-mới2"/>
      <sheetName val="Mã_cũ-mới3"/>
      <sheetName val="I-KAMAR"/>
      <sheetName val="CAL."/>
      <sheetName val="O6"/>
      <sheetName val="Weight Bridge"/>
      <sheetName val="Fax message"/>
      <sheetName val="C. NEW BLDG-PLUMBING WORK"/>
      <sheetName val="静圧"/>
      <sheetName val="U.P List"/>
      <sheetName val="FAB별"/>
      <sheetName val="HAT4"/>
      <sheetName val="HAT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&amp;D02-2 (2)"/>
      <sheetName val="K25_x0005__x0000__x0000__x0000_"/>
      <sheetName val="K25"/>
      <sheetName val="NHAPLIEU"/>
      <sheetName val="Lunch1"/>
      <sheetName val="Page 3"/>
      <sheetName val="Page 23 (a)"/>
      <sheetName val="Page18"/>
      <sheetName val="GIA"/>
      <sheetName val="Mercer Sub Family"/>
      <sheetName val="Instructions"/>
      <sheetName val="Price list"/>
      <sheetName val="Thông tin khách hàng"/>
      <sheetName val="Master list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COVER"/>
      <sheetName val="記入例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Nhap_lieó"/>
      <sheetName val="FitOutConfCentre"/>
      <sheetName val="PAD-F"/>
      <sheetName val="KL HSMT tinh thieu"/>
      <sheetName val="Bang tra"/>
      <sheetName val="DON GIA CAN THO"/>
      <sheetName val="danhmuc"/>
      <sheetName val="TOTAL-PL"/>
      <sheetName val="Del"/>
      <sheetName val="LuoJgT11"/>
      <sheetName val="Master sheet"/>
      <sheetName val="bangluonh"/>
      <sheetName val="IBASER"/>
      <sheetName val="bangluon\"/>
      <sheetName val="bangluonN"/>
      <sheetName val="bangluon-"/>
      <sheetName val="bangluon`"/>
      <sheetName val="NX-3"/>
      <sheetName val="Adjusted TNCN"/>
      <sheetName val="[IBASE2.XLS_BC6tT9"/>
      <sheetName val="mh"/>
      <sheetName val="VPIC1"/>
      <sheetName val="BANG DE EDIT"/>
      <sheetName val="piping"/>
      <sheetName val="DI_ESTI"/>
      <sheetName val="(DJC) JV"/>
      <sheetName val="nhapkho"/>
      <sheetName val="hdonhoan"/>
      <sheetName val="HdonManh"/>
      <sheetName val="HDonquyet"/>
      <sheetName val="BGiaQuyet"/>
      <sheetName val="DToan"/>
      <sheetName val="BgiaHoan"/>
      <sheetName val="xuat"/>
      <sheetName val="Km275-Km2з6"/>
      <sheetName val="CT_LCGT"/>
      <sheetName val="CT_LCTT"/>
      <sheetName val="TM_ChenhLechCT"/>
      <sheetName val="dieu_chinh"/>
      <sheetName val="Danh_muc"/>
      <sheetName val="Bao_cao"/>
      <sheetName val="Phan_bo"/>
      <sheetName val="go tron"/>
      <sheetName val="x -11-7"/>
      <sheetName val="MATK_M"/>
      <sheetName val="CDTKHOAN"/>
      <sheetName val="loptren"/>
      <sheetName val="Tkedo "/>
      <sheetName val="X_x0003_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q3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dq"/>
      <sheetName val="bang thong ke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Vinh"/>
      <sheetName val="Hanh"/>
      <sheetName val="Chinh"/>
      <sheetName val="Triet"/>
      <sheetName val="Hien"/>
      <sheetName val="Tong"/>
      <sheetName val="Thuchi "/>
      <sheetName val="Phantich"/>
      <sheetName val="Toan_DA"/>
      <sheetName val="2004"/>
      <sheetName val="2005"/>
      <sheetName val="KHNH T3-T10"/>
      <sheetName val="KHNH T4-T10"/>
      <sheetName val="Outlets"/>
      <sheetName val="PGs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3rd party"/>
      <sheetName val="interco "/>
      <sheetName val="Info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SQ"/>
      <sheetName val="QNCN"/>
      <sheetName val="CNVQP"/>
      <sheetName val="thanh toan"/>
      <sheetName val="17_x0000_̃̃̃̃̃̃̃̃̃̃̃̃̃̃̃̃̃̃̃̃̃̃̃̃̃̃̃̃"/>
      <sheetName val="Q1-02"/>
      <sheetName val="Q2-02"/>
      <sheetName val="Q3-02"/>
      <sheetName val="DMVT"/>
      <sheetName val="02-03"/>
      <sheetName val="03-03"/>
      <sheetName val="THCTVT"/>
      <sheetName val="VT-01"/>
      <sheetName val="NL-01"/>
      <sheetName val="VT-02"/>
      <sheetName val="NL-02"/>
      <sheetName val="VT-03"/>
      <sheetName val="NL-03"/>
      <sheetName val="VT-04"/>
      <sheetName val="NL-04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L khu A"/>
      <sheetName val="T.H d ong"/>
      <sheetName val="17_x0000_㏘ĳ_x0000__x0004__x0000_⣬ĳ_x0000_㏸ĳ_x0000__x0015__x0000__x000e_[IBASE2.XLS]21"/>
      <sheetName val="17???????????㏘ĳ?_x0004_??????⣬ĳ??????"/>
      <sheetName val="General"/>
      <sheetName val="T²_x0000__x0000_ "/>
      <sheetName val="Rau"/>
      <sheetName val="CoNgam"/>
      <sheetName val="Thit"/>
      <sheetName val="mam"/>
      <sheetName val="dau"/>
      <sheetName val="gia vi"/>
      <sheetName val="mi chinh"/>
      <sheetName val="muoi"/>
      <sheetName val="Trung  vit"/>
      <sheetName val="TT - tien chi ha TT"/>
      <sheetName val="17?̃̃̃̃̃̃̃̃̃̃̃̃̃̃̃̃̃̃̃̃̃̃̃̃̃̃̃̃"/>
      <sheetName val="??_x0000__x0000__x0000__x0000__x0000__x0000__x0000__x0000_??_x0000__x0000__x0013__x0000__x0000__x0000__x0000__x0000__x0000__x0000__x0000__x0000__x0000__x0000__x000e_[IBA"/>
      <sheetName val="17_x0000__x0000__x0000__x0000__x0000__x0000__x0000__x0000__x0000__x0000__x0000_??_x0000__x0004__x0000__x0000__x0000__x0000__x0000__x0000_??_x0000__x0000__x0000__x0000__x0000__x0000_"/>
      <sheetName val="~~~~~~~~~~~~~~~~~~~~~~~~~~~~~~~"/>
      <sheetName val="17?㏘ĳ?_x0004_?⣬ĳ?㏸ĳ?_x0015_?_x000e_[IBASE2.XLS]21"/>
      <sheetName val="17_x0000_??_x0000__x0004__x0000_??_x0000_??_x0000__x0015__x0000__x000e_[IBASE2.XLS]21"/>
      <sheetName val="??????????????_x0013_???????????_x000e_[IBA"/>
      <sheetName val="17????_x0004_???????_x0015_?_x000e_[IBASE2.XLS]21"/>
      <sheetName val="VE Estimate"/>
      <sheetName val="__"/>
      <sheetName val="17___________㏘ĳ__x0004_______⣬ĳ______"/>
      <sheetName val="T²"/>
      <sheetName val="17_̃̃̃̃̃̃̃̃̃̃̃̃̃̃̃̃̃̃̃̃̃̃̃̃̃̃̃̃"/>
      <sheetName val="GioiThieu"/>
      <sheetName val="DanhMuc_SoDu"/>
      <sheetName val="Phat_Sinh"/>
      <sheetName val="SoTSCD"/>
      <sheetName val="So_KHQuiII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bang_thong_ke"/>
      <sheetName val="bang_chuan"/>
      <sheetName val="bien_&lt;200_m2"/>
      <sheetName val="bang_chuan_(2)"/>
      <sheetName val="thue_(chinh_thuc)"/>
      <sheetName val="thue_(2)"/>
      <sheetName val="bang_doi_chieu"/>
      <sheetName val="KHNH_T3-T10"/>
      <sheetName val="KHNH_T4-T10"/>
      <sheetName val="KL_khu_A"/>
      <sheetName val="T_H_d_ong"/>
      <sheetName val="Gia_Ban"/>
      <sheetName val="Gia_DSRs"/>
      <sheetName val="Gia_NTD"/>
      <sheetName val="Summary_(USD)"/>
      <sheetName val="Summary_(VND)"/>
      <sheetName val="3rd_party"/>
      <sheetName val="interco_"/>
      <sheetName val="Thuchi_"/>
      <sheetName val="THNHA_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17㏘ĳ⣬ĳ"/>
      <sheetName val="thanh_toan"/>
      <sheetName val="Sheet2_(2)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17㏘ĳ⣬ĳ㏸ĳ[IBASE2_XLS]21"/>
      <sheetName val="17?㏘ĳ??⣬ĳ?㏸ĳ??[IBASE2_XLS]21"/>
      <sheetName val="????[IBA"/>
      <sheetName val="17??????[IBASE2_XLS]21"/>
      <sheetName val="?????????????????????????[IBA"/>
      <sheetName val="17????????????[IBASE2_XLS]21"/>
      <sheetName val="17????"/>
      <sheetName val="T_LBD"/>
      <sheetName val="CL_BD"/>
      <sheetName val="T_L_Dien"/>
      <sheetName val="T_LSan"/>
      <sheetName val="T_LWC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T01"/>
      <sheetName val="T02"/>
      <sheetName val="T03"/>
      <sheetName val="T04"/>
      <sheetName val="t05"/>
      <sheetName val="TONGHOP "/>
      <sheetName val="TINH THUE (2)"/>
      <sheetName val="TINH THUE"/>
      <sheetName val="TH-NOPTHUE"/>
      <sheetName val="BS-LUONG"/>
      <sheetName val="17_㏘ĳ__x0004__⣬ĳ_㏸ĳ__x0015___x000e__IBASE2.XLS_21"/>
      <sheetName val="_______________x0013_____________x000e__IBA"/>
      <sheetName val="17_____x0004_________x0015___x000e__IBASE2.XLS_21"/>
      <sheetName val="UTSBSPC1"/>
      <sheetName val="BD"/>
      <sheetName val="17_x005f_x0000__x005f_x0000__x005f_x0000__x005f_x0000__"/>
      <sheetName val="17_x005f_x0000_̃̃̃̃̃̃̃̃̃̃̃̃̃̃̃̃̃̃̃̃̃̃"/>
      <sheetName val="17???????????㏘ĳ?_x005f_x0004_??????⣬ĳ"/>
      <sheetName val="17_x005f_x0000_㏘ĳ_x005f_x0000__x005f_x0004__x0000"/>
      <sheetName val="17___________㏘ĳ__x005f_x0004_______⣬ĳ"/>
      <sheetName val="Tinh san"/>
      <sheetName val="??"/>
      <sheetName val="P&amp;L"/>
      <sheetName val="TTTram"/>
      <sheetName val="細目"/>
      <sheetName val="III.10. Road"/>
      <sheetName val="PHU LUC2"/>
      <sheetName val="lt"/>
      <sheetName val="PL1"/>
      <sheetName val="PL2"/>
      <sheetName val="PL3"/>
      <sheetName val="PL4"/>
      <sheetName val="IBASE2.XLS"/>
      <sheetName val="DM-AGC"/>
      <sheetName val="F6"/>
      <sheetName val="DM-BXD"/>
      <sheetName val="Thep"/>
      <sheetName val="6F-W3"/>
      <sheetName val="Tuan"/>
      <sheetName val="Phiếu luân chuyển"/>
      <sheetName val="IPC 0      2"/>
      <sheetName val="ngày"/>
      <sheetName val="IPC"/>
      <sheetName val="GIA TRI-AGC"/>
      <sheetName val="THKL NC"/>
      <sheetName val="GTKT NTTD"/>
      <sheetName val="XNKL"/>
      <sheetName val="SS NHÂN CÔNG"/>
      <sheetName val="KL NC"/>
      <sheetName val="GTKT"/>
      <sheetName val="KLKT"/>
      <sheetName val="THPLCN"/>
      <sheetName val="P.BAN"/>
      <sheetName val="Makekup"/>
      <sheetName val="NKC6"/>
      <sheetName val="BCNXT"/>
      <sheetName val="M+MC"/>
      <sheetName val="MHSCT"/>
      <sheetName val="summarize"/>
      <sheetName val="CT00"/>
      <sheetName val="CT01"/>
      <sheetName val="TKTK"/>
      <sheetName val="ONG"/>
      <sheetName val="TERMINAL"/>
      <sheetName val="JOINT"/>
      <sheetName val="Hồ sơ"/>
      <sheetName val="Mua"/>
      <sheetName val="월별손익Net PL전"/>
      <sheetName val="Sampling Table"/>
      <sheetName val="Total Cost"/>
      <sheetName val="NHAP VT"/>
      <sheetName val="YCP046-4"/>
      <sheetName val="PCB Assy Condition List"/>
      <sheetName val="回路組立費"/>
      <sheetName val="gngT2"/>
      <sheetName val="OT-Oct"/>
      <sheetName val="_IBASE2.XLS_TNHNoi"/>
      <sheetName val="__x0000__x0000_0_x0000__x0000__x0000__x0000__x0000__x0000__x0000__x0000__x0000__x0000__x0000__x0000__x0000__x0000__x0000__x001d__IBASE2.XLS"/>
      <sheetName val="_"/>
      <sheetName val="Km282-Km_3"/>
      <sheetName val="_IBASE2_XLS_TNHNoi"/>
      <sheetName val="_0_IBASE2_XLS"/>
      <sheetName val="T6-99_x0000__x0000__x0000__x0000__x0000__x0000__x0000__x0000__x0000__x0000__x0009__x0000__x0012__IBASE2.XLS_T"/>
      <sheetName val="_IBASE2_XLS_TNHNoi1"/>
      <sheetName val="Cong_tron_D7_"/>
      <sheetName val="_IBASE2_XLS_TNHNoi2"/>
      <sheetName val="T6-99_x0000__x0000__x0000__x0000__x0000__x0000__x0000__x0000__x0000__x0000_ _x0000__x0012__IBASE2.XLS_T"/>
      <sheetName val="Tþ"/>
      <sheetName val="실행비교"/>
      <sheetName val="steam table"/>
      <sheetName val="F GialԀ_x0000_"/>
      <sheetName val="MOB-MAN1"/>
      <sheetName val="C¸"/>
      <sheetName val="계실"/>
      <sheetName val="견적 집계"/>
      <sheetName val="ex-shell"/>
      <sheetName val="Piping Design Data"/>
      <sheetName val="DJ1"/>
      <sheetName val="6MONTHS"/>
      <sheetName val="ELEMENT SUM"/>
      <sheetName val="TOSHIBA-Structure"/>
      <sheetName val="pile and pile cap"/>
      <sheetName val="Tke"/>
      <sheetName val="Sheet"/>
      <sheetName val="TLG Type"/>
      <sheetName val="KABPREIS"/>
      <sheetName val="DSTP"/>
      <sheetName val="PTDM"/>
      <sheetName val="KABPREIS.XLS"/>
      <sheetName val="dg-VTu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Thong so"/>
      <sheetName val="vatu nhan cua dlBG"/>
      <sheetName val="Danh mục"/>
      <sheetName val="khung ten TD"/>
      <sheetName val="LBControl"/>
      <sheetName val="DSGT"/>
      <sheetName val="DSNT"/>
      <sheetName val="soHD"/>
      <sheetName val="Ma Phu"/>
      <sheetName val="HD_x0000_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PT_MAY"/>
      <sheetName val="TNghi?m_TB_"/>
      <sheetName val="V?t_li?u"/>
      <sheetName val="Lap_?at_?i?n"/>
      <sheetName val="TNghi?m_VL"/>
      <sheetName val="t?_r?iDY"/>
      <sheetName val="TH vat tu"/>
      <sheetName val="Bill of Qty MEP"/>
      <sheetName val="Ｎｏ.13"/>
      <sheetName val="차액보증"/>
      <sheetName val="Base M&amp;E"/>
      <sheetName val="Villa A"/>
      <sheetName val="HRG BHN"/>
      <sheetName val="전기"/>
      <sheetName val="Thuc thanh"/>
      <sheetName val="個案9411"/>
      <sheetName val="coctuatrenda"/>
      <sheetName val="Packing_type_23"/>
      <sheetName val="QDcua_TGD_(0)"/>
      <sheetName val="NKChung_"/>
      <sheetName val="setter_RIM"/>
      <sheetName val="setter_KAKI"/>
      <sheetName val="setter_KAKI__2_"/>
      <sheetName val="su2nrim__2_"/>
      <sheetName val="RENCANA_"/>
      <sheetName val="Sept_01_(2)"/>
      <sheetName val="Aug_"/>
      <sheetName val="200000000헾】"/>
      <sheetName val="INOVASI_TOTAL1"/>
      <sheetName val="FITTINGS_EXP_PRICE_LIST1"/>
      <sheetName val="Fit_Exp1"/>
      <sheetName val="San_Exp1"/>
      <sheetName val="Total_(revision)"/>
      <sheetName val="PL_2004"/>
      <sheetName val="PL_2005"/>
      <sheetName val="Page_3"/>
      <sheetName val="Page_23_(a)"/>
      <sheetName val="Tong hop CP"/>
      <sheetName val="Chi tientrano"/>
      <sheetName val="機種單價"/>
      <sheetName val="Bang luong"/>
      <sheetName val="Database"/>
      <sheetName val="Deals Losts"/>
      <sheetName val="btraR,f"/>
      <sheetName val="Parameters"/>
      <sheetName val="MAHANG"/>
      <sheetName val="PRO.OT1"/>
      <sheetName val="OB-checking"/>
      <sheetName val="NewPOS"/>
      <sheetName val="Input data"/>
      <sheetName val="Daily JI"/>
      <sheetName val="Creditor Inquiry"/>
      <sheetName val="Data-INPUT"/>
      <sheetName val="DMHH"/>
      <sheetName val="Present"/>
      <sheetName val="PARTS"/>
      <sheetName val="ThangÅ"/>
      <sheetName val="Thangø"/>
      <sheetName val="3課"/>
      <sheetName val="TT KH"/>
      <sheetName val="BB"/>
      <sheetName val="KH 08 - CT giao "/>
      <sheetName val="chi tiết khu vực"/>
      <sheetName val="Mẫu KH"/>
      <sheetName val="Tỷ lệ BH tuần CN"/>
      <sheetName val="Tỷ lệ BH - QLV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T11,12-2001"/>
      <sheetName val="mvt"/>
      <sheetName val="DINHMUC"/>
      <sheetName val="finishes"/>
      <sheetName val="GENREQ's"/>
      <sheetName val="masonry"/>
      <sheetName val="電気月報（A3)"/>
      <sheetName val="電気料金（A3)"/>
      <sheetName val="table record (2)"/>
      <sheetName val="設備気分(A4)"/>
      <sheetName val="電力日誌（A3)"/>
      <sheetName val="Production Manthly report"/>
      <sheetName val="transportation"/>
      <sheetName val="00000001"/>
      <sheetName val="B-B"/>
      <sheetName val="INDEX"/>
      <sheetName val="Tiến độ  Rev1 (phói hợp)"/>
      <sheetName val="TYPE-B 평균H"/>
      <sheetName val="XXXXXX_x005f_x005f_x005f_x005f_x005f_x005f_x005f_xda24_"/>
      <sheetName val="[IBASE2_XLS뭝êm283-Km284"/>
      <sheetName val="CV_dej_ngoai_TCT_(2)"/>
      <sheetName val="CV_di_ngoai_to_g_(2)"/>
      <sheetName val="So_g_trai"/>
      <sheetName val="heet9"/>
      <sheetName val="De_ai_Thuc_Tap"/>
      <sheetName val="_ngan"/>
      <sheetName val="_loi"/>
      <sheetName val="Material_(2)"/>
      <sheetName val="Bieu_2a"/>
      <sheetName val="Sat_L"/>
      <sheetName val="III_10__Road"/>
      <sheetName val="PHU_LUC2"/>
      <sheetName val="Luong_T2-06"/>
      <sheetName val="luong_T1-06"/>
      <sheetName val="mau_(2)"/>
      <sheetName val="Luong_T_hop_T2+T1-2006"/>
      <sheetName val="luong_T12"/>
      <sheetName val="TK_711"/>
      <sheetName val="TK_632"/>
      <sheetName val="Chi_tiet_511"/>
      <sheetName val="TK_342_(_thue_T_C_)"/>
      <sheetName val="Phat_sinh_2005"/>
      <sheetName val="TK_341vay_dai_han_"/>
      <sheetName val="TK_214"/>
      <sheetName val="TK_212"/>
      <sheetName val="Chi_tiet_TK_211"/>
      <sheetName val="TK_154"/>
      <sheetName val="Chi_tiet_TK_152"/>
      <sheetName val="Can_Doi_TK"/>
      <sheetName val="TK_152"/>
      <sheetName val="Chung_tu_ghi_so_"/>
      <sheetName val="TK_142"/>
      <sheetName val="TK_133"/>
      <sheetName val="Chi_tiet_TK131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IBASE2_XLS"/>
      <sheetName val="So_quy"/>
      <sheetName val="Thang_10"/>
      <sheetName val="Thang_9"/>
      <sheetName val="Thang_8"/>
      <sheetName val="Thang_7"/>
      <sheetName val="Thang_6"/>
      <sheetName val="Thang_5"/>
      <sheetName val="Thang_3"/>
      <sheetName val="Thang_2"/>
      <sheetName val="Thang_1"/>
      <sheetName val="Khau_hao"/>
      <sheetName val="lo_hang_1"/>
      <sheetName val="lo_hang_2"/>
      <sheetName val="Phan_bo_142"/>
      <sheetName val="Xuat_hang"/>
      <sheetName val="Can_doi"/>
      <sheetName val="DTC"/>
      <sheetName val="tai_trong_&amp;_he_so_phan_bo_ngang"/>
      <sheetName val="gioi_thieu"/>
      <sheetName val="CV_di_trůng__tong"/>
      <sheetName val="Du_toan"/>
      <sheetName val="Linh_(2)"/>
      <sheetName val="BC6tT52_("/>
      <sheetName val="Phiếu_luân_chuyển"/>
      <sheetName val="IPC_0______2"/>
      <sheetName val="GIA_TRI-AGC"/>
      <sheetName val="THKL_NC"/>
      <sheetName val="GTKT_NTTD"/>
      <sheetName val="SS_NHÂN_CÔNG"/>
      <sheetName val="KL_NC"/>
      <sheetName val="Tiến_độ__Rev1_(phói_hợp)"/>
      <sheetName val="CONG_TY"/>
      <sheetName val="OFFICE_TOWER"/>
      <sheetName val="KL_HSMT_tinh_thieu"/>
      <sheetName val="Bang_tra"/>
      <sheetName val="CAL_"/>
      <sheetName val="TYPE-B_평균H"/>
      <sheetName val="ELEMENT_SUM"/>
      <sheetName val="pile_and_pile_cap"/>
      <sheetName val="tien_"/>
      <sheetName val="TH07-07-04"/>
      <sheetName val="TH04-08-04"/>
      <sheetName val="TH10-08-04"/>
      <sheetName val="TH03-09-04 "/>
      <sheetName val="TH 20-09-04  "/>
      <sheetName val="TH 05-11-04 "/>
      <sheetName val="TH 20-11-04"/>
      <sheetName val="TH 03-12-04 "/>
      <sheetName val="TH 21-12-04"/>
      <sheetName val="TH 30-12-04"/>
      <sheetName val="TH 17-01-05"/>
      <sheetName val="[IBASE2_XLS뭝êm283-Km2843"/>
      <sheetName val="CV_dej_ngoai_TCT_(2)3"/>
      <sheetName val="CV_di_ngoai_to_g_(2)3"/>
      <sheetName val="So_g_trai3"/>
      <sheetName val="_ngan3"/>
      <sheetName val="_loi3"/>
      <sheetName val="Material_(2)3"/>
      <sheetName val="Bieu_2a3"/>
      <sheetName val="luongt_133"/>
      <sheetName val="LUONG_13"/>
      <sheetName val="LUONG_23"/>
      <sheetName val="LUONG_33"/>
      <sheetName val="Luong_43"/>
      <sheetName val="CTP_43"/>
      <sheetName val="Anca_43"/>
      <sheetName val="THUONG_TET3"/>
      <sheetName val="Sat_L3"/>
      <sheetName val="III_10__Road3"/>
      <sheetName val="PHU_LUC23"/>
      <sheetName val="For_Summary3"/>
      <sheetName val="For_Summary(KG)3"/>
      <sheetName val="PP_Cloth3"/>
      <sheetName val="Mix-PP_Cloth3"/>
      <sheetName val="Material_Price-PP3"/>
      <sheetName val="Hoan_thanh3"/>
      <sheetName val="hoan_th_153"/>
      <sheetName val="Khoach_153"/>
      <sheetName val="HT_223"/>
      <sheetName val="KH_223"/>
      <sheetName val="KH_T83"/>
      <sheetName val="Ht_483"/>
      <sheetName val="Kh_123"/>
      <sheetName val="ht_20-103"/>
      <sheetName val="Kh_6-103"/>
      <sheetName val="KE_PHI3"/>
      <sheetName val="KE_THUE3"/>
      <sheetName val="KE_CHI_PHI3"/>
      <sheetName val="TINH_GIA_THANH3"/>
      <sheetName val="TONG_HOP_KHAU_HAO3"/>
      <sheetName val="TONG_HOP_CHI_PHI3"/>
      <sheetName val="DA_SAN_XUAT_TRONG_THANG3"/>
      <sheetName val="THANH_TOAN_TIEN_UNG3"/>
      <sheetName val="KHAU_HAO_DAY_CHUYEN_DA3"/>
      <sheetName val="bang_chuan3"/>
      <sheetName val="bien_&lt;200_m23"/>
      <sheetName val="bang_chuan_(2)3"/>
      <sheetName val="thue_(chinh_thuc)3"/>
      <sheetName val="thue_(2)3"/>
      <sheetName val="bang_doi_chieu3"/>
      <sheetName val="kp_chi_tiet3"/>
      <sheetName val="Vat_lieu3"/>
      <sheetName val="to_trinh_mua_VT3"/>
      <sheetName val="Denghi_tam_ung3"/>
      <sheetName val="KTRVATU_3"/>
      <sheetName val="MAU_GNHH3"/>
      <sheetName val="T_toan13"/>
      <sheetName val="Bang_quyet_toan_VT3"/>
      <sheetName val="Gia_Ban3"/>
      <sheetName val="Gia_DSRs3"/>
      <sheetName val="Gia_NTD3"/>
      <sheetName val="KHNH_T3-T103"/>
      <sheetName val="KHNH_T4-T103"/>
      <sheetName val="Luong_T2-063"/>
      <sheetName val="luong_T1-063"/>
      <sheetName val="mau_(2)3"/>
      <sheetName val="Luong_T_hop_T2+T1-20063"/>
      <sheetName val="luong_T123"/>
      <sheetName val="T_LBD3"/>
      <sheetName val="CL_BD3"/>
      <sheetName val="T_L_Dien3"/>
      <sheetName val="T_LSan3"/>
      <sheetName val="T_LWC3"/>
      <sheetName val="TK_7113"/>
      <sheetName val="TK_6323"/>
      <sheetName val="Chi_tiet_5113"/>
      <sheetName val="TK_342_(_thue_T_C_)3"/>
      <sheetName val="Phat_sinh_20053"/>
      <sheetName val="TK_341vay_dai_han_3"/>
      <sheetName val="TK_2143"/>
      <sheetName val="TK_2123"/>
      <sheetName val="Chi_tiet_TK_2113"/>
      <sheetName val="TK_1543"/>
      <sheetName val="Chi_tiet_TK_1523"/>
      <sheetName val="Can_Doi_TK3"/>
      <sheetName val="TK_1523"/>
      <sheetName val="Chung_tu_ghi_so_3"/>
      <sheetName val="TK_1423"/>
      <sheetName val="TK_1333"/>
      <sheetName val="Chi_tiet_TK1313"/>
      <sheetName val="TK_1113"/>
      <sheetName val="Phieu_thu3"/>
      <sheetName val="Phieu_chi_3"/>
      <sheetName val="Phieu_nhap_VTu_3"/>
      <sheetName val="Phieu_xuat_VTu3"/>
      <sheetName val="Can_doi_vat_tu_nhap_xuat_3"/>
      <sheetName val="Vat_tu_nhapxuat_nam_20053"/>
      <sheetName val="Ca_may_can_dung_nam_20053"/>
      <sheetName val="Vat_Tu_can_cho_CT_nam_20053"/>
      <sheetName val="HD_thu_mua_hang_NLS_3"/>
      <sheetName val="HD_thu_mua_cat_soi_3"/>
      <sheetName val="TLy_HD_mua_ban_3"/>
      <sheetName val="Bien_ban_Nthu_GK3"/>
      <sheetName val="T__Ly_HD_giao_khoan_3"/>
      <sheetName val="Hop_dong_giao_khoan3"/>
      <sheetName val="giay_tam_ung_3"/>
      <sheetName val="Bang_ke_T_toan_3"/>
      <sheetName val="Hoa_don_ban_hang_3"/>
      <sheetName val="Bang_phan_bo_tien_luong_20053"/>
      <sheetName val="Bang_cham_cong_3"/>
      <sheetName val="Bang_T_T_Luong_CB_chu_Chot20053"/>
      <sheetName val="Bang_T_T_luong_CN_lai_xe3"/>
      <sheetName val="Bang_thanh_toan_luong_20053"/>
      <sheetName val="Nhan_cong_cho_CT_nam_20053"/>
      <sheetName val="Dinh_Muc_tieu_hao_VL_20053"/>
      <sheetName val="Dang_Ky_chi_tiet_KH_20053"/>
      <sheetName val="Bang_phan_bo_NVL_nam_20053"/>
      <sheetName val="Bang_phan_bo_K_Hao_20053"/>
      <sheetName val="Dang_Ky_Khau_hao_20053"/>
      <sheetName val="Phu_luc_so_3(_TNDN)3"/>
      <sheetName val="PhuLuc_so_1(TNDN)3"/>
      <sheetName val="Mau_so_04_TNDN3"/>
      <sheetName val="Mau_so_02C3"/>
      <sheetName val="Mau_so_02B3"/>
      <sheetName val="Mau_so_02A3"/>
      <sheetName val="Mau_01B3"/>
      <sheetName val="To_khai_Mau_113"/>
      <sheetName val="Don_xin_khat_nop_thue_nam_043"/>
      <sheetName val="Su_dung_hoa_don_mau_263"/>
      <sheetName val="QToan_hoa_don_3"/>
      <sheetName val="Mau_so_013"/>
      <sheetName val="Mau_so_023"/>
      <sheetName val="Chi_tiet_Mau_03_(_mua_vao_)3"/>
      <sheetName val="Mau_so_033"/>
      <sheetName val="Mau_so_043"/>
      <sheetName val="Mau_053"/>
      <sheetName val="De_nghi_giai_dap_ve_thue_3"/>
      <sheetName val="the_duc3"/>
      <sheetName val="Bao_cao_thong_ke_3"/>
      <sheetName val="Phieu_DTra_Van_Tai_(_01_TKe_)3"/>
      <sheetName val="THNHA_3"/>
      <sheetName val="Thuchi_3"/>
      <sheetName val="Summary_(USD)3"/>
      <sheetName val="Summary_(VND)3"/>
      <sheetName val="3rd_party3"/>
      <sheetName val="interco_3"/>
      <sheetName val="bang_thong_ke3"/>
      <sheetName val="thanh_toan3"/>
      <sheetName val="Thu_NH_T4-033"/>
      <sheetName val="THU_NH_T5-033"/>
      <sheetName val="THU_NH_T6-033"/>
      <sheetName val="THU_NH_T7-033"/>
      <sheetName val="THU_NH_T8-033"/>
      <sheetName val="THU_NH_T9-033"/>
      <sheetName val="THU_TM_T9-033"/>
      <sheetName val="THU_NH_T10_-_033"/>
      <sheetName val="Sheet2_(2)3"/>
      <sheetName val="IBASE2_XLS3"/>
      <sheetName val="qui_2-053"/>
      <sheetName val="qui_3-053"/>
      <sheetName val="T2-04_3"/>
      <sheetName val="T4-04_3"/>
      <sheetName val="T5-04__3"/>
      <sheetName val="T6-04__3"/>
      <sheetName val="QUY_II3"/>
      <sheetName val="QUY_III3"/>
      <sheetName val="QUY_IV3"/>
      <sheetName val="QUY_I3"/>
      <sheetName val="CA_NAM_043"/>
      <sheetName val="So_quy3"/>
      <sheetName val="Thang_103"/>
      <sheetName val="Thang_93"/>
      <sheetName val="Thang_83"/>
      <sheetName val="Thang_73"/>
      <sheetName val="Thang_63"/>
      <sheetName val="Thang_53"/>
      <sheetName val="Thang_33"/>
      <sheetName val="Thang_23"/>
      <sheetName val="Thang_15"/>
      <sheetName val="Khau_hao3"/>
      <sheetName val="lo_hang_13"/>
      <sheetName val="lo_hang_23"/>
      <sheetName val="Phan_bo_1423"/>
      <sheetName val="Xuat_hang3"/>
      <sheetName val="Can_doi3"/>
      <sheetName val="Tien_luong_(2)3"/>
      <sheetName val="DTX-NGG_XLS3"/>
      <sheetName val="chenh_lech3"/>
      <sheetName val="CL_Hµ_t©y3"/>
      <sheetName val="CL_Bæ_tóc3"/>
      <sheetName val="DT_Ph­¬ng_mai_13"/>
      <sheetName val="tai_trong_&amp;_he_so_phan_bo_ngan3"/>
      <sheetName val="gioi_thieu3"/>
      <sheetName val="CV_di_trůng__tong3"/>
      <sheetName val="Du_toan3"/>
      <sheetName val="Linh_(2)3"/>
      <sheetName val="T11_063"/>
      <sheetName val="Phiếu_luân_chuyển3"/>
      <sheetName val="IPC_0______23"/>
      <sheetName val="GIA_TRI-AGC3"/>
      <sheetName val="THKL_NC3"/>
      <sheetName val="GTKT_NTTD3"/>
      <sheetName val="SS_NHÂN_CÔNG3"/>
      <sheetName val="KL_NC3"/>
      <sheetName val="Tiến_độ__Rev1_(phói_hợp)3"/>
      <sheetName val="CONG_TY3"/>
      <sheetName val="OFFICE_TOWER3"/>
      <sheetName val="KL_HSMT_tinh_thieu3"/>
      <sheetName val="Bang_tra3"/>
      <sheetName val="CAL_3"/>
      <sheetName val="TYPE-B_평균H3"/>
      <sheetName val="ELEMENT_SUM3"/>
      <sheetName val="pile_and_pile_cap3"/>
      <sheetName val="tien_3"/>
      <sheetName val="BC6tT52_(3"/>
      <sheetName val="TH03-09-04_2"/>
      <sheetName val="TH_20-09-04__2"/>
      <sheetName val="TH_05-11-04_2"/>
      <sheetName val="TH_20-11-042"/>
      <sheetName val="TH_03-12-04_2"/>
      <sheetName val="TH_21-12-042"/>
      <sheetName val="TH_30-12-042"/>
      <sheetName val="TH_17-01-052"/>
      <sheetName val="[IBASE2_XLS뭝êm283-Km2841"/>
      <sheetName val="CV_dej_ngoai_TCT_(2)1"/>
      <sheetName val="CV_di_ngoai_to_g_(2)1"/>
      <sheetName val="So_g_trai1"/>
      <sheetName val="_ngan1"/>
      <sheetName val="_loi1"/>
      <sheetName val="Material_(2)1"/>
      <sheetName val="Bieu_2a1"/>
      <sheetName val="luongt_131"/>
      <sheetName val="LUONG_11"/>
      <sheetName val="LUONG_21"/>
      <sheetName val="LUONG_31"/>
      <sheetName val="Luong_41"/>
      <sheetName val="CTP_41"/>
      <sheetName val="Anca_41"/>
      <sheetName val="THUONG_TET1"/>
      <sheetName val="Sat_L1"/>
      <sheetName val="III_10__Road1"/>
      <sheetName val="PHU_LUC21"/>
      <sheetName val="Hoan_thanh1"/>
      <sheetName val="hoan_th_151"/>
      <sheetName val="Khoach_151"/>
      <sheetName val="HT_221"/>
      <sheetName val="KH_221"/>
      <sheetName val="KH_T81"/>
      <sheetName val="Ht_481"/>
      <sheetName val="Kh_121"/>
      <sheetName val="ht_20-101"/>
      <sheetName val="Kh_6-101"/>
      <sheetName val="KE_PHI1"/>
      <sheetName val="KE_THUE1"/>
      <sheetName val="KE_CHI_PHI1"/>
      <sheetName val="TINH_GIA_THANH1"/>
      <sheetName val="TONG_HOP_KHAU_HAO1"/>
      <sheetName val="TONG_HOP_CHI_PHI1"/>
      <sheetName val="DA_SAN_XUAT_TRONG_THANG1"/>
      <sheetName val="THANH_TOAN_TIEN_UNG1"/>
      <sheetName val="KHAU_HAO_DAY_CHUYEN_DA1"/>
      <sheetName val="bang_chuan1"/>
      <sheetName val="bien_&lt;200_m21"/>
      <sheetName val="bang_chuan_(2)1"/>
      <sheetName val="thue_(chinh_thuc)1"/>
      <sheetName val="thue_(2)1"/>
      <sheetName val="bang_doi_chieu1"/>
      <sheetName val="kp_chi_tiet1"/>
      <sheetName val="Vat_lieu1"/>
      <sheetName val="to_trinh_mua_VT1"/>
      <sheetName val="Denghi_tam_ung1"/>
      <sheetName val="KTRVATU_1"/>
      <sheetName val="MAU_GNHH1"/>
      <sheetName val="T_toan11"/>
      <sheetName val="Bang_quyet_toan_VT1"/>
      <sheetName val="Gia_Ban1"/>
      <sheetName val="Gia_DSRs1"/>
      <sheetName val="Gia_NTD1"/>
      <sheetName val="KHNH_T3-T101"/>
      <sheetName val="KHNH_T4-T101"/>
      <sheetName val="Luong_T2-061"/>
      <sheetName val="luong_T1-061"/>
      <sheetName val="mau_(2)1"/>
      <sheetName val="Luong_T_hop_T2+T1-20061"/>
      <sheetName val="luong_T121"/>
      <sheetName val="T_LBD1"/>
      <sheetName val="CL_BD1"/>
      <sheetName val="T_L_Dien1"/>
      <sheetName val="T_LSan1"/>
      <sheetName val="T_LWC1"/>
      <sheetName val="TK_7111"/>
      <sheetName val="TK_6321"/>
      <sheetName val="Chi_tiet_5111"/>
      <sheetName val="TK_342_(_thue_T_C_)1"/>
      <sheetName val="Phat_sinh_20051"/>
      <sheetName val="TK_341vay_dai_han_1"/>
      <sheetName val="TK_2141"/>
      <sheetName val="TK_2121"/>
      <sheetName val="Chi_tiet_TK_2111"/>
      <sheetName val="TK_1541"/>
      <sheetName val="Chi_tiet_TK_1521"/>
      <sheetName val="Can_Doi_TK1"/>
      <sheetName val="TK_1521"/>
      <sheetName val="Chung_tu_ghi_so_1"/>
      <sheetName val="TK_1421"/>
      <sheetName val="TK_1331"/>
      <sheetName val="Chi_tiet_TK1311"/>
      <sheetName val="TK_1111"/>
      <sheetName val="Phieu_thu1"/>
      <sheetName val="Phieu_chi_1"/>
      <sheetName val="Phieu_nhap_VTu_1"/>
      <sheetName val="Phieu_xuat_VTu1"/>
      <sheetName val="Can_doi_vat_tu_nhap_xuat_1"/>
      <sheetName val="Vat_tu_nhapxuat_nam_20051"/>
      <sheetName val="Ca_may_can_dung_nam_20051"/>
      <sheetName val="Vat_Tu_can_cho_CT_nam_20051"/>
      <sheetName val="HD_thu_mua_hang_NLS_1"/>
      <sheetName val="HD_thu_mua_cat_soi_1"/>
      <sheetName val="TLy_HD_mua_ban_1"/>
      <sheetName val="Bien_ban_Nthu_GK1"/>
      <sheetName val="T__Ly_HD_giao_khoan_1"/>
      <sheetName val="Hop_dong_giao_khoan1"/>
      <sheetName val="giay_tam_ung_1"/>
      <sheetName val="Bang_ke_T_toan_1"/>
      <sheetName val="Hoa_don_ban_hang_1"/>
      <sheetName val="Bang_phan_bo_tien_luong_20051"/>
      <sheetName val="Bang_cham_cong_1"/>
      <sheetName val="Bang_T_T_Luong_CB_chu_Chot20051"/>
      <sheetName val="Bang_T_T_luong_CN_lai_xe1"/>
      <sheetName val="Bang_thanh_toan_luong_20051"/>
      <sheetName val="Nhan_cong_cho_CT_nam_20051"/>
      <sheetName val="Dinh_Muc_tieu_hao_VL_20051"/>
      <sheetName val="Dang_Ky_chi_tiet_KH_20051"/>
      <sheetName val="Bang_phan_bo_NVL_nam_20051"/>
      <sheetName val="Bang_phan_bo_K_Hao_20051"/>
      <sheetName val="Dang_Ky_Khau_hao_20051"/>
      <sheetName val="Phu_luc_so_3(_TNDN)1"/>
      <sheetName val="PhuLuc_so_1(TNDN)1"/>
      <sheetName val="Mau_so_04_TNDN1"/>
      <sheetName val="Mau_so_02C1"/>
      <sheetName val="Mau_so_02B1"/>
      <sheetName val="Mau_so_02A1"/>
      <sheetName val="Mau_01B1"/>
      <sheetName val="To_khai_Mau_111"/>
      <sheetName val="Don_xin_khat_nop_thue_nam_041"/>
      <sheetName val="Su_dung_hoa_don_mau_261"/>
      <sheetName val="QToan_hoa_don_1"/>
      <sheetName val="Mau_so_011"/>
      <sheetName val="Mau_so_021"/>
      <sheetName val="Chi_tiet_Mau_03_(_mua_vao_)1"/>
      <sheetName val="Mau_so_031"/>
      <sheetName val="Mau_so_041"/>
      <sheetName val="Mau_051"/>
      <sheetName val="De_nghi_giai_dap_ve_thue_1"/>
      <sheetName val="the_duc1"/>
      <sheetName val="Bao_cao_thong_ke_1"/>
      <sheetName val="Phieu_DTra_Van_Tai_(_01_TKe_)1"/>
      <sheetName val="THNHA_1"/>
      <sheetName val="Thuchi_1"/>
      <sheetName val="Summary_(USD)1"/>
      <sheetName val="Summary_(VND)1"/>
      <sheetName val="3rd_party1"/>
      <sheetName val="interco_1"/>
      <sheetName val="bang_thong_ke1"/>
      <sheetName val="thanh_toan1"/>
      <sheetName val="Thu_NH_T4-031"/>
      <sheetName val="THU_NH_T5-031"/>
      <sheetName val="THU_NH_T6-031"/>
      <sheetName val="THU_NH_T7-031"/>
      <sheetName val="THU_NH_T8-031"/>
      <sheetName val="THU_NH_T9-031"/>
      <sheetName val="THU_TM_T9-031"/>
      <sheetName val="THU_NH_T10_-_031"/>
      <sheetName val="Sheet2_(2)1"/>
      <sheetName val="IBASE2_XLS1"/>
      <sheetName val="qui_2-051"/>
      <sheetName val="qui_3-051"/>
      <sheetName val="T2-04_1"/>
      <sheetName val="T4-04_1"/>
      <sheetName val="T5-04__1"/>
      <sheetName val="T6-04__1"/>
      <sheetName val="QUY_II1"/>
      <sheetName val="QUY_III1"/>
      <sheetName val="QUY_IV1"/>
      <sheetName val="QUY_I1"/>
      <sheetName val="CA_NAM_041"/>
      <sheetName val="So_quy1"/>
      <sheetName val="Thang_101"/>
      <sheetName val="Thang_91"/>
      <sheetName val="Thang_81"/>
      <sheetName val="Thang_71"/>
      <sheetName val="Thang_61"/>
      <sheetName val="Thang_51"/>
      <sheetName val="Thang_31"/>
      <sheetName val="Thang_21"/>
      <sheetName val="Thang_13"/>
      <sheetName val="Khau_hao1"/>
      <sheetName val="lo_hang_11"/>
      <sheetName val="lo_hang_21"/>
      <sheetName val="Phan_bo_1421"/>
      <sheetName val="Xuat_hang1"/>
      <sheetName val="Can_doi1"/>
      <sheetName val="Tien_luong_(2)1"/>
      <sheetName val="DTX-NGG_XLS1"/>
      <sheetName val="chenh_lech1"/>
      <sheetName val="CL_Hµ_t©y1"/>
      <sheetName val="CL_Bæ_tóc1"/>
      <sheetName val="DT_Ph­¬ng_mai_11"/>
      <sheetName val="tai_trong_&amp;_he_so_phan_bo_ngan1"/>
      <sheetName val="gioi_thieu1"/>
      <sheetName val="CV_di_trůng__tong1"/>
      <sheetName val="Du_toan1"/>
      <sheetName val="Linh_(2)1"/>
      <sheetName val="Phiếu_luân_chuyển1"/>
      <sheetName val="IPC_0______21"/>
      <sheetName val="GIA_TRI-AGC1"/>
      <sheetName val="THKL_NC1"/>
      <sheetName val="GTKT_NTTD1"/>
      <sheetName val="SS_NHÂN_CÔNG1"/>
      <sheetName val="KL_NC1"/>
      <sheetName val="Tiến_độ__Rev1_(phói_hợp)1"/>
      <sheetName val="CONG_TY1"/>
      <sheetName val="OFFICE_TOWER1"/>
      <sheetName val="KL_HSMT_tinh_thieu1"/>
      <sheetName val="Bang_tra1"/>
      <sheetName val="CAL_1"/>
      <sheetName val="TYPE-B_평균H1"/>
      <sheetName val="ELEMENT_SUM1"/>
      <sheetName val="pile_and_pile_cap1"/>
      <sheetName val="tien_1"/>
      <sheetName val="BC6tT52_(1"/>
      <sheetName val="TH03-09-04_"/>
      <sheetName val="TH_20-09-04__"/>
      <sheetName val="TH_05-11-04_"/>
      <sheetName val="TH_20-11-04"/>
      <sheetName val="TH_03-12-04_"/>
      <sheetName val="TH_21-12-04"/>
      <sheetName val="TH_30-12-04"/>
      <sheetName val="TH_17-01-05"/>
      <sheetName val="[IBASE2_XLS뭝êm283-Km2842"/>
      <sheetName val="CV_dej_ngoai_TCT_(2)2"/>
      <sheetName val="CV_di_ngoai_to_g_(2)2"/>
      <sheetName val="So_g_trai2"/>
      <sheetName val="_ngan2"/>
      <sheetName val="_loi2"/>
      <sheetName val="Material_(2)2"/>
      <sheetName val="Bieu_2a2"/>
      <sheetName val="luongt_132"/>
      <sheetName val="LUONG_12"/>
      <sheetName val="LUONG_22"/>
      <sheetName val="LUONG_32"/>
      <sheetName val="Luong_42"/>
      <sheetName val="CTP_42"/>
      <sheetName val="Anca_42"/>
      <sheetName val="THUONG_TET2"/>
      <sheetName val="Sat_L2"/>
      <sheetName val="III_10__Road2"/>
      <sheetName val="PHU_LUC22"/>
      <sheetName val="Hoan_thanh2"/>
      <sheetName val="hoan_th_152"/>
      <sheetName val="Khoach_152"/>
      <sheetName val="HT_222"/>
      <sheetName val="KH_222"/>
      <sheetName val="KH_T82"/>
      <sheetName val="Ht_482"/>
      <sheetName val="Kh_122"/>
      <sheetName val="ht_20-102"/>
      <sheetName val="Kh_6-102"/>
      <sheetName val="KE_PHI2"/>
      <sheetName val="KE_THUE2"/>
      <sheetName val="KE_CHI_PHI2"/>
      <sheetName val="TINH_GIA_THANH2"/>
      <sheetName val="TONG_HOP_KHAU_HAO2"/>
      <sheetName val="TONG_HOP_CHI_PHI2"/>
      <sheetName val="DA_SAN_XUAT_TRONG_THANG2"/>
      <sheetName val="THANH_TOAN_TIEN_UNG2"/>
      <sheetName val="KHAU_HAO_DAY_CHUYEN_DA2"/>
      <sheetName val="bang_chuan2"/>
      <sheetName val="bien_&lt;200_m22"/>
      <sheetName val="bang_chuan_(2)2"/>
      <sheetName val="thue_(chinh_thuc)2"/>
      <sheetName val="thue_(2)2"/>
      <sheetName val="bang_doi_chieu2"/>
      <sheetName val="kp_chi_tiet2"/>
      <sheetName val="Vat_lieu2"/>
      <sheetName val="to_trinh_mua_VT2"/>
      <sheetName val="Denghi_tam_ung2"/>
      <sheetName val="KTRVATU_2"/>
      <sheetName val="MAU_GNHH2"/>
      <sheetName val="T_toan12"/>
      <sheetName val="Bang_quyet_toan_VT2"/>
      <sheetName val="Gia_Ban2"/>
      <sheetName val="Gia_DSRs2"/>
      <sheetName val="Gia_NTD2"/>
      <sheetName val="KHNH_T3-T102"/>
      <sheetName val="KHNH_T4-T102"/>
      <sheetName val="Luong_T2-062"/>
      <sheetName val="luong_T1-062"/>
      <sheetName val="mau_(2)2"/>
      <sheetName val="Luong_T_hop_T2+T1-20062"/>
      <sheetName val="luong_T122"/>
      <sheetName val="T_LBD2"/>
      <sheetName val="CL_BD2"/>
      <sheetName val="T_L_Dien2"/>
      <sheetName val="T_LSan2"/>
      <sheetName val="T_LWC2"/>
      <sheetName val="TK_7112"/>
      <sheetName val="TK_6322"/>
      <sheetName val="Chi_tiet_5112"/>
      <sheetName val="TK_342_(_thue_T_C_)2"/>
      <sheetName val="Phat_sinh_20052"/>
      <sheetName val="TK_341vay_dai_han_2"/>
      <sheetName val="TK_2142"/>
      <sheetName val="TK_2122"/>
      <sheetName val="Chi_tiet_TK_2112"/>
      <sheetName val="TK_1542"/>
      <sheetName val="Chi_tiet_TK_1522"/>
      <sheetName val="Can_Doi_TK2"/>
      <sheetName val="TK_1522"/>
      <sheetName val="Chung_tu_ghi_so_2"/>
      <sheetName val="TK_1422"/>
      <sheetName val="TK_1332"/>
      <sheetName val="Chi_tiet_TK1312"/>
      <sheetName val="TK_1112"/>
      <sheetName val="Phieu_thu2"/>
      <sheetName val="Phieu_chi_2"/>
      <sheetName val="Phieu_nhap_VTu_2"/>
      <sheetName val="Phieu_xuat_VTu2"/>
      <sheetName val="Can_doi_vat_tu_nhap_xuat_2"/>
      <sheetName val="Vat_tu_nhapxuat_nam_20052"/>
      <sheetName val="Ca_may_can_dung_nam_20052"/>
      <sheetName val="Vat_Tu_can_cho_CT_nam_20052"/>
      <sheetName val="HD_thu_mua_hang_NLS_2"/>
      <sheetName val="HD_thu_mua_cat_soi_2"/>
      <sheetName val="TLy_HD_mua_ban_2"/>
      <sheetName val="Bien_ban_Nthu_GK2"/>
      <sheetName val="T__Ly_HD_giao_khoan_2"/>
      <sheetName val="Hop_dong_giao_khoan2"/>
      <sheetName val="giay_tam_ung_2"/>
      <sheetName val="Bang_ke_T_toan_2"/>
      <sheetName val="Hoa_don_ban_hang_2"/>
      <sheetName val="Bang_phan_bo_tien_luong_20052"/>
      <sheetName val="Bang_cham_cong_2"/>
      <sheetName val="Bang_T_T_Luong_CB_chu_Chot20052"/>
      <sheetName val="Bang_T_T_luong_CN_lai_xe2"/>
      <sheetName val="Bang_thanh_toan_luong_20052"/>
      <sheetName val="Nhan_cong_cho_CT_nam_20052"/>
      <sheetName val="Dinh_Muc_tieu_hao_VL_20052"/>
      <sheetName val="Dang_Ky_chi_tiet_KH_20052"/>
      <sheetName val="Bang_phan_bo_NVL_nam_20052"/>
      <sheetName val="Bang_phan_bo_K_Hao_20052"/>
      <sheetName val="Dang_Ky_Khau_hao_20052"/>
      <sheetName val="Phu_luc_so_3(_TNDN)2"/>
      <sheetName val="PhuLuc_so_1(TNDN)2"/>
      <sheetName val="Mau_so_04_TNDN2"/>
      <sheetName val="Mau_so_02C2"/>
      <sheetName val="Mau_so_02B2"/>
      <sheetName val="Mau_so_02A2"/>
      <sheetName val="Mau_01B2"/>
      <sheetName val="To_khai_Mau_112"/>
      <sheetName val="Don_xin_khat_nop_thue_nam_042"/>
      <sheetName val="Su_dung_hoa_don_mau_262"/>
      <sheetName val="QToan_hoa_don_2"/>
      <sheetName val="Mau_so_012"/>
      <sheetName val="Mau_so_022"/>
      <sheetName val="Chi_tiet_Mau_03_(_mua_vao_)2"/>
      <sheetName val="Mau_so_032"/>
      <sheetName val="Mau_so_042"/>
      <sheetName val="Mau_052"/>
      <sheetName val="De_nghi_giai_dap_ve_thue_2"/>
      <sheetName val="the_duc2"/>
      <sheetName val="Bao_cao_thong_ke_2"/>
      <sheetName val="Phieu_DTra_Van_Tai_(_01_TKe_)2"/>
      <sheetName val="THNHA_2"/>
      <sheetName val="Thuchi_2"/>
      <sheetName val="Summary_(USD)2"/>
      <sheetName val="Summary_(VND)2"/>
      <sheetName val="3rd_party2"/>
      <sheetName val="interco_2"/>
      <sheetName val="bang_thong_ke2"/>
      <sheetName val="thanh_toan2"/>
      <sheetName val="Thu_NH_T4-032"/>
      <sheetName val="THU_NH_T5-032"/>
      <sheetName val="THU_NH_T6-032"/>
      <sheetName val="THU_NH_T7-032"/>
      <sheetName val="THU_NH_T8-032"/>
      <sheetName val="THU_NH_T9-032"/>
      <sheetName val="THU_TM_T9-032"/>
      <sheetName val="THU_NH_T10_-_032"/>
      <sheetName val="Sheet2_(2)2"/>
      <sheetName val="IBASE2_XLS2"/>
      <sheetName val="qui_2-052"/>
      <sheetName val="qui_3-052"/>
      <sheetName val="T2-04_2"/>
      <sheetName val="T4-04_2"/>
      <sheetName val="T5-04__2"/>
      <sheetName val="T6-04__2"/>
      <sheetName val="QUY_II2"/>
      <sheetName val="QUY_III2"/>
      <sheetName val="QUY_IV2"/>
      <sheetName val="QUY_I2"/>
      <sheetName val="CA_NAM_042"/>
      <sheetName val="So_quy2"/>
      <sheetName val="Thang_102"/>
      <sheetName val="Thang_92"/>
      <sheetName val="Thang_82"/>
      <sheetName val="Thang_72"/>
      <sheetName val="Thang_62"/>
      <sheetName val="Thang_52"/>
      <sheetName val="Thang_32"/>
      <sheetName val="Thang_22"/>
      <sheetName val="Thang_14"/>
      <sheetName val="Khau_hao2"/>
      <sheetName val="lo_hang_12"/>
      <sheetName val="lo_hang_22"/>
      <sheetName val="Phan_bo_1422"/>
      <sheetName val="Xuat_hang2"/>
      <sheetName val="Can_doi2"/>
      <sheetName val="Tien_luong_(2)2"/>
      <sheetName val="DTX-NGG_XLS2"/>
      <sheetName val="chenh_lech2"/>
      <sheetName val="CL_Hµ_t©y2"/>
      <sheetName val="CL_Bæ_tóc2"/>
      <sheetName val="DT_Ph­¬ng_mai_12"/>
      <sheetName val="tai_trong_&amp;_he_so_phan_bo_ngan2"/>
      <sheetName val="gioi_thieu2"/>
      <sheetName val="CV_di_trůng__tong2"/>
      <sheetName val="Du_toan2"/>
      <sheetName val="Linh_(2)2"/>
      <sheetName val="T11_062"/>
      <sheetName val="Phiếu_luân_chuyển2"/>
      <sheetName val="IPC_0______22"/>
      <sheetName val="GIA_TRI-AGC2"/>
      <sheetName val="THKL_NC2"/>
      <sheetName val="GTKT_NTTD2"/>
      <sheetName val="SS_NHÂN_CÔNG2"/>
      <sheetName val="KL_NC2"/>
      <sheetName val="Tiến_độ__Rev1_(phói_hợp)2"/>
      <sheetName val="CONG_TY2"/>
      <sheetName val="OFFICE_TOWER2"/>
      <sheetName val="KL_HSMT_tinh_thieu2"/>
      <sheetName val="Bang_tra2"/>
      <sheetName val="CAL_2"/>
      <sheetName val="TYPE-B_평균H2"/>
      <sheetName val="ELEMENT_SUM2"/>
      <sheetName val="pile_and_pile_cap2"/>
      <sheetName val="tien_2"/>
      <sheetName val="BC6tT52_(2"/>
      <sheetName val="TH03-09-04_1"/>
      <sheetName val="TH_20-09-04__1"/>
      <sheetName val="TH_05-11-04_1"/>
      <sheetName val="TH_20-11-041"/>
      <sheetName val="TH_03-12-04_1"/>
      <sheetName val="TH_21-12-041"/>
      <sheetName val="TH_30-12-041"/>
      <sheetName val="TH_17-01-051"/>
      <sheetName val="Bal Sheet"/>
      <sheetName val="HaoPhi"/>
      <sheetName val="갑지"/>
      <sheetName val="Generalofact"/>
      <sheetName val="cover page format"/>
      <sheetName val="00-Pipe Schedule for QS rev01"/>
      <sheetName val="Gtable(19)"/>
      <sheetName val="Breakdown"/>
      <sheetName val="MATK"/>
      <sheetName val="P.M(Monitoring Sche)"/>
      <sheetName val="Lab Sche (Summary)."/>
      <sheetName val="TH gia dt"/>
      <sheetName val="TH VL, NC, DDHT Thanhphuoc"/>
      <sheetName val="CANDOI"/>
      <sheetName val="Nhap VT oto"/>
      <sheetName val="REGION"/>
      <sheetName val="OFFGRID"/>
      <sheetName val="II.1 TH TDT CHUNG"/>
      <sheetName val="Dꗃ"/>
      <sheetName val="1.TT chung"/>
      <sheetName val="Cong tron۬_x0000_100"/>
      <sheetName val="CTbe tong"/>
      <sheetName val="CTDZ 0.4+cto"/>
      <sheetName val="Candoi-60-342"/>
      <sheetName val="DN"/>
      <sheetName val="Biểu 02"/>
      <sheetName val="QDcua HDQD"/>
      <sheetName val="Km_x0000_83-嘀m28ｄ"/>
      <sheetName val="XXXXXX"/>
      <sheetName val=" THợp KCB(PL18)"/>
      <sheetName val="QDcua_TGD__2__________________2"/>
      <sheetName val="tra-vat-lieu"/>
      <sheetName val="SoCamTM"/>
      <sheetName val="p(an tich DG"/>
      <sheetName val="Fia may"/>
      <sheetName val="VtuHaTheScuTramBT3"/>
      <sheetName val="DG2018"/>
      <sheetName val="TKv42"/>
      <sheetName val="TvI "/>
      <sheetName val="TvII"/>
      <sheetName val="TvIII"/>
      <sheetName val="TvIV"/>
      <sheetName val="XÐt duyet Quý I"/>
      <sheetName val="Xet duyet QuyII"/>
      <sheetName val="XD QUY III"/>
      <sheetName val="XD QUY IV"/>
      <sheetName val="H%so"/>
      <sheetName val="QD"/>
      <sheetName val="HDong ԰"/>
      <sheetName val="CCPS_x0005_"/>
      <sheetName val="142201_x0005_"/>
      <sheetName val="Ca."/>
      <sheetName val="CT 0"/>
      <sheetName val="BC6tT52 ("/>
      <sheetName val="H"/>
      <sheetName val="H_x0005_"/>
      <sheetName val="Phant԰"/>
      <sheetName val="K25_x0005_"/>
      <sheetName val="F GialԀ"/>
      <sheetName val="HD"/>
      <sheetName val="Cong tron۬"/>
      <sheetName val="BTHDT_TBA_x000d_THXL_DZcaothe"/>
      <sheetName val="BTHDT_TBA_x000a_THXL_DZcaothe"/>
      <sheetName val="200000000_x0005_"/>
      <sheetName val="?0_x001d_[IBASE2.XLS"/>
      <sheetName val="Km282-Km_x0003__x0005_"/>
      <sheetName val="Km277 %Km278 "/>
      <sheetName val="Cong tron D100_x000e_Cong tron D150"/>
      <sheetName val="BTHDT_TBA_x000d_T"/>
      <sheetName val="BTHDT_TBA_x000a_T"/>
      <sheetName val="Tkedo _x0007_"/>
      <sheetName val="X_x0003_Test5"/>
      <sheetName val="????_x0013__x000e_[IBA"/>
      <sheetName val="17??_x0004_??"/>
      <sheetName val="17??_x0004_????_x0015__x000e_[IBASE2.XLS]21"/>
      <sheetName val="_0_x001d__IBASE2.XLS"/>
      <sheetName val="T6-99 _x0012__IBASE2.XLS_T"/>
      <sheetName val="Cong tron۬100"/>
      <sheetName val="M 67"/>
      <sheetName val="Soqu_x0005_??"/>
      <sheetName val="GIA 뭼U_x0000__x0000_"/>
      <sheetName val="_x0000__x0000__x0000__x0000__x0005__x0000__x0000__x0000_"/>
      <sheetName val="ZDCBK"/>
      <sheetName val="NK_x0000_"/>
      <sheetName val="Tai trong"/>
      <sheetName val="M"/>
      <sheetName val="Phamcap"/>
      <sheetName val="Km83-嘀m28ｄ"/>
      <sheetName val="GIA 뭼U"/>
      <sheetName val="Process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GIAVLIEU"/>
      <sheetName val="17??????????????_x0004_??????????????"/>
      <sheetName val="_x0001_Ѐ"/>
      <sheetName val="uan (2)_x0011_"/>
      <sheetName val="0000_x0008_"/>
      <sheetName val="䐠奁䌠啈䕙⁎䅄_x0002_搀ٱ"/>
      <sheetName val="GNHH_x0007_"/>
      <sheetName val="瑥е"/>
      <sheetName val="㑔_x0006_䌀楨呡Ե"/>
      <sheetName val="NH T9-03_x000c_"/>
      <sheetName val="MBCN "/>
      <sheetName val="L D ONG BOC "/>
      <sheetName val="ld van"/>
      <sheetName val="ld bich"/>
      <sheetName val="gc bich"/>
      <sheetName val="ld ong"/>
      <sheetName val="THU AL"/>
      <sheetName val="TM"/>
      <sheetName val="Thop"/>
      <sheetName val="cl"/>
      <sheetName val="cuoc"/>
      <sheetName val="gtkl"/>
      <sheetName val="PTDg"/>
      <sheetName val="PLkl"/>
      <sheetName val="hinhhoc"/>
      <sheetName val="DM 56"/>
      <sheetName val="_x000f_p mai 280"/>
      <sheetName val="020԰"/>
      <sheetName val="Km279-_x000b_m280"/>
      <sheetName val="_x000b_m284-Km285"/>
      <sheetName val="b.THch)tietDZCT"/>
      <sheetName val="Phu cap trach n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Phu cap trach n_x0005__x0000__x0000__x0000_"/>
      <sheetName val="bangtinh"/>
      <sheetName val="dauvao"/>
      <sheetName val="Mthep"/>
      <sheetName val="bt-TBA"/>
      <sheetName val="T.So_chung"/>
      <sheetName val="DSHD DH"/>
      <sheetName val="cÐ"/>
      <sheetName val="Cash2"/>
      <sheetName val="LD d"/>
      <sheetName val="gia nhaj cong"/>
      <sheetName val="DT-VSAT"/>
      <sheetName val="ngoai dt"/>
      <sheetName val="ngoai kvt"/>
      <sheetName val="TB"/>
      <sheetName val="XQ-SA-XN"/>
      <sheetName val="TONG NG"/>
      <sheetName val="truc"/>
      <sheetName val="DS truc"/>
      <sheetName val="DS DV"/>
      <sheetName val="doi song"/>
      <sheetName val="truyen dich"/>
      <sheetName val="sieu am"/>
      <sheetName val="dieu tiet"/>
      <sheetName val="15-02"/>
      <sheetName val="15-03"/>
      <sheetName val="2_x0000__x0000_ CK"/>
      <sheetName val="2?? CK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H18" t="e">
            <v>#REF!</v>
          </cell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  <cell r="AV18" t="e">
            <v>#REF!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  <cell r="AV24" t="e">
            <v>#REF!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  <cell r="AV28" t="e">
            <v>#REF!</v>
          </cell>
        </row>
        <row r="29">
          <cell r="AH29" t="e">
            <v>#REF!</v>
          </cell>
          <cell r="AI29" t="str">
            <v xml:space="preserve">EPOXY RESIN 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  <cell r="AV30" t="e">
            <v>#REF!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  <cell r="AV39" t="e">
            <v>#REF!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  <cell r="AV40" t="e">
            <v>#REF!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  <cell r="AV41" t="e">
            <v>#REF!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  <cell r="AV42" t="e">
            <v>#REF!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  <cell r="AU43" t="e">
            <v>#REF!</v>
          </cell>
          <cell r="AV43" t="e">
            <v>#REF!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  <cell r="AU45" t="e">
            <v>#REF!</v>
          </cell>
          <cell r="AV45" t="e">
            <v>#REF!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  <cell r="AV46" t="e">
            <v>#REF!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  <cell r="AV47" t="e">
            <v>#REF!</v>
          </cell>
        </row>
        <row r="48">
          <cell r="AH48" t="e">
            <v>#REF!</v>
          </cell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  <cell r="AU48" t="e">
            <v>#REF!</v>
          </cell>
          <cell r="AV48" t="e">
            <v>#REF!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  <cell r="AV49" t="e">
            <v>#REF!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  <cell r="AV50" t="e">
            <v>#REF!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  <cell r="AV53" t="e">
            <v>#REF!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  <cell r="AV54" t="e">
            <v>#REF!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  <cell r="AV55" t="e">
            <v>#REF!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H59" t="e">
            <v>#REF!</v>
          </cell>
          <cell r="AI59" t="str">
            <v xml:space="preserve">CHLORINATED RUBBER RESIN 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H71" t="e">
            <v>#REF!</v>
          </cell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  <cell r="AU71" t="e">
            <v>#REF!</v>
          </cell>
          <cell r="AV71" t="e">
            <v>#REF!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  <cell r="AV72" t="e">
            <v>#REF!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  <cell r="AV74" t="e">
            <v>#REF!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  <cell r="AV76" t="e">
            <v>#REF!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  <cell r="AV78" t="e">
            <v>#REF!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  <cell r="AV80" t="e">
            <v>#REF!</v>
          </cell>
        </row>
        <row r="81">
          <cell r="AH81" t="e">
            <v>#REF!</v>
          </cell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H82" t="e">
            <v>#REF!</v>
          </cell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  <cell r="AV82" t="e">
            <v>#REF!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  <cell r="AV84" t="e">
            <v>#REF!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  <cell r="AV86" t="e">
            <v>#REF!</v>
          </cell>
        </row>
        <row r="87">
          <cell r="AH87" t="e">
            <v>#REF!</v>
          </cell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  <cell r="AV87" t="e">
            <v>#REF!</v>
          </cell>
        </row>
        <row r="88"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>
            <v>640</v>
          </cell>
          <cell r="AU88">
            <v>540</v>
          </cell>
          <cell r="AV88" t="e">
            <v>#REF!</v>
          </cell>
        </row>
        <row r="89">
          <cell r="AH89" t="e">
            <v>#REF!</v>
          </cell>
          <cell r="AI89" t="str">
            <v xml:space="preserve">POLYOL POLYISOCYANATE 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  <cell r="AV93" t="e">
            <v>#REF!</v>
          </cell>
        </row>
        <row r="94">
          <cell r="AH94" t="e">
            <v>#REF!</v>
          </cell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  <cell r="AV94" t="e">
            <v>#REF!</v>
          </cell>
        </row>
        <row r="95">
          <cell r="AH95" t="e">
            <v>#REF!</v>
          </cell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  <cell r="AU95" t="e">
            <v>#REF!</v>
          </cell>
          <cell r="AV95" t="e">
            <v>#REF!</v>
          </cell>
        </row>
        <row r="96">
          <cell r="AH96" t="e">
            <v>#REF!</v>
          </cell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  <cell r="AV96" t="e">
            <v>#REF!</v>
          </cell>
        </row>
        <row r="97">
          <cell r="AH97" t="e">
            <v>#REF!</v>
          </cell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  <cell r="AV97" t="e">
            <v>#REF!</v>
          </cell>
        </row>
        <row r="98">
          <cell r="AH98" t="e">
            <v>#REF!</v>
          </cell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  <cell r="AV98" t="e">
            <v>#REF!</v>
          </cell>
        </row>
        <row r="99"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>
            <v>500</v>
          </cell>
          <cell r="AU99">
            <v>2000</v>
          </cell>
          <cell r="AV99" t="e">
            <v>#REF!</v>
          </cell>
        </row>
        <row r="100">
          <cell r="AH100" t="e">
            <v>#REF!</v>
          </cell>
          <cell r="AI100" t="str">
            <v>MASONRY &amp; ACRYLIC PAINT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AH101" t="e">
            <v>#REF!</v>
          </cell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H103" t="e">
            <v>#REF!</v>
          </cell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H105" t="e">
            <v>#REF!</v>
          </cell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>
            <v>193</v>
          </cell>
        </row>
        <row r="107">
          <cell r="AH107" t="e">
            <v>#REF!</v>
          </cell>
          <cell r="AI107" t="str">
            <v>OTHER PAINT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  <cell r="AV108" t="e">
            <v>#REF!</v>
          </cell>
        </row>
        <row r="109">
          <cell r="AH109" t="e">
            <v>#REF!</v>
          </cell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H110" t="e">
            <v>#REF!</v>
          </cell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>
        <row r="7">
          <cell r="AH7" t="str">
            <v>SP1</v>
          </cell>
        </row>
      </sheetData>
      <sheetData sheetId="2">
        <row r="7">
          <cell r="AH7" t="str">
            <v>SP1</v>
          </cell>
        </row>
      </sheetData>
      <sheetData sheetId="3">
        <row r="7">
          <cell r="AH7" t="str">
            <v>SP1</v>
          </cell>
        </row>
      </sheetData>
      <sheetData sheetId="4">
        <row r="7">
          <cell r="AH7" t="str">
            <v>SP1</v>
          </cell>
        </row>
      </sheetData>
      <sheetData sheetId="5">
        <row r="7">
          <cell r="AH7" t="str">
            <v>SP1</v>
          </cell>
        </row>
      </sheetData>
      <sheetData sheetId="6">
        <row r="7">
          <cell r="AH7" t="str">
            <v>SP1</v>
          </cell>
        </row>
      </sheetData>
      <sheetData sheetId="7">
        <row r="7">
          <cell r="AH7" t="str">
            <v>SP1</v>
          </cell>
        </row>
      </sheetData>
      <sheetData sheetId="8">
        <row r="7">
          <cell r="AH7" t="str">
            <v>SP1</v>
          </cell>
        </row>
      </sheetData>
      <sheetData sheetId="9">
        <row r="7">
          <cell r="AH7" t="str">
            <v>SP1</v>
          </cell>
        </row>
      </sheetData>
      <sheetData sheetId="10">
        <row r="7">
          <cell r="AH7" t="str">
            <v>SP1</v>
          </cell>
        </row>
      </sheetData>
      <sheetData sheetId="11">
        <row r="7">
          <cell r="AH7" t="str">
            <v>SP1</v>
          </cell>
        </row>
      </sheetData>
      <sheetData sheetId="12">
        <row r="7">
          <cell r="AH7" t="str">
            <v>SP1</v>
          </cell>
        </row>
      </sheetData>
      <sheetData sheetId="13">
        <row r="7">
          <cell r="AH7" t="str">
            <v>SP1</v>
          </cell>
        </row>
      </sheetData>
      <sheetData sheetId="14">
        <row r="7">
          <cell r="AH7" t="str">
            <v>SP1</v>
          </cell>
        </row>
      </sheetData>
      <sheetData sheetId="15">
        <row r="7">
          <cell r="AH7" t="str">
            <v>SP1</v>
          </cell>
        </row>
      </sheetData>
      <sheetData sheetId="16">
        <row r="7">
          <cell r="AH7" t="str">
            <v>SP1</v>
          </cell>
        </row>
      </sheetData>
      <sheetData sheetId="17">
        <row r="7">
          <cell r="AH7" t="str">
            <v>SP1</v>
          </cell>
        </row>
      </sheetData>
      <sheetData sheetId="18">
        <row r="7">
          <cell r="AH7" t="str">
            <v>SP1</v>
          </cell>
        </row>
      </sheetData>
      <sheetData sheetId="19">
        <row r="7">
          <cell r="AH7" t="str">
            <v>SP1</v>
          </cell>
        </row>
      </sheetData>
      <sheetData sheetId="20" refreshError="1"/>
      <sheetData sheetId="21">
        <row r="7">
          <cell r="AH7" t="str">
            <v>SP1</v>
          </cell>
        </row>
      </sheetData>
      <sheetData sheetId="22">
        <row r="7">
          <cell r="AH7" t="str">
            <v>SP1</v>
          </cell>
        </row>
      </sheetData>
      <sheetData sheetId="23">
        <row r="7">
          <cell r="AH7" t="str">
            <v>SP1</v>
          </cell>
        </row>
      </sheetData>
      <sheetData sheetId="24">
        <row r="7">
          <cell r="AH7" t="str">
            <v>SP1</v>
          </cell>
        </row>
      </sheetData>
      <sheetData sheetId="25">
        <row r="7">
          <cell r="AH7" t="str">
            <v>SP1</v>
          </cell>
        </row>
      </sheetData>
      <sheetData sheetId="26">
        <row r="7">
          <cell r="AH7" t="str">
            <v>SP1</v>
          </cell>
        </row>
      </sheetData>
      <sheetData sheetId="27">
        <row r="7">
          <cell r="AH7" t="str">
            <v>SP1</v>
          </cell>
        </row>
      </sheetData>
      <sheetData sheetId="28">
        <row r="7">
          <cell r="AH7" t="str">
            <v>SP1</v>
          </cell>
        </row>
      </sheetData>
      <sheetData sheetId="29">
        <row r="7">
          <cell r="AH7" t="str">
            <v>SP1</v>
          </cell>
        </row>
      </sheetData>
      <sheetData sheetId="30">
        <row r="7">
          <cell r="AH7" t="str">
            <v>SP1</v>
          </cell>
        </row>
      </sheetData>
      <sheetData sheetId="31">
        <row r="7">
          <cell r="AH7" t="str">
            <v>SP1</v>
          </cell>
        </row>
      </sheetData>
      <sheetData sheetId="32">
        <row r="7">
          <cell r="AH7" t="str">
            <v>SP1</v>
          </cell>
        </row>
      </sheetData>
      <sheetData sheetId="33">
        <row r="7">
          <cell r="AH7" t="str">
            <v>SP1</v>
          </cell>
        </row>
      </sheetData>
      <sheetData sheetId="34">
        <row r="7">
          <cell r="AH7" t="str">
            <v>SP1</v>
          </cell>
        </row>
      </sheetData>
      <sheetData sheetId="35">
        <row r="7">
          <cell r="AH7" t="str">
            <v>SP1</v>
          </cell>
        </row>
      </sheetData>
      <sheetData sheetId="36">
        <row r="7">
          <cell r="AH7" t="str">
            <v>SP1</v>
          </cell>
        </row>
      </sheetData>
      <sheetData sheetId="37">
        <row r="7">
          <cell r="AH7" t="str">
            <v>SP1</v>
          </cell>
        </row>
      </sheetData>
      <sheetData sheetId="38">
        <row r="7">
          <cell r="AH7" t="str">
            <v>SP1</v>
          </cell>
        </row>
      </sheetData>
      <sheetData sheetId="39">
        <row r="7">
          <cell r="AH7" t="str">
            <v>SP1</v>
          </cell>
        </row>
      </sheetData>
      <sheetData sheetId="40">
        <row r="7">
          <cell r="AH7" t="str">
            <v>SP1</v>
          </cell>
        </row>
      </sheetData>
      <sheetData sheetId="41">
        <row r="7">
          <cell r="AH7" t="str">
            <v>SP1</v>
          </cell>
        </row>
      </sheetData>
      <sheetData sheetId="42">
        <row r="7">
          <cell r="AH7" t="str">
            <v>SP1</v>
          </cell>
        </row>
      </sheetData>
      <sheetData sheetId="43">
        <row r="7">
          <cell r="AH7" t="str">
            <v>SP1</v>
          </cell>
        </row>
      </sheetData>
      <sheetData sheetId="44">
        <row r="7">
          <cell r="AH7" t="str">
            <v>SP1</v>
          </cell>
        </row>
      </sheetData>
      <sheetData sheetId="45">
        <row r="7">
          <cell r="AH7" t="str">
            <v>SP1</v>
          </cell>
        </row>
      </sheetData>
      <sheetData sheetId="46">
        <row r="7">
          <cell r="AH7" t="str">
            <v>SP1</v>
          </cell>
        </row>
      </sheetData>
      <sheetData sheetId="47">
        <row r="7">
          <cell r="AH7" t="str">
            <v>SP1</v>
          </cell>
        </row>
      </sheetData>
      <sheetData sheetId="48">
        <row r="7">
          <cell r="AH7" t="str">
            <v>SP1</v>
          </cell>
        </row>
      </sheetData>
      <sheetData sheetId="49">
        <row r="7">
          <cell r="AH7" t="str">
            <v>SP1</v>
          </cell>
        </row>
      </sheetData>
      <sheetData sheetId="50">
        <row r="7">
          <cell r="AH7" t="str">
            <v>SP1</v>
          </cell>
        </row>
      </sheetData>
      <sheetData sheetId="51">
        <row r="7">
          <cell r="AH7" t="str">
            <v>SP1</v>
          </cell>
        </row>
      </sheetData>
      <sheetData sheetId="52">
        <row r="7">
          <cell r="AH7" t="str">
            <v>SP1</v>
          </cell>
        </row>
      </sheetData>
      <sheetData sheetId="53">
        <row r="7">
          <cell r="AH7" t="str">
            <v>SP1</v>
          </cell>
        </row>
      </sheetData>
      <sheetData sheetId="54">
        <row r="7">
          <cell r="AH7" t="str">
            <v>SP1</v>
          </cell>
        </row>
      </sheetData>
      <sheetData sheetId="55">
        <row r="7">
          <cell r="AH7" t="str">
            <v>SP1</v>
          </cell>
        </row>
      </sheetData>
      <sheetData sheetId="56">
        <row r="7">
          <cell r="AH7" t="str">
            <v>SP1</v>
          </cell>
        </row>
      </sheetData>
      <sheetData sheetId="57">
        <row r="7">
          <cell r="AH7" t="str">
            <v>SP1</v>
          </cell>
        </row>
      </sheetData>
      <sheetData sheetId="58">
        <row r="7">
          <cell r="AH7" t="str">
            <v>SP1</v>
          </cell>
        </row>
      </sheetData>
      <sheetData sheetId="59">
        <row r="7">
          <cell r="AH7" t="str">
            <v>SP1</v>
          </cell>
        </row>
      </sheetData>
      <sheetData sheetId="60">
        <row r="7">
          <cell r="AH7" t="str">
            <v>SP1</v>
          </cell>
        </row>
      </sheetData>
      <sheetData sheetId="61">
        <row r="7">
          <cell r="AH7" t="str">
            <v>SP1</v>
          </cell>
        </row>
      </sheetData>
      <sheetData sheetId="62">
        <row r="7">
          <cell r="AH7" t="str">
            <v>SP1</v>
          </cell>
        </row>
      </sheetData>
      <sheetData sheetId="63">
        <row r="7">
          <cell r="AH7" t="str">
            <v>SP1</v>
          </cell>
        </row>
      </sheetData>
      <sheetData sheetId="64">
        <row r="7">
          <cell r="AH7" t="str">
            <v>SP1</v>
          </cell>
        </row>
      </sheetData>
      <sheetData sheetId="65">
        <row r="7">
          <cell r="AH7" t="str">
            <v>SP1</v>
          </cell>
        </row>
      </sheetData>
      <sheetData sheetId="66">
        <row r="7">
          <cell r="AH7" t="str">
            <v>SP1</v>
          </cell>
        </row>
      </sheetData>
      <sheetData sheetId="67">
        <row r="7">
          <cell r="AH7" t="str">
            <v>SP1</v>
          </cell>
        </row>
      </sheetData>
      <sheetData sheetId="68">
        <row r="7">
          <cell r="AH7" t="str">
            <v>SP1</v>
          </cell>
        </row>
      </sheetData>
      <sheetData sheetId="69">
        <row r="7">
          <cell r="AH7" t="str">
            <v>SP1</v>
          </cell>
        </row>
      </sheetData>
      <sheetData sheetId="70">
        <row r="7">
          <cell r="AH7" t="str">
            <v>SP1</v>
          </cell>
        </row>
      </sheetData>
      <sheetData sheetId="71">
        <row r="7">
          <cell r="AH7" t="str">
            <v>SP1</v>
          </cell>
        </row>
      </sheetData>
      <sheetData sheetId="72">
        <row r="7">
          <cell r="AH7" t="str">
            <v>SP1</v>
          </cell>
        </row>
      </sheetData>
      <sheetData sheetId="73">
        <row r="7">
          <cell r="AH7" t="str">
            <v>SP1</v>
          </cell>
        </row>
      </sheetData>
      <sheetData sheetId="74">
        <row r="7">
          <cell r="AH7" t="str">
            <v>SP1</v>
          </cell>
        </row>
      </sheetData>
      <sheetData sheetId="75">
        <row r="7">
          <cell r="AH7" t="str">
            <v>SP1</v>
          </cell>
        </row>
      </sheetData>
      <sheetData sheetId="76">
        <row r="7">
          <cell r="AH7" t="str">
            <v>SP1</v>
          </cell>
        </row>
      </sheetData>
      <sheetData sheetId="77">
        <row r="7">
          <cell r="AH7" t="str">
            <v>SP1</v>
          </cell>
        </row>
      </sheetData>
      <sheetData sheetId="78">
        <row r="7">
          <cell r="AH7" t="str">
            <v>SP1</v>
          </cell>
        </row>
      </sheetData>
      <sheetData sheetId="79">
        <row r="7">
          <cell r="AH7" t="str">
            <v>SP1</v>
          </cell>
        </row>
      </sheetData>
      <sheetData sheetId="80">
        <row r="7">
          <cell r="AH7" t="str">
            <v>SP1</v>
          </cell>
        </row>
      </sheetData>
      <sheetData sheetId="81">
        <row r="7">
          <cell r="AH7" t="str">
            <v>SP1</v>
          </cell>
        </row>
      </sheetData>
      <sheetData sheetId="82">
        <row r="7">
          <cell r="AH7" t="str">
            <v>SP1</v>
          </cell>
        </row>
      </sheetData>
      <sheetData sheetId="83">
        <row r="7">
          <cell r="AH7" t="str">
            <v>SP1</v>
          </cell>
        </row>
      </sheetData>
      <sheetData sheetId="84">
        <row r="7">
          <cell r="AH7" t="str">
            <v>SP1</v>
          </cell>
        </row>
      </sheetData>
      <sheetData sheetId="85">
        <row r="7">
          <cell r="AH7" t="str">
            <v>SP1</v>
          </cell>
        </row>
      </sheetData>
      <sheetData sheetId="86">
        <row r="7">
          <cell r="AH7" t="str">
            <v>SP1</v>
          </cell>
        </row>
      </sheetData>
      <sheetData sheetId="87">
        <row r="7">
          <cell r="AH7" t="str">
            <v>SP1</v>
          </cell>
        </row>
      </sheetData>
      <sheetData sheetId="88">
        <row r="7">
          <cell r="AH7" t="str">
            <v>SP1</v>
          </cell>
        </row>
      </sheetData>
      <sheetData sheetId="89">
        <row r="7">
          <cell r="AH7" t="str">
            <v>SP1</v>
          </cell>
        </row>
      </sheetData>
      <sheetData sheetId="90">
        <row r="7">
          <cell r="AH7" t="str">
            <v>SP1</v>
          </cell>
        </row>
      </sheetData>
      <sheetData sheetId="91">
        <row r="7">
          <cell r="AH7" t="str">
            <v>SP1</v>
          </cell>
        </row>
      </sheetData>
      <sheetData sheetId="92">
        <row r="7">
          <cell r="AH7" t="str">
            <v>SP1</v>
          </cell>
        </row>
      </sheetData>
      <sheetData sheetId="93">
        <row r="7">
          <cell r="AH7" t="str">
            <v>SP1</v>
          </cell>
        </row>
      </sheetData>
      <sheetData sheetId="94">
        <row r="7">
          <cell r="AH7" t="str">
            <v>SP1</v>
          </cell>
        </row>
      </sheetData>
      <sheetData sheetId="95">
        <row r="7">
          <cell r="AH7" t="str">
            <v>SP1</v>
          </cell>
        </row>
      </sheetData>
      <sheetData sheetId="96">
        <row r="7">
          <cell r="AH7" t="str">
            <v>SP1</v>
          </cell>
        </row>
      </sheetData>
      <sheetData sheetId="97">
        <row r="7">
          <cell r="AH7" t="str">
            <v>SP1</v>
          </cell>
        </row>
      </sheetData>
      <sheetData sheetId="98">
        <row r="7">
          <cell r="AH7" t="str">
            <v>SP1</v>
          </cell>
        </row>
      </sheetData>
      <sheetData sheetId="99">
        <row r="7">
          <cell r="AH7" t="str">
            <v>SP1</v>
          </cell>
        </row>
      </sheetData>
      <sheetData sheetId="100">
        <row r="7">
          <cell r="AH7" t="str">
            <v>SP1</v>
          </cell>
        </row>
      </sheetData>
      <sheetData sheetId="101">
        <row r="7">
          <cell r="AH7" t="str">
            <v>SP1</v>
          </cell>
        </row>
      </sheetData>
      <sheetData sheetId="102">
        <row r="7">
          <cell r="AH7" t="str">
            <v>SP1</v>
          </cell>
        </row>
      </sheetData>
      <sheetData sheetId="103">
        <row r="7">
          <cell r="AH7" t="str">
            <v>SP1</v>
          </cell>
        </row>
      </sheetData>
      <sheetData sheetId="104">
        <row r="7">
          <cell r="AH7" t="str">
            <v>SP1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>
        <row r="7">
          <cell r="AH7" t="str">
            <v>SP1</v>
          </cell>
        </row>
      </sheetData>
      <sheetData sheetId="117">
        <row r="7">
          <cell r="AH7" t="str">
            <v>SP1</v>
          </cell>
        </row>
      </sheetData>
      <sheetData sheetId="118">
        <row r="7">
          <cell r="AH7" t="str">
            <v>SP1</v>
          </cell>
        </row>
      </sheetData>
      <sheetData sheetId="119">
        <row r="7">
          <cell r="AH7" t="str">
            <v>SP1</v>
          </cell>
        </row>
      </sheetData>
      <sheetData sheetId="120">
        <row r="7">
          <cell r="AH7" t="str">
            <v>SP1</v>
          </cell>
        </row>
      </sheetData>
      <sheetData sheetId="121">
        <row r="7">
          <cell r="AH7" t="str">
            <v>SP1</v>
          </cell>
        </row>
      </sheetData>
      <sheetData sheetId="122">
        <row r="7">
          <cell r="AH7" t="str">
            <v>SP1</v>
          </cell>
        </row>
      </sheetData>
      <sheetData sheetId="123">
        <row r="7">
          <cell r="AH7" t="str">
            <v>SP1</v>
          </cell>
        </row>
      </sheetData>
      <sheetData sheetId="124">
        <row r="7">
          <cell r="AH7" t="str">
            <v>SP1</v>
          </cell>
        </row>
      </sheetData>
      <sheetData sheetId="125">
        <row r="7">
          <cell r="AH7" t="str">
            <v>SP1</v>
          </cell>
        </row>
      </sheetData>
      <sheetData sheetId="126">
        <row r="7">
          <cell r="AH7" t="str">
            <v>SP1</v>
          </cell>
        </row>
      </sheetData>
      <sheetData sheetId="127">
        <row r="7">
          <cell r="AH7" t="str">
            <v>SP1</v>
          </cell>
        </row>
      </sheetData>
      <sheetData sheetId="128">
        <row r="7">
          <cell r="AH7" t="str">
            <v>SP1</v>
          </cell>
        </row>
      </sheetData>
      <sheetData sheetId="129">
        <row r="7">
          <cell r="AH7" t="str">
            <v>SP1</v>
          </cell>
        </row>
      </sheetData>
      <sheetData sheetId="130">
        <row r="7">
          <cell r="AH7" t="str">
            <v>SP1</v>
          </cell>
        </row>
      </sheetData>
      <sheetData sheetId="131">
        <row r="7">
          <cell r="AH7" t="str">
            <v>SP1</v>
          </cell>
        </row>
      </sheetData>
      <sheetData sheetId="132">
        <row r="7">
          <cell r="AH7" t="str">
            <v>SP1</v>
          </cell>
        </row>
      </sheetData>
      <sheetData sheetId="133">
        <row r="7">
          <cell r="AH7" t="str">
            <v>SP1</v>
          </cell>
        </row>
      </sheetData>
      <sheetData sheetId="134">
        <row r="7">
          <cell r="AH7" t="str">
            <v>SP1</v>
          </cell>
        </row>
      </sheetData>
      <sheetData sheetId="135">
        <row r="7">
          <cell r="AH7" t="str">
            <v>SP1</v>
          </cell>
        </row>
      </sheetData>
      <sheetData sheetId="136">
        <row r="7">
          <cell r="AH7" t="str">
            <v>SP1</v>
          </cell>
        </row>
      </sheetData>
      <sheetData sheetId="137">
        <row r="7">
          <cell r="AH7" t="str">
            <v>SP1</v>
          </cell>
        </row>
      </sheetData>
      <sheetData sheetId="138">
        <row r="7">
          <cell r="AI7">
            <v>10000</v>
          </cell>
        </row>
      </sheetData>
      <sheetData sheetId="139">
        <row r="7">
          <cell r="AI7">
            <v>10000</v>
          </cell>
        </row>
      </sheetData>
      <sheetData sheetId="140">
        <row r="7">
          <cell r="AH7" t="str">
            <v>SP1</v>
          </cell>
        </row>
      </sheetData>
      <sheetData sheetId="141">
        <row r="7">
          <cell r="AH7" t="str">
            <v>SP1</v>
          </cell>
        </row>
      </sheetData>
      <sheetData sheetId="142">
        <row r="7">
          <cell r="AH7" t="str">
            <v>SP1</v>
          </cell>
        </row>
      </sheetData>
      <sheetData sheetId="143">
        <row r="7">
          <cell r="AH7" t="str">
            <v>SP1</v>
          </cell>
        </row>
      </sheetData>
      <sheetData sheetId="144">
        <row r="7">
          <cell r="AH7" t="str">
            <v>SP1</v>
          </cell>
        </row>
      </sheetData>
      <sheetData sheetId="145">
        <row r="7">
          <cell r="AH7" t="str">
            <v>SP1</v>
          </cell>
        </row>
      </sheetData>
      <sheetData sheetId="146">
        <row r="7">
          <cell r="AH7" t="str">
            <v>SP1</v>
          </cell>
        </row>
      </sheetData>
      <sheetData sheetId="147">
        <row r="7">
          <cell r="AH7" t="str">
            <v>SP1</v>
          </cell>
        </row>
      </sheetData>
      <sheetData sheetId="148">
        <row r="7">
          <cell r="AH7" t="str">
            <v>SP1</v>
          </cell>
        </row>
      </sheetData>
      <sheetData sheetId="149">
        <row r="7">
          <cell r="AH7" t="str">
            <v>SP1</v>
          </cell>
        </row>
      </sheetData>
      <sheetData sheetId="150">
        <row r="7">
          <cell r="AH7" t="str">
            <v>SP1</v>
          </cell>
        </row>
      </sheetData>
      <sheetData sheetId="151">
        <row r="7">
          <cell r="AH7" t="str">
            <v>SP1</v>
          </cell>
        </row>
      </sheetData>
      <sheetData sheetId="152">
        <row r="7">
          <cell r="AH7" t="str">
            <v>SP1</v>
          </cell>
        </row>
      </sheetData>
      <sheetData sheetId="153">
        <row r="7">
          <cell r="AH7" t="str">
            <v>SP1</v>
          </cell>
        </row>
      </sheetData>
      <sheetData sheetId="154">
        <row r="7">
          <cell r="AH7" t="str">
            <v>SP1</v>
          </cell>
        </row>
      </sheetData>
      <sheetData sheetId="155">
        <row r="7">
          <cell r="AH7" t="str">
            <v>SP1</v>
          </cell>
        </row>
      </sheetData>
      <sheetData sheetId="156">
        <row r="7">
          <cell r="AH7" t="str">
            <v>SP1</v>
          </cell>
        </row>
      </sheetData>
      <sheetData sheetId="157">
        <row r="7">
          <cell r="AH7" t="str">
            <v>SP1</v>
          </cell>
        </row>
      </sheetData>
      <sheetData sheetId="158">
        <row r="7">
          <cell r="AH7" t="str">
            <v>SP1</v>
          </cell>
        </row>
      </sheetData>
      <sheetData sheetId="159">
        <row r="7">
          <cell r="AH7" t="str">
            <v>SP1</v>
          </cell>
        </row>
      </sheetData>
      <sheetData sheetId="160">
        <row r="7">
          <cell r="AH7" t="str">
            <v>SP1</v>
          </cell>
        </row>
      </sheetData>
      <sheetData sheetId="161">
        <row r="7">
          <cell r="AH7" t="str">
            <v>SP1</v>
          </cell>
        </row>
      </sheetData>
      <sheetData sheetId="162">
        <row r="7">
          <cell r="AH7" t="str">
            <v>SP1</v>
          </cell>
        </row>
      </sheetData>
      <sheetData sheetId="163">
        <row r="7">
          <cell r="AH7" t="str">
            <v>SP1</v>
          </cell>
        </row>
      </sheetData>
      <sheetData sheetId="164">
        <row r="7">
          <cell r="AH7" t="str">
            <v>SP1</v>
          </cell>
        </row>
      </sheetData>
      <sheetData sheetId="165">
        <row r="7">
          <cell r="AH7" t="str">
            <v>SP1</v>
          </cell>
        </row>
      </sheetData>
      <sheetData sheetId="166">
        <row r="7">
          <cell r="AH7" t="str">
            <v>SP1</v>
          </cell>
        </row>
      </sheetData>
      <sheetData sheetId="167">
        <row r="7">
          <cell r="AH7" t="str">
            <v>SP1</v>
          </cell>
        </row>
      </sheetData>
      <sheetData sheetId="168">
        <row r="7">
          <cell r="AH7" t="str">
            <v>SP1</v>
          </cell>
        </row>
      </sheetData>
      <sheetData sheetId="169">
        <row r="7">
          <cell r="AH7" t="str">
            <v>SP1</v>
          </cell>
        </row>
      </sheetData>
      <sheetData sheetId="170">
        <row r="7">
          <cell r="AH7" t="str">
            <v>SP1</v>
          </cell>
        </row>
      </sheetData>
      <sheetData sheetId="171">
        <row r="7">
          <cell r="AH7" t="str">
            <v>SP1</v>
          </cell>
        </row>
      </sheetData>
      <sheetData sheetId="172">
        <row r="7">
          <cell r="AH7" t="str">
            <v>SP1</v>
          </cell>
        </row>
      </sheetData>
      <sheetData sheetId="173">
        <row r="7">
          <cell r="AH7" t="str">
            <v>SP1</v>
          </cell>
        </row>
      </sheetData>
      <sheetData sheetId="174">
        <row r="7">
          <cell r="AH7" t="str">
            <v>SP1</v>
          </cell>
        </row>
      </sheetData>
      <sheetData sheetId="175">
        <row r="7">
          <cell r="AH7" t="str">
            <v>SP1</v>
          </cell>
        </row>
      </sheetData>
      <sheetData sheetId="176">
        <row r="7">
          <cell r="AH7" t="str">
            <v>SP1</v>
          </cell>
        </row>
      </sheetData>
      <sheetData sheetId="177">
        <row r="7">
          <cell r="AH7" t="str">
            <v>SP1</v>
          </cell>
        </row>
      </sheetData>
      <sheetData sheetId="178">
        <row r="7">
          <cell r="AH7" t="str">
            <v>SP1</v>
          </cell>
        </row>
      </sheetData>
      <sheetData sheetId="179">
        <row r="7">
          <cell r="AH7" t="str">
            <v>SP1</v>
          </cell>
        </row>
      </sheetData>
      <sheetData sheetId="180">
        <row r="7">
          <cell r="AH7" t="str">
            <v>SP1</v>
          </cell>
        </row>
      </sheetData>
      <sheetData sheetId="181">
        <row r="7">
          <cell r="AH7" t="str">
            <v>SP1</v>
          </cell>
        </row>
      </sheetData>
      <sheetData sheetId="182">
        <row r="7">
          <cell r="AH7" t="str">
            <v>SP1</v>
          </cell>
        </row>
      </sheetData>
      <sheetData sheetId="183">
        <row r="7">
          <cell r="AH7" t="str">
            <v>SP1</v>
          </cell>
        </row>
      </sheetData>
      <sheetData sheetId="184">
        <row r="7">
          <cell r="AH7" t="str">
            <v>SP1</v>
          </cell>
        </row>
      </sheetData>
      <sheetData sheetId="185">
        <row r="7">
          <cell r="AI7">
            <v>10000</v>
          </cell>
        </row>
      </sheetData>
      <sheetData sheetId="186">
        <row r="7">
          <cell r="AI7">
            <v>10000</v>
          </cell>
        </row>
      </sheetData>
      <sheetData sheetId="187">
        <row r="7">
          <cell r="AI7">
            <v>10000</v>
          </cell>
        </row>
      </sheetData>
      <sheetData sheetId="188">
        <row r="7">
          <cell r="AI7">
            <v>10000</v>
          </cell>
        </row>
      </sheetData>
      <sheetData sheetId="189">
        <row r="7">
          <cell r="AI7">
            <v>10000</v>
          </cell>
        </row>
      </sheetData>
      <sheetData sheetId="190">
        <row r="7">
          <cell r="AI7">
            <v>10000</v>
          </cell>
        </row>
      </sheetData>
      <sheetData sheetId="191">
        <row r="7">
          <cell r="AI7">
            <v>10000</v>
          </cell>
        </row>
      </sheetData>
      <sheetData sheetId="192">
        <row r="7">
          <cell r="AI7">
            <v>10000</v>
          </cell>
        </row>
      </sheetData>
      <sheetData sheetId="193">
        <row r="7">
          <cell r="AI7">
            <v>10000</v>
          </cell>
        </row>
      </sheetData>
      <sheetData sheetId="194">
        <row r="7">
          <cell r="AI7">
            <v>10000</v>
          </cell>
        </row>
      </sheetData>
      <sheetData sheetId="195">
        <row r="7">
          <cell r="AI7">
            <v>10000</v>
          </cell>
        </row>
      </sheetData>
      <sheetData sheetId="196">
        <row r="7">
          <cell r="AH7" t="str">
            <v>SP1</v>
          </cell>
        </row>
      </sheetData>
      <sheetData sheetId="197">
        <row r="7">
          <cell r="AH7" t="str">
            <v>SP1</v>
          </cell>
        </row>
      </sheetData>
      <sheetData sheetId="198">
        <row r="7">
          <cell r="AH7" t="str">
            <v>SP1</v>
          </cell>
        </row>
      </sheetData>
      <sheetData sheetId="199">
        <row r="7">
          <cell r="AH7" t="str">
            <v>SP1</v>
          </cell>
        </row>
      </sheetData>
      <sheetData sheetId="200">
        <row r="7">
          <cell r="AH7" t="str">
            <v>SP1</v>
          </cell>
        </row>
      </sheetData>
      <sheetData sheetId="201">
        <row r="7">
          <cell r="AH7" t="str">
            <v>SP1</v>
          </cell>
        </row>
      </sheetData>
      <sheetData sheetId="202">
        <row r="7">
          <cell r="AH7" t="str">
            <v>SP1</v>
          </cell>
        </row>
      </sheetData>
      <sheetData sheetId="203">
        <row r="7">
          <cell r="AH7" t="str">
            <v>SP1</v>
          </cell>
        </row>
      </sheetData>
      <sheetData sheetId="204">
        <row r="7">
          <cell r="AH7" t="str">
            <v>SP1</v>
          </cell>
        </row>
      </sheetData>
      <sheetData sheetId="205">
        <row r="7">
          <cell r="AH7" t="str">
            <v>SP1</v>
          </cell>
        </row>
      </sheetData>
      <sheetData sheetId="206">
        <row r="7">
          <cell r="AH7" t="str">
            <v>SP1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7">
          <cell r="AH7" t="str">
            <v>SP1</v>
          </cell>
        </row>
      </sheetData>
      <sheetData sheetId="214">
        <row r="7">
          <cell r="AH7" t="str">
            <v>SP1</v>
          </cell>
        </row>
      </sheetData>
      <sheetData sheetId="215">
        <row r="7">
          <cell r="AH7" t="str">
            <v>SP1</v>
          </cell>
        </row>
      </sheetData>
      <sheetData sheetId="216">
        <row r="7">
          <cell r="AI7">
            <v>10000</v>
          </cell>
        </row>
      </sheetData>
      <sheetData sheetId="217">
        <row r="7">
          <cell r="AI7">
            <v>10000</v>
          </cell>
        </row>
      </sheetData>
      <sheetData sheetId="218">
        <row r="7">
          <cell r="AH7" t="str">
            <v>SP1</v>
          </cell>
        </row>
      </sheetData>
      <sheetData sheetId="219">
        <row r="7">
          <cell r="AH7" t="str">
            <v>SP1</v>
          </cell>
        </row>
      </sheetData>
      <sheetData sheetId="220" refreshError="1"/>
      <sheetData sheetId="221">
        <row r="7">
          <cell r="AH7" t="str">
            <v>SP1</v>
          </cell>
        </row>
      </sheetData>
      <sheetData sheetId="222">
        <row r="7">
          <cell r="AH7" t="str">
            <v>SP1</v>
          </cell>
        </row>
      </sheetData>
      <sheetData sheetId="223">
        <row r="7">
          <cell r="AH7" t="str">
            <v>SP1</v>
          </cell>
        </row>
      </sheetData>
      <sheetData sheetId="224">
        <row r="7">
          <cell r="AH7" t="str">
            <v>SP1</v>
          </cell>
        </row>
      </sheetData>
      <sheetData sheetId="225">
        <row r="7">
          <cell r="AH7" t="str">
            <v>SP1</v>
          </cell>
        </row>
      </sheetData>
      <sheetData sheetId="226">
        <row r="7">
          <cell r="AH7" t="str">
            <v>SP1</v>
          </cell>
        </row>
      </sheetData>
      <sheetData sheetId="227">
        <row r="7">
          <cell r="AH7" t="str">
            <v>SP1</v>
          </cell>
        </row>
      </sheetData>
      <sheetData sheetId="228">
        <row r="7">
          <cell r="AH7" t="str">
            <v>SP1</v>
          </cell>
        </row>
      </sheetData>
      <sheetData sheetId="229">
        <row r="7">
          <cell r="AH7" t="str">
            <v>SP1</v>
          </cell>
        </row>
      </sheetData>
      <sheetData sheetId="230">
        <row r="7">
          <cell r="AH7" t="str">
            <v>SP1</v>
          </cell>
        </row>
      </sheetData>
      <sheetData sheetId="231">
        <row r="7">
          <cell r="AH7" t="str">
            <v>SP1</v>
          </cell>
        </row>
      </sheetData>
      <sheetData sheetId="232">
        <row r="7">
          <cell r="AH7" t="str">
            <v>SP1</v>
          </cell>
        </row>
      </sheetData>
      <sheetData sheetId="233">
        <row r="7">
          <cell r="AH7" t="str">
            <v>SP1</v>
          </cell>
        </row>
      </sheetData>
      <sheetData sheetId="234">
        <row r="7">
          <cell r="AH7" t="str">
            <v>SP1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I7">
            <v>10000</v>
          </cell>
        </row>
      </sheetData>
      <sheetData sheetId="245">
        <row r="7">
          <cell r="AH7" t="str">
            <v>SP1</v>
          </cell>
        </row>
      </sheetData>
      <sheetData sheetId="246">
        <row r="7">
          <cell r="AH7" t="str">
            <v>SP1</v>
          </cell>
        </row>
      </sheetData>
      <sheetData sheetId="247">
        <row r="7">
          <cell r="AH7" t="str">
            <v>SP1</v>
          </cell>
        </row>
      </sheetData>
      <sheetData sheetId="248">
        <row r="7">
          <cell r="AH7" t="str">
            <v>SP1</v>
          </cell>
        </row>
      </sheetData>
      <sheetData sheetId="249">
        <row r="7">
          <cell r="AH7" t="str">
            <v>SP1</v>
          </cell>
        </row>
      </sheetData>
      <sheetData sheetId="250">
        <row r="7">
          <cell r="AH7" t="str">
            <v>SP1</v>
          </cell>
        </row>
      </sheetData>
      <sheetData sheetId="251">
        <row r="7">
          <cell r="AH7" t="str">
            <v>SP1</v>
          </cell>
        </row>
      </sheetData>
      <sheetData sheetId="252">
        <row r="7">
          <cell r="AH7" t="str">
            <v>SP1</v>
          </cell>
        </row>
      </sheetData>
      <sheetData sheetId="253">
        <row r="7">
          <cell r="AH7" t="str">
            <v>SP1</v>
          </cell>
        </row>
      </sheetData>
      <sheetData sheetId="254">
        <row r="7">
          <cell r="AH7" t="str">
            <v>SP1</v>
          </cell>
        </row>
      </sheetData>
      <sheetData sheetId="255">
        <row r="7">
          <cell r="AH7" t="str">
            <v>SP1</v>
          </cell>
        </row>
      </sheetData>
      <sheetData sheetId="256">
        <row r="7">
          <cell r="AH7" t="str">
            <v>SP1</v>
          </cell>
        </row>
      </sheetData>
      <sheetData sheetId="257">
        <row r="7">
          <cell r="AH7" t="str">
            <v>SP1</v>
          </cell>
        </row>
      </sheetData>
      <sheetData sheetId="258">
        <row r="7">
          <cell r="AH7" t="str">
            <v>SP1</v>
          </cell>
        </row>
      </sheetData>
      <sheetData sheetId="259">
        <row r="7">
          <cell r="AH7" t="str">
            <v>SP1</v>
          </cell>
        </row>
      </sheetData>
      <sheetData sheetId="260">
        <row r="7">
          <cell r="AH7" t="str">
            <v>SP1</v>
          </cell>
        </row>
      </sheetData>
      <sheetData sheetId="261">
        <row r="7">
          <cell r="AH7" t="str">
            <v>SP1</v>
          </cell>
        </row>
      </sheetData>
      <sheetData sheetId="262">
        <row r="7">
          <cell r="AH7" t="str">
            <v>SP1</v>
          </cell>
        </row>
      </sheetData>
      <sheetData sheetId="263">
        <row r="7">
          <cell r="AH7" t="str">
            <v>SP1</v>
          </cell>
        </row>
      </sheetData>
      <sheetData sheetId="264">
        <row r="7">
          <cell r="AH7" t="str">
            <v>SP1</v>
          </cell>
        </row>
      </sheetData>
      <sheetData sheetId="265">
        <row r="7">
          <cell r="AH7" t="str">
            <v>SP1</v>
          </cell>
        </row>
      </sheetData>
      <sheetData sheetId="266">
        <row r="7">
          <cell r="AH7" t="str">
            <v>SP1</v>
          </cell>
        </row>
      </sheetData>
      <sheetData sheetId="267">
        <row r="7">
          <cell r="AH7" t="str">
            <v>SP1</v>
          </cell>
        </row>
      </sheetData>
      <sheetData sheetId="268">
        <row r="7">
          <cell r="AH7" t="str">
            <v>SP1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7">
          <cell r="AH7" t="str">
            <v>SP1</v>
          </cell>
        </row>
      </sheetData>
      <sheetData sheetId="313">
        <row r="7">
          <cell r="AH7" t="str">
            <v>SP1</v>
          </cell>
        </row>
      </sheetData>
      <sheetData sheetId="314">
        <row r="7">
          <cell r="AH7" t="str">
            <v>SP1</v>
          </cell>
        </row>
      </sheetData>
      <sheetData sheetId="315">
        <row r="7">
          <cell r="AH7" t="str">
            <v>SP1</v>
          </cell>
        </row>
      </sheetData>
      <sheetData sheetId="316">
        <row r="7">
          <cell r="AH7" t="str">
            <v>SP1</v>
          </cell>
        </row>
      </sheetData>
      <sheetData sheetId="317">
        <row r="7">
          <cell r="AH7" t="str">
            <v>SP1</v>
          </cell>
        </row>
      </sheetData>
      <sheetData sheetId="318">
        <row r="7">
          <cell r="AH7" t="str">
            <v>SP1</v>
          </cell>
        </row>
      </sheetData>
      <sheetData sheetId="319">
        <row r="7">
          <cell r="AH7" t="str">
            <v>SP1</v>
          </cell>
        </row>
      </sheetData>
      <sheetData sheetId="320">
        <row r="7">
          <cell r="AH7" t="str">
            <v>SP1</v>
          </cell>
        </row>
      </sheetData>
      <sheetData sheetId="321">
        <row r="7">
          <cell r="AH7" t="str">
            <v>SP1</v>
          </cell>
        </row>
      </sheetData>
      <sheetData sheetId="322">
        <row r="7">
          <cell r="AH7" t="str">
            <v>SP1</v>
          </cell>
        </row>
      </sheetData>
      <sheetData sheetId="323">
        <row r="7">
          <cell r="AH7" t="str">
            <v>SP1</v>
          </cell>
        </row>
      </sheetData>
      <sheetData sheetId="324">
        <row r="7">
          <cell r="AH7" t="str">
            <v>SP1</v>
          </cell>
        </row>
      </sheetData>
      <sheetData sheetId="325">
        <row r="7">
          <cell r="AH7" t="str">
            <v>SP1</v>
          </cell>
        </row>
      </sheetData>
      <sheetData sheetId="326">
        <row r="7">
          <cell r="AH7" t="str">
            <v>SP1</v>
          </cell>
        </row>
      </sheetData>
      <sheetData sheetId="327">
        <row r="7">
          <cell r="AH7" t="str">
            <v>SP1</v>
          </cell>
        </row>
      </sheetData>
      <sheetData sheetId="328">
        <row r="7">
          <cell r="AI7">
            <v>10000</v>
          </cell>
        </row>
      </sheetData>
      <sheetData sheetId="329">
        <row r="7">
          <cell r="AI7">
            <v>10000</v>
          </cell>
        </row>
      </sheetData>
      <sheetData sheetId="330">
        <row r="7">
          <cell r="AI7">
            <v>10000</v>
          </cell>
        </row>
      </sheetData>
      <sheetData sheetId="331">
        <row r="7">
          <cell r="AI7">
            <v>10000</v>
          </cell>
        </row>
      </sheetData>
      <sheetData sheetId="332">
        <row r="7">
          <cell r="AI7">
            <v>10000</v>
          </cell>
        </row>
      </sheetData>
      <sheetData sheetId="333">
        <row r="7">
          <cell r="AH7" t="str">
            <v>SP1</v>
          </cell>
        </row>
      </sheetData>
      <sheetData sheetId="334">
        <row r="7">
          <cell r="AH7" t="str">
            <v>SP1</v>
          </cell>
        </row>
      </sheetData>
      <sheetData sheetId="335">
        <row r="7">
          <cell r="AH7" t="str">
            <v>SP1</v>
          </cell>
        </row>
      </sheetData>
      <sheetData sheetId="336">
        <row r="7">
          <cell r="AH7" t="str">
            <v>SP1</v>
          </cell>
        </row>
      </sheetData>
      <sheetData sheetId="337">
        <row r="7">
          <cell r="AH7" t="str">
            <v>SP1</v>
          </cell>
        </row>
      </sheetData>
      <sheetData sheetId="338">
        <row r="7">
          <cell r="AH7" t="str">
            <v>SP1</v>
          </cell>
        </row>
      </sheetData>
      <sheetData sheetId="339">
        <row r="7">
          <cell r="AH7" t="str">
            <v>SP1</v>
          </cell>
        </row>
      </sheetData>
      <sheetData sheetId="340">
        <row r="7">
          <cell r="AH7" t="str">
            <v>SP1</v>
          </cell>
        </row>
      </sheetData>
      <sheetData sheetId="341">
        <row r="7">
          <cell r="AH7" t="str">
            <v>SP1</v>
          </cell>
        </row>
      </sheetData>
      <sheetData sheetId="342">
        <row r="7">
          <cell r="AH7" t="str">
            <v>SP1</v>
          </cell>
        </row>
      </sheetData>
      <sheetData sheetId="343">
        <row r="7">
          <cell r="AH7" t="str">
            <v>SP1</v>
          </cell>
        </row>
      </sheetData>
      <sheetData sheetId="344">
        <row r="7">
          <cell r="AH7" t="str">
            <v>SP1</v>
          </cell>
        </row>
      </sheetData>
      <sheetData sheetId="345">
        <row r="7">
          <cell r="AH7" t="str">
            <v>SP1</v>
          </cell>
        </row>
      </sheetData>
      <sheetData sheetId="346">
        <row r="7">
          <cell r="AH7" t="str">
            <v>SP1</v>
          </cell>
        </row>
      </sheetData>
      <sheetData sheetId="347">
        <row r="7">
          <cell r="AH7" t="str">
            <v>SP1</v>
          </cell>
        </row>
      </sheetData>
      <sheetData sheetId="348">
        <row r="7">
          <cell r="AH7" t="str">
            <v>SP1</v>
          </cell>
        </row>
      </sheetData>
      <sheetData sheetId="349">
        <row r="7">
          <cell r="AH7" t="str">
            <v>SP1</v>
          </cell>
        </row>
      </sheetData>
      <sheetData sheetId="350">
        <row r="7">
          <cell r="AH7" t="str">
            <v>SP1</v>
          </cell>
        </row>
      </sheetData>
      <sheetData sheetId="351">
        <row r="7">
          <cell r="AH7" t="str">
            <v>SP1</v>
          </cell>
        </row>
      </sheetData>
      <sheetData sheetId="352">
        <row r="7">
          <cell r="AH7" t="str">
            <v>SP1</v>
          </cell>
        </row>
      </sheetData>
      <sheetData sheetId="353">
        <row r="7">
          <cell r="AH7" t="str">
            <v>SP1</v>
          </cell>
        </row>
      </sheetData>
      <sheetData sheetId="354">
        <row r="7">
          <cell r="AH7" t="str">
            <v>SP1</v>
          </cell>
        </row>
      </sheetData>
      <sheetData sheetId="355">
        <row r="7">
          <cell r="AH7" t="str">
            <v>SP1</v>
          </cell>
        </row>
      </sheetData>
      <sheetData sheetId="356">
        <row r="7">
          <cell r="AH7" t="str">
            <v>SP1</v>
          </cell>
        </row>
      </sheetData>
      <sheetData sheetId="357">
        <row r="7">
          <cell r="AH7" t="str">
            <v>SP1</v>
          </cell>
        </row>
      </sheetData>
      <sheetData sheetId="358">
        <row r="7">
          <cell r="AH7" t="str">
            <v>SP1</v>
          </cell>
        </row>
      </sheetData>
      <sheetData sheetId="359">
        <row r="7">
          <cell r="AH7" t="str">
            <v>SP1</v>
          </cell>
        </row>
      </sheetData>
      <sheetData sheetId="360">
        <row r="7">
          <cell r="AH7" t="str">
            <v>SP1</v>
          </cell>
        </row>
      </sheetData>
      <sheetData sheetId="361">
        <row r="7">
          <cell r="AH7" t="str">
            <v>SP1</v>
          </cell>
        </row>
      </sheetData>
      <sheetData sheetId="362">
        <row r="7">
          <cell r="AH7" t="str">
            <v>SP1</v>
          </cell>
        </row>
      </sheetData>
      <sheetData sheetId="363">
        <row r="7">
          <cell r="AH7" t="str">
            <v>SP1</v>
          </cell>
        </row>
      </sheetData>
      <sheetData sheetId="364">
        <row r="7">
          <cell r="AH7" t="str">
            <v>SP1</v>
          </cell>
        </row>
      </sheetData>
      <sheetData sheetId="365">
        <row r="7">
          <cell r="AH7" t="str">
            <v>SP1</v>
          </cell>
        </row>
      </sheetData>
      <sheetData sheetId="366">
        <row r="7">
          <cell r="AH7" t="str">
            <v>SP1</v>
          </cell>
        </row>
      </sheetData>
      <sheetData sheetId="367">
        <row r="7">
          <cell r="AH7" t="str">
            <v>SP1</v>
          </cell>
        </row>
      </sheetData>
      <sheetData sheetId="368">
        <row r="7">
          <cell r="AH7" t="str">
            <v>SP1</v>
          </cell>
        </row>
      </sheetData>
      <sheetData sheetId="369">
        <row r="7">
          <cell r="AH7" t="str">
            <v>SP1</v>
          </cell>
        </row>
      </sheetData>
      <sheetData sheetId="370">
        <row r="7">
          <cell r="AH7" t="str">
            <v>SP1</v>
          </cell>
        </row>
      </sheetData>
      <sheetData sheetId="371">
        <row r="7">
          <cell r="AH7" t="str">
            <v>SP1</v>
          </cell>
        </row>
      </sheetData>
      <sheetData sheetId="372">
        <row r="7">
          <cell r="AH7" t="str">
            <v>SP1</v>
          </cell>
        </row>
      </sheetData>
      <sheetData sheetId="373">
        <row r="7">
          <cell r="AH7" t="str">
            <v>SP1</v>
          </cell>
        </row>
      </sheetData>
      <sheetData sheetId="374">
        <row r="7">
          <cell r="AH7" t="str">
            <v>SP1</v>
          </cell>
        </row>
      </sheetData>
      <sheetData sheetId="375">
        <row r="7">
          <cell r="AH7" t="str">
            <v>SP1</v>
          </cell>
        </row>
      </sheetData>
      <sheetData sheetId="376">
        <row r="7">
          <cell r="AH7" t="str">
            <v>SP1</v>
          </cell>
        </row>
      </sheetData>
      <sheetData sheetId="377">
        <row r="7">
          <cell r="AH7" t="str">
            <v>SP1</v>
          </cell>
        </row>
      </sheetData>
      <sheetData sheetId="378">
        <row r="7">
          <cell r="AH7" t="str">
            <v>SP1</v>
          </cell>
        </row>
      </sheetData>
      <sheetData sheetId="379">
        <row r="7">
          <cell r="AH7" t="str">
            <v>SP1</v>
          </cell>
        </row>
      </sheetData>
      <sheetData sheetId="380">
        <row r="7">
          <cell r="AH7" t="str">
            <v>SP1</v>
          </cell>
        </row>
      </sheetData>
      <sheetData sheetId="381">
        <row r="7">
          <cell r="AH7" t="str">
            <v>SP1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7">
          <cell r="AH7" t="str">
            <v>SP1</v>
          </cell>
        </row>
      </sheetData>
      <sheetData sheetId="390">
        <row r="7">
          <cell r="AH7" t="str">
            <v>SP1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I7">
            <v>10000</v>
          </cell>
        </row>
      </sheetData>
      <sheetData sheetId="400">
        <row r="7">
          <cell r="AH7" t="str">
            <v>SP1</v>
          </cell>
        </row>
      </sheetData>
      <sheetData sheetId="401">
        <row r="7">
          <cell r="AH7" t="str">
            <v>SP1</v>
          </cell>
        </row>
      </sheetData>
      <sheetData sheetId="402">
        <row r="7">
          <cell r="AH7" t="str">
            <v>SP1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H7" t="str">
            <v>SP1</v>
          </cell>
        </row>
      </sheetData>
      <sheetData sheetId="406">
        <row r="7">
          <cell r="AH7" t="str">
            <v>SP1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>
        <row r="7">
          <cell r="AH7" t="str">
            <v>SP1</v>
          </cell>
        </row>
      </sheetData>
      <sheetData sheetId="414">
        <row r="7">
          <cell r="AH7" t="str">
            <v>SP1</v>
          </cell>
        </row>
      </sheetData>
      <sheetData sheetId="415">
        <row r="7">
          <cell r="AH7" t="str">
            <v>SP1</v>
          </cell>
        </row>
      </sheetData>
      <sheetData sheetId="416">
        <row r="7">
          <cell r="AH7" t="str">
            <v>SP1</v>
          </cell>
        </row>
      </sheetData>
      <sheetData sheetId="417">
        <row r="7">
          <cell r="AH7" t="str">
            <v>SP1</v>
          </cell>
        </row>
      </sheetData>
      <sheetData sheetId="418">
        <row r="7">
          <cell r="AH7" t="str">
            <v>SP1</v>
          </cell>
        </row>
      </sheetData>
      <sheetData sheetId="419">
        <row r="7">
          <cell r="AH7" t="str">
            <v>SP1</v>
          </cell>
        </row>
      </sheetData>
      <sheetData sheetId="420">
        <row r="7">
          <cell r="AH7" t="str">
            <v>SP1</v>
          </cell>
        </row>
      </sheetData>
      <sheetData sheetId="421">
        <row r="7">
          <cell r="AH7" t="str">
            <v>SP1</v>
          </cell>
        </row>
      </sheetData>
      <sheetData sheetId="422">
        <row r="7">
          <cell r="AH7" t="str">
            <v>SP1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H7" t="str">
            <v>SP1</v>
          </cell>
        </row>
      </sheetData>
      <sheetData sheetId="429">
        <row r="7">
          <cell r="AH7" t="str">
            <v>SP1</v>
          </cell>
        </row>
      </sheetData>
      <sheetData sheetId="430">
        <row r="7">
          <cell r="AH7" t="str">
            <v>SP1</v>
          </cell>
        </row>
      </sheetData>
      <sheetData sheetId="431">
        <row r="7">
          <cell r="AH7" t="str">
            <v>SP1</v>
          </cell>
        </row>
      </sheetData>
      <sheetData sheetId="432">
        <row r="7">
          <cell r="AH7" t="str">
            <v>SP1</v>
          </cell>
        </row>
      </sheetData>
      <sheetData sheetId="433">
        <row r="7">
          <cell r="AH7" t="str">
            <v>SP1</v>
          </cell>
        </row>
      </sheetData>
      <sheetData sheetId="434">
        <row r="7">
          <cell r="AH7" t="str">
            <v>SP1</v>
          </cell>
        </row>
      </sheetData>
      <sheetData sheetId="435">
        <row r="7">
          <cell r="AH7" t="str">
            <v>SP1</v>
          </cell>
        </row>
      </sheetData>
      <sheetData sheetId="436">
        <row r="7">
          <cell r="AH7" t="str">
            <v>SP1</v>
          </cell>
        </row>
      </sheetData>
      <sheetData sheetId="437">
        <row r="7">
          <cell r="AH7" t="str">
            <v>SP1</v>
          </cell>
        </row>
      </sheetData>
      <sheetData sheetId="438">
        <row r="7">
          <cell r="AH7" t="str">
            <v>SP1</v>
          </cell>
        </row>
      </sheetData>
      <sheetData sheetId="439">
        <row r="7">
          <cell r="AH7" t="str">
            <v>SP1</v>
          </cell>
        </row>
      </sheetData>
      <sheetData sheetId="440">
        <row r="7">
          <cell r="AH7" t="str">
            <v>SP1</v>
          </cell>
        </row>
      </sheetData>
      <sheetData sheetId="441">
        <row r="7">
          <cell r="AH7" t="str">
            <v>SP1</v>
          </cell>
        </row>
      </sheetData>
      <sheetData sheetId="442">
        <row r="7">
          <cell r="AH7" t="str">
            <v>SP1</v>
          </cell>
        </row>
      </sheetData>
      <sheetData sheetId="443">
        <row r="7">
          <cell r="AH7" t="str">
            <v>SP1</v>
          </cell>
        </row>
      </sheetData>
      <sheetData sheetId="444">
        <row r="7">
          <cell r="AH7" t="str">
            <v>SP1</v>
          </cell>
        </row>
      </sheetData>
      <sheetData sheetId="445">
        <row r="7">
          <cell r="AH7" t="str">
            <v>SP1</v>
          </cell>
        </row>
      </sheetData>
      <sheetData sheetId="446">
        <row r="7">
          <cell r="AH7" t="str">
            <v>SP1</v>
          </cell>
        </row>
      </sheetData>
      <sheetData sheetId="447">
        <row r="7">
          <cell r="AH7" t="str">
            <v>SP1</v>
          </cell>
        </row>
      </sheetData>
      <sheetData sheetId="448">
        <row r="7">
          <cell r="AH7" t="str">
            <v>SP1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H7" t="str">
            <v>SP1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>
        <row r="7">
          <cell r="AH7" t="str">
            <v>SP1</v>
          </cell>
        </row>
      </sheetData>
      <sheetData sheetId="455">
        <row r="7">
          <cell r="AH7" t="str">
            <v>SP1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H7" t="str">
            <v>SP1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H7" t="str">
            <v>SP1</v>
          </cell>
        </row>
      </sheetData>
      <sheetData sheetId="461">
        <row r="7">
          <cell r="AH7" t="str">
            <v>SP1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H7" t="str">
            <v>SP1</v>
          </cell>
        </row>
      </sheetData>
      <sheetData sheetId="469">
        <row r="7">
          <cell r="AH7" t="str">
            <v>SP1</v>
          </cell>
        </row>
      </sheetData>
      <sheetData sheetId="470">
        <row r="7">
          <cell r="AH7" t="str">
            <v>SP1</v>
          </cell>
        </row>
      </sheetData>
      <sheetData sheetId="471">
        <row r="7">
          <cell r="AH7" t="str">
            <v>SP1</v>
          </cell>
        </row>
      </sheetData>
      <sheetData sheetId="472">
        <row r="7">
          <cell r="AH7" t="str">
            <v>SP1</v>
          </cell>
        </row>
      </sheetData>
      <sheetData sheetId="473">
        <row r="7">
          <cell r="AH7" t="str">
            <v>SP1</v>
          </cell>
        </row>
      </sheetData>
      <sheetData sheetId="474">
        <row r="7">
          <cell r="AH7" t="str">
            <v>SP1</v>
          </cell>
        </row>
      </sheetData>
      <sheetData sheetId="475">
        <row r="7">
          <cell r="AH7" t="str">
            <v>SP1</v>
          </cell>
        </row>
      </sheetData>
      <sheetData sheetId="476">
        <row r="7">
          <cell r="AH7" t="str">
            <v>SP1</v>
          </cell>
        </row>
      </sheetData>
      <sheetData sheetId="477">
        <row r="7">
          <cell r="AI7">
            <v>10000</v>
          </cell>
        </row>
      </sheetData>
      <sheetData sheetId="478">
        <row r="7">
          <cell r="AH7" t="str">
            <v>SP1</v>
          </cell>
        </row>
      </sheetData>
      <sheetData sheetId="479">
        <row r="7">
          <cell r="AH7" t="str">
            <v>SP1</v>
          </cell>
        </row>
      </sheetData>
      <sheetData sheetId="480">
        <row r="7">
          <cell r="AH7" t="str">
            <v>SP1</v>
          </cell>
        </row>
      </sheetData>
      <sheetData sheetId="481">
        <row r="7">
          <cell r="AH7" t="str">
            <v>SP1</v>
          </cell>
        </row>
      </sheetData>
      <sheetData sheetId="482">
        <row r="7">
          <cell r="AI7">
            <v>10000</v>
          </cell>
        </row>
      </sheetData>
      <sheetData sheetId="483">
        <row r="7">
          <cell r="AI7">
            <v>10000</v>
          </cell>
        </row>
      </sheetData>
      <sheetData sheetId="484">
        <row r="7">
          <cell r="AI7">
            <v>10000</v>
          </cell>
        </row>
      </sheetData>
      <sheetData sheetId="485">
        <row r="7">
          <cell r="AI7">
            <v>10000</v>
          </cell>
        </row>
      </sheetData>
      <sheetData sheetId="486">
        <row r="7">
          <cell r="AI7">
            <v>10000</v>
          </cell>
        </row>
      </sheetData>
      <sheetData sheetId="487">
        <row r="7">
          <cell r="AI7">
            <v>10000</v>
          </cell>
        </row>
      </sheetData>
      <sheetData sheetId="488">
        <row r="7">
          <cell r="AI7">
            <v>10000</v>
          </cell>
        </row>
      </sheetData>
      <sheetData sheetId="489">
        <row r="7">
          <cell r="AH7" t="str">
            <v>SP1</v>
          </cell>
        </row>
      </sheetData>
      <sheetData sheetId="490">
        <row r="7">
          <cell r="AH7" t="str">
            <v>SP1</v>
          </cell>
        </row>
      </sheetData>
      <sheetData sheetId="491">
        <row r="7">
          <cell r="AH7" t="str">
            <v>SP1</v>
          </cell>
        </row>
      </sheetData>
      <sheetData sheetId="492">
        <row r="7">
          <cell r="AH7" t="str">
            <v>SP1</v>
          </cell>
        </row>
      </sheetData>
      <sheetData sheetId="493">
        <row r="7">
          <cell r="AI7">
            <v>10000</v>
          </cell>
        </row>
      </sheetData>
      <sheetData sheetId="494">
        <row r="7">
          <cell r="AH7" t="str">
            <v>SP1</v>
          </cell>
        </row>
      </sheetData>
      <sheetData sheetId="495">
        <row r="7">
          <cell r="AI7">
            <v>10000</v>
          </cell>
        </row>
      </sheetData>
      <sheetData sheetId="496">
        <row r="7">
          <cell r="AH7" t="str">
            <v>SP1</v>
          </cell>
        </row>
      </sheetData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H7" t="str">
            <v>SP1</v>
          </cell>
        </row>
      </sheetData>
      <sheetData sheetId="501">
        <row r="7">
          <cell r="AH7" t="str">
            <v>SP1</v>
          </cell>
        </row>
      </sheetData>
      <sheetData sheetId="502">
        <row r="7">
          <cell r="AH7" t="str">
            <v>SP1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H7" t="str">
            <v>SP1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H7" t="str">
            <v>SP1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>
        <row r="7">
          <cell r="AH7" t="str">
            <v>SP1</v>
          </cell>
        </row>
      </sheetData>
      <sheetData sheetId="511">
        <row r="7">
          <cell r="AH7" t="str">
            <v>SP1</v>
          </cell>
        </row>
      </sheetData>
      <sheetData sheetId="512">
        <row r="7">
          <cell r="AH7" t="str">
            <v>SP1</v>
          </cell>
        </row>
      </sheetData>
      <sheetData sheetId="513">
        <row r="7">
          <cell r="AH7" t="str">
            <v>SP1</v>
          </cell>
        </row>
      </sheetData>
      <sheetData sheetId="514">
        <row r="7">
          <cell r="AH7" t="str">
            <v>SP1</v>
          </cell>
        </row>
      </sheetData>
      <sheetData sheetId="515">
        <row r="7">
          <cell r="AH7" t="str">
            <v>SP1</v>
          </cell>
        </row>
      </sheetData>
      <sheetData sheetId="516">
        <row r="7">
          <cell r="AH7" t="str">
            <v>SP1</v>
          </cell>
        </row>
      </sheetData>
      <sheetData sheetId="517">
        <row r="7">
          <cell r="AH7" t="str">
            <v>SP1</v>
          </cell>
        </row>
      </sheetData>
      <sheetData sheetId="518">
        <row r="7">
          <cell r="AH7" t="str">
            <v>SP1</v>
          </cell>
        </row>
      </sheetData>
      <sheetData sheetId="519">
        <row r="7">
          <cell r="AH7" t="str">
            <v>SP1</v>
          </cell>
        </row>
      </sheetData>
      <sheetData sheetId="520">
        <row r="7">
          <cell r="AH7" t="str">
            <v>SP1</v>
          </cell>
        </row>
      </sheetData>
      <sheetData sheetId="521">
        <row r="7">
          <cell r="AH7" t="str">
            <v>SP1</v>
          </cell>
        </row>
      </sheetData>
      <sheetData sheetId="522">
        <row r="7">
          <cell r="AH7" t="str">
            <v>SP1</v>
          </cell>
        </row>
      </sheetData>
      <sheetData sheetId="523">
        <row r="7">
          <cell r="AH7" t="str">
            <v>SP1</v>
          </cell>
        </row>
      </sheetData>
      <sheetData sheetId="524">
        <row r="7">
          <cell r="AH7" t="str">
            <v>SP1</v>
          </cell>
        </row>
      </sheetData>
      <sheetData sheetId="525">
        <row r="7">
          <cell r="AH7" t="str">
            <v>SP1</v>
          </cell>
        </row>
      </sheetData>
      <sheetData sheetId="526">
        <row r="7">
          <cell r="AH7" t="str">
            <v>SP1</v>
          </cell>
        </row>
      </sheetData>
      <sheetData sheetId="527">
        <row r="7">
          <cell r="AH7" t="str">
            <v>SP1</v>
          </cell>
        </row>
      </sheetData>
      <sheetData sheetId="528">
        <row r="7">
          <cell r="AH7" t="str">
            <v>SP1</v>
          </cell>
        </row>
      </sheetData>
      <sheetData sheetId="529">
        <row r="7">
          <cell r="AH7" t="str">
            <v>SP1</v>
          </cell>
        </row>
      </sheetData>
      <sheetData sheetId="530">
        <row r="7">
          <cell r="AH7" t="str">
            <v>SP1</v>
          </cell>
        </row>
      </sheetData>
      <sheetData sheetId="531">
        <row r="7">
          <cell r="AH7" t="str">
            <v>SP1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H7" t="str">
            <v>SP1</v>
          </cell>
        </row>
      </sheetData>
      <sheetData sheetId="536">
        <row r="7">
          <cell r="AH7" t="str">
            <v>SP1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H7" t="str">
            <v>SP1</v>
          </cell>
        </row>
      </sheetData>
      <sheetData sheetId="543">
        <row r="7">
          <cell r="AH7" t="str">
            <v>SP1</v>
          </cell>
        </row>
      </sheetData>
      <sheetData sheetId="544">
        <row r="7">
          <cell r="AH7" t="str">
            <v>SP1</v>
          </cell>
        </row>
      </sheetData>
      <sheetData sheetId="545">
        <row r="7">
          <cell r="AH7" t="str">
            <v>SP1</v>
          </cell>
        </row>
      </sheetData>
      <sheetData sheetId="546">
        <row r="7">
          <cell r="AI7">
            <v>10000</v>
          </cell>
        </row>
      </sheetData>
      <sheetData sheetId="547">
        <row r="7">
          <cell r="AH7" t="str">
            <v>SP1</v>
          </cell>
        </row>
      </sheetData>
      <sheetData sheetId="548">
        <row r="7">
          <cell r="AH7" t="str">
            <v>SP1</v>
          </cell>
        </row>
      </sheetData>
      <sheetData sheetId="549">
        <row r="7">
          <cell r="AH7" t="str">
            <v>SP1</v>
          </cell>
        </row>
      </sheetData>
      <sheetData sheetId="550">
        <row r="7">
          <cell r="AH7" t="str">
            <v>SP1</v>
          </cell>
        </row>
      </sheetData>
      <sheetData sheetId="551">
        <row r="7">
          <cell r="AH7" t="str">
            <v>SP1</v>
          </cell>
        </row>
      </sheetData>
      <sheetData sheetId="552">
        <row r="7">
          <cell r="AH7" t="str">
            <v>SP1</v>
          </cell>
        </row>
      </sheetData>
      <sheetData sheetId="553">
        <row r="7">
          <cell r="AH7" t="str">
            <v>SP1</v>
          </cell>
        </row>
      </sheetData>
      <sheetData sheetId="554">
        <row r="7">
          <cell r="AH7" t="str">
            <v>SP1</v>
          </cell>
        </row>
      </sheetData>
      <sheetData sheetId="555">
        <row r="7">
          <cell r="AI7">
            <v>10000</v>
          </cell>
        </row>
      </sheetData>
      <sheetData sheetId="556">
        <row r="7">
          <cell r="AH7" t="str">
            <v>SP1</v>
          </cell>
        </row>
      </sheetData>
      <sheetData sheetId="557"/>
      <sheetData sheetId="558"/>
      <sheetData sheetId="559">
        <row r="7">
          <cell r="AI7">
            <v>10000</v>
          </cell>
        </row>
      </sheetData>
      <sheetData sheetId="560">
        <row r="7">
          <cell r="AH7" t="str">
            <v>SP1</v>
          </cell>
        </row>
      </sheetData>
      <sheetData sheetId="561">
        <row r="7">
          <cell r="AH7" t="str">
            <v>SP1</v>
          </cell>
        </row>
      </sheetData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H7" t="str">
            <v>SP1</v>
          </cell>
        </row>
      </sheetData>
      <sheetData sheetId="565">
        <row r="7">
          <cell r="AH7" t="str">
            <v>SP1</v>
          </cell>
        </row>
      </sheetData>
      <sheetData sheetId="566">
        <row r="7">
          <cell r="AH7" t="str">
            <v>SP1</v>
          </cell>
        </row>
      </sheetData>
      <sheetData sheetId="567">
        <row r="7">
          <cell r="AH7" t="str">
            <v>SP1</v>
          </cell>
        </row>
      </sheetData>
      <sheetData sheetId="568" refreshError="1"/>
      <sheetData sheetId="569" refreshError="1"/>
      <sheetData sheetId="570">
        <row r="7">
          <cell r="AH7" t="str">
            <v>SP1</v>
          </cell>
        </row>
      </sheetData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H7" t="str">
            <v>SP1</v>
          </cell>
        </row>
      </sheetData>
      <sheetData sheetId="591">
        <row r="7">
          <cell r="AH7" t="str">
            <v>SP1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H7" t="str">
            <v>SP1</v>
          </cell>
        </row>
      </sheetData>
      <sheetData sheetId="595">
        <row r="7">
          <cell r="AH7" t="str">
            <v>SP1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H7" t="str">
            <v>SP1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H7" t="str">
            <v>SP1</v>
          </cell>
        </row>
      </sheetData>
      <sheetData sheetId="601">
        <row r="7">
          <cell r="AH7" t="str">
            <v>SP1</v>
          </cell>
        </row>
      </sheetData>
      <sheetData sheetId="602">
        <row r="7">
          <cell r="AH7" t="str">
            <v>SP1</v>
          </cell>
        </row>
      </sheetData>
      <sheetData sheetId="603">
        <row r="7">
          <cell r="AH7" t="str">
            <v>SP1</v>
          </cell>
        </row>
      </sheetData>
      <sheetData sheetId="604">
        <row r="7">
          <cell r="AH7" t="str">
            <v>SP1</v>
          </cell>
        </row>
      </sheetData>
      <sheetData sheetId="605">
        <row r="7">
          <cell r="AH7" t="str">
            <v>SP1</v>
          </cell>
        </row>
      </sheetData>
      <sheetData sheetId="606">
        <row r="7">
          <cell r="AH7" t="str">
            <v>SP1</v>
          </cell>
        </row>
      </sheetData>
      <sheetData sheetId="607">
        <row r="7">
          <cell r="AH7" t="str">
            <v>SP1</v>
          </cell>
        </row>
      </sheetData>
      <sheetData sheetId="608">
        <row r="7">
          <cell r="AH7" t="str">
            <v>SP1</v>
          </cell>
        </row>
      </sheetData>
      <sheetData sheetId="609">
        <row r="7">
          <cell r="AH7" t="str">
            <v>SP1</v>
          </cell>
        </row>
      </sheetData>
      <sheetData sheetId="610">
        <row r="7">
          <cell r="AH7" t="str">
            <v>SP1</v>
          </cell>
        </row>
      </sheetData>
      <sheetData sheetId="611">
        <row r="7">
          <cell r="AH7" t="str">
            <v>SP1</v>
          </cell>
        </row>
      </sheetData>
      <sheetData sheetId="612">
        <row r="7">
          <cell r="AH7" t="str">
            <v>SP1</v>
          </cell>
        </row>
      </sheetData>
      <sheetData sheetId="613">
        <row r="7">
          <cell r="AH7" t="str">
            <v>SP1</v>
          </cell>
        </row>
      </sheetData>
      <sheetData sheetId="614">
        <row r="7">
          <cell r="AH7" t="str">
            <v>SP1</v>
          </cell>
        </row>
      </sheetData>
      <sheetData sheetId="615">
        <row r="7">
          <cell r="AH7" t="str">
            <v>SP1</v>
          </cell>
        </row>
      </sheetData>
      <sheetData sheetId="616">
        <row r="7">
          <cell r="AH7" t="str">
            <v>SP1</v>
          </cell>
        </row>
      </sheetData>
      <sheetData sheetId="617">
        <row r="7">
          <cell r="AH7" t="str">
            <v>SP1</v>
          </cell>
        </row>
      </sheetData>
      <sheetData sheetId="618">
        <row r="7">
          <cell r="AH7" t="str">
            <v>SP1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>
        <row r="7">
          <cell r="AH7" t="str">
            <v>SP1</v>
          </cell>
        </row>
      </sheetData>
      <sheetData sheetId="626">
        <row r="7">
          <cell r="AH7" t="str">
            <v>SP1</v>
          </cell>
        </row>
      </sheetData>
      <sheetData sheetId="627">
        <row r="7">
          <cell r="AH7" t="str">
            <v>SP1</v>
          </cell>
        </row>
      </sheetData>
      <sheetData sheetId="628">
        <row r="7">
          <cell r="AH7" t="str">
            <v>SP1</v>
          </cell>
        </row>
      </sheetData>
      <sheetData sheetId="629">
        <row r="7">
          <cell r="AH7" t="str">
            <v>SP1</v>
          </cell>
        </row>
      </sheetData>
      <sheetData sheetId="630">
        <row r="7">
          <cell r="AH7" t="str">
            <v>SP1</v>
          </cell>
        </row>
      </sheetData>
      <sheetData sheetId="631">
        <row r="7">
          <cell r="AH7" t="str">
            <v>SP1</v>
          </cell>
        </row>
      </sheetData>
      <sheetData sheetId="632">
        <row r="7">
          <cell r="AH7" t="str">
            <v>SP1</v>
          </cell>
        </row>
      </sheetData>
      <sheetData sheetId="633">
        <row r="7">
          <cell r="AH7" t="str">
            <v>SP1</v>
          </cell>
        </row>
      </sheetData>
      <sheetData sheetId="634">
        <row r="7">
          <cell r="AH7" t="str">
            <v>SP1</v>
          </cell>
        </row>
      </sheetData>
      <sheetData sheetId="635">
        <row r="7">
          <cell r="AH7" t="str">
            <v>SP1</v>
          </cell>
        </row>
      </sheetData>
      <sheetData sheetId="636">
        <row r="7">
          <cell r="AH7" t="str">
            <v>SP1</v>
          </cell>
        </row>
      </sheetData>
      <sheetData sheetId="637">
        <row r="7">
          <cell r="AH7" t="str">
            <v>SP1</v>
          </cell>
        </row>
      </sheetData>
      <sheetData sheetId="638">
        <row r="7">
          <cell r="AH7" t="str">
            <v>SP1</v>
          </cell>
        </row>
      </sheetData>
      <sheetData sheetId="639">
        <row r="7">
          <cell r="AH7" t="str">
            <v>SP1</v>
          </cell>
        </row>
      </sheetData>
      <sheetData sheetId="640">
        <row r="7">
          <cell r="AH7" t="str">
            <v>SP1</v>
          </cell>
        </row>
      </sheetData>
      <sheetData sheetId="641">
        <row r="7">
          <cell r="AH7" t="str">
            <v>SP1</v>
          </cell>
        </row>
      </sheetData>
      <sheetData sheetId="642">
        <row r="7">
          <cell r="AH7" t="str">
            <v>SP1</v>
          </cell>
        </row>
      </sheetData>
      <sheetData sheetId="643">
        <row r="7">
          <cell r="AH7" t="str">
            <v>SP1</v>
          </cell>
        </row>
      </sheetData>
      <sheetData sheetId="644">
        <row r="7">
          <cell r="AH7" t="str">
            <v>SP1</v>
          </cell>
        </row>
      </sheetData>
      <sheetData sheetId="645">
        <row r="7">
          <cell r="AH7" t="str">
            <v>SP1</v>
          </cell>
        </row>
      </sheetData>
      <sheetData sheetId="646">
        <row r="7">
          <cell r="AH7" t="str">
            <v>SP1</v>
          </cell>
        </row>
      </sheetData>
      <sheetData sheetId="647">
        <row r="7">
          <cell r="AH7" t="str">
            <v>SP1</v>
          </cell>
        </row>
      </sheetData>
      <sheetData sheetId="648">
        <row r="7">
          <cell r="AH7" t="str">
            <v>SP1</v>
          </cell>
        </row>
      </sheetData>
      <sheetData sheetId="649">
        <row r="7">
          <cell r="AH7" t="str">
            <v>SP1</v>
          </cell>
        </row>
      </sheetData>
      <sheetData sheetId="650">
        <row r="7">
          <cell r="AH7" t="str">
            <v>SP1</v>
          </cell>
        </row>
      </sheetData>
      <sheetData sheetId="651">
        <row r="7">
          <cell r="AH7" t="str">
            <v>SP1</v>
          </cell>
        </row>
      </sheetData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7">
          <cell r="AH7" t="str">
            <v>SP1</v>
          </cell>
        </row>
      </sheetData>
      <sheetData sheetId="665">
        <row r="7">
          <cell r="AH7" t="str">
            <v>SP1</v>
          </cell>
        </row>
      </sheetData>
      <sheetData sheetId="666">
        <row r="7">
          <cell r="AH7" t="str">
            <v>SP1</v>
          </cell>
        </row>
      </sheetData>
      <sheetData sheetId="667">
        <row r="7">
          <cell r="AH7" t="str">
            <v>SP1</v>
          </cell>
        </row>
      </sheetData>
      <sheetData sheetId="668">
        <row r="7">
          <cell r="AH7" t="str">
            <v>SP1</v>
          </cell>
        </row>
      </sheetData>
      <sheetData sheetId="669">
        <row r="7">
          <cell r="AH7" t="str">
            <v>SP1</v>
          </cell>
        </row>
      </sheetData>
      <sheetData sheetId="670">
        <row r="7">
          <cell r="AH7" t="str">
            <v>SP1</v>
          </cell>
        </row>
      </sheetData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>
        <row r="7">
          <cell r="AH7" t="str">
            <v>SP1</v>
          </cell>
        </row>
      </sheetData>
      <sheetData sheetId="683">
        <row r="7">
          <cell r="AI7">
            <v>10000</v>
          </cell>
        </row>
      </sheetData>
      <sheetData sheetId="684">
        <row r="7">
          <cell r="AI7">
            <v>10000</v>
          </cell>
        </row>
      </sheetData>
      <sheetData sheetId="685">
        <row r="7">
          <cell r="AH7" t="str">
            <v>SP1</v>
          </cell>
        </row>
      </sheetData>
      <sheetData sheetId="686">
        <row r="7">
          <cell r="AH7" t="str">
            <v>SP1</v>
          </cell>
        </row>
      </sheetData>
      <sheetData sheetId="687">
        <row r="7">
          <cell r="AH7" t="str">
            <v>SP1</v>
          </cell>
        </row>
      </sheetData>
      <sheetData sheetId="688">
        <row r="7">
          <cell r="AH7" t="str">
            <v>SP1</v>
          </cell>
        </row>
      </sheetData>
      <sheetData sheetId="689">
        <row r="7">
          <cell r="AH7" t="str">
            <v>SP1</v>
          </cell>
        </row>
      </sheetData>
      <sheetData sheetId="690">
        <row r="7">
          <cell r="AH7" t="str">
            <v>SP1</v>
          </cell>
        </row>
      </sheetData>
      <sheetData sheetId="691">
        <row r="7">
          <cell r="AH7" t="str">
            <v>SP1</v>
          </cell>
        </row>
      </sheetData>
      <sheetData sheetId="692">
        <row r="7">
          <cell r="AH7" t="str">
            <v>SP1</v>
          </cell>
        </row>
      </sheetData>
      <sheetData sheetId="693">
        <row r="7">
          <cell r="AH7" t="str">
            <v>SP1</v>
          </cell>
        </row>
      </sheetData>
      <sheetData sheetId="694">
        <row r="7">
          <cell r="AH7" t="str">
            <v>SP1</v>
          </cell>
        </row>
      </sheetData>
      <sheetData sheetId="695">
        <row r="7">
          <cell r="AH7" t="str">
            <v>SP1</v>
          </cell>
        </row>
      </sheetData>
      <sheetData sheetId="696">
        <row r="7">
          <cell r="AI7">
            <v>10000</v>
          </cell>
        </row>
      </sheetData>
      <sheetData sheetId="697">
        <row r="7">
          <cell r="AH7" t="str">
            <v>SP1</v>
          </cell>
        </row>
      </sheetData>
      <sheetData sheetId="698">
        <row r="7">
          <cell r="AH7" t="str">
            <v>SP1</v>
          </cell>
        </row>
      </sheetData>
      <sheetData sheetId="699">
        <row r="7">
          <cell r="AH7" t="str">
            <v>SP1</v>
          </cell>
        </row>
      </sheetData>
      <sheetData sheetId="700">
        <row r="7">
          <cell r="AI7">
            <v>10000</v>
          </cell>
        </row>
      </sheetData>
      <sheetData sheetId="701">
        <row r="7">
          <cell r="AH7" t="str">
            <v>SP1</v>
          </cell>
        </row>
      </sheetData>
      <sheetData sheetId="702">
        <row r="7">
          <cell r="AH7" t="str">
            <v>SP1</v>
          </cell>
        </row>
      </sheetData>
      <sheetData sheetId="703">
        <row r="7">
          <cell r="AH7" t="str">
            <v>SP1</v>
          </cell>
        </row>
      </sheetData>
      <sheetData sheetId="704">
        <row r="7">
          <cell r="AH7" t="str">
            <v>SP1</v>
          </cell>
        </row>
      </sheetData>
      <sheetData sheetId="705">
        <row r="7">
          <cell r="AH7" t="str">
            <v>SP1</v>
          </cell>
        </row>
      </sheetData>
      <sheetData sheetId="706">
        <row r="7">
          <cell r="AH7" t="str">
            <v>SP1</v>
          </cell>
        </row>
      </sheetData>
      <sheetData sheetId="707">
        <row r="7">
          <cell r="AH7" t="str">
            <v>SP1</v>
          </cell>
        </row>
      </sheetData>
      <sheetData sheetId="708">
        <row r="7">
          <cell r="AH7" t="str">
            <v>SP1</v>
          </cell>
        </row>
      </sheetData>
      <sheetData sheetId="709">
        <row r="7">
          <cell r="AH7" t="str">
            <v>SP1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7">
          <cell r="AH7" t="str">
            <v>SP1</v>
          </cell>
        </row>
      </sheetData>
      <sheetData sheetId="716">
        <row r="7">
          <cell r="AH7" t="str">
            <v>SP1</v>
          </cell>
        </row>
      </sheetData>
      <sheetData sheetId="717">
        <row r="7">
          <cell r="AI7">
            <v>10000</v>
          </cell>
        </row>
      </sheetData>
      <sheetData sheetId="718">
        <row r="7">
          <cell r="AI7">
            <v>10000</v>
          </cell>
        </row>
      </sheetData>
      <sheetData sheetId="719">
        <row r="7">
          <cell r="AI7">
            <v>10000</v>
          </cell>
        </row>
      </sheetData>
      <sheetData sheetId="720">
        <row r="7">
          <cell r="AI7">
            <v>10000</v>
          </cell>
        </row>
      </sheetData>
      <sheetData sheetId="721">
        <row r="7">
          <cell r="AI7">
            <v>10000</v>
          </cell>
        </row>
      </sheetData>
      <sheetData sheetId="722">
        <row r="7">
          <cell r="AI7">
            <v>10000</v>
          </cell>
        </row>
      </sheetData>
      <sheetData sheetId="723">
        <row r="7">
          <cell r="AI7">
            <v>10000</v>
          </cell>
        </row>
      </sheetData>
      <sheetData sheetId="724">
        <row r="7">
          <cell r="AI7">
            <v>10000</v>
          </cell>
        </row>
      </sheetData>
      <sheetData sheetId="725">
        <row r="7">
          <cell r="AI7">
            <v>10000</v>
          </cell>
        </row>
      </sheetData>
      <sheetData sheetId="726">
        <row r="7">
          <cell r="AI7">
            <v>10000</v>
          </cell>
        </row>
      </sheetData>
      <sheetData sheetId="727">
        <row r="7">
          <cell r="AI7">
            <v>10000</v>
          </cell>
        </row>
      </sheetData>
      <sheetData sheetId="728">
        <row r="7">
          <cell r="AI7">
            <v>10000</v>
          </cell>
        </row>
      </sheetData>
      <sheetData sheetId="729">
        <row r="7">
          <cell r="AI7">
            <v>10000</v>
          </cell>
        </row>
      </sheetData>
      <sheetData sheetId="730">
        <row r="7">
          <cell r="AH7" t="str">
            <v>SP1</v>
          </cell>
        </row>
      </sheetData>
      <sheetData sheetId="731">
        <row r="7">
          <cell r="AH7" t="str">
            <v>SP1</v>
          </cell>
        </row>
      </sheetData>
      <sheetData sheetId="732">
        <row r="7">
          <cell r="AH7" t="str">
            <v>SP1</v>
          </cell>
        </row>
      </sheetData>
      <sheetData sheetId="733">
        <row r="7">
          <cell r="AI7">
            <v>10000</v>
          </cell>
        </row>
      </sheetData>
      <sheetData sheetId="734" refreshError="1"/>
      <sheetData sheetId="735" refreshError="1"/>
      <sheetData sheetId="736">
        <row r="7">
          <cell r="AH7" t="str">
            <v>SP1</v>
          </cell>
        </row>
      </sheetData>
      <sheetData sheetId="737">
        <row r="7">
          <cell r="AH7" t="str">
            <v>SP1</v>
          </cell>
        </row>
      </sheetData>
      <sheetData sheetId="738">
        <row r="7">
          <cell r="AH7" t="str">
            <v>SP1</v>
          </cell>
        </row>
      </sheetData>
      <sheetData sheetId="739">
        <row r="7">
          <cell r="AH7" t="str">
            <v>SP1</v>
          </cell>
        </row>
      </sheetData>
      <sheetData sheetId="740">
        <row r="7">
          <cell r="AH7" t="str">
            <v>SP1</v>
          </cell>
        </row>
      </sheetData>
      <sheetData sheetId="741">
        <row r="7">
          <cell r="AI7">
            <v>10000</v>
          </cell>
        </row>
      </sheetData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>
        <row r="7">
          <cell r="AI7">
            <v>10000</v>
          </cell>
        </row>
      </sheetData>
      <sheetData sheetId="776">
        <row r="7">
          <cell r="AH7" t="str">
            <v>SP1</v>
          </cell>
        </row>
      </sheetData>
      <sheetData sheetId="777">
        <row r="7">
          <cell r="AH7" t="str">
            <v>SP1</v>
          </cell>
        </row>
      </sheetData>
      <sheetData sheetId="778">
        <row r="7">
          <cell r="AH7" t="str">
            <v>SP1</v>
          </cell>
        </row>
      </sheetData>
      <sheetData sheetId="779">
        <row r="7">
          <cell r="AH7" t="str">
            <v>SP1</v>
          </cell>
        </row>
      </sheetData>
      <sheetData sheetId="780">
        <row r="7">
          <cell r="AH7" t="str">
            <v>SP1</v>
          </cell>
        </row>
      </sheetData>
      <sheetData sheetId="781">
        <row r="7">
          <cell r="AH7" t="str">
            <v>SP1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>
        <row r="7">
          <cell r="AH7" t="str">
            <v>SP1</v>
          </cell>
        </row>
      </sheetData>
      <sheetData sheetId="790">
        <row r="7">
          <cell r="AH7" t="str">
            <v>SP1</v>
          </cell>
        </row>
      </sheetData>
      <sheetData sheetId="791">
        <row r="7">
          <cell r="AH7" t="str">
            <v>SP1</v>
          </cell>
        </row>
      </sheetData>
      <sheetData sheetId="792">
        <row r="7">
          <cell r="AI7">
            <v>10000</v>
          </cell>
        </row>
      </sheetData>
      <sheetData sheetId="793">
        <row r="7">
          <cell r="AI7">
            <v>10000</v>
          </cell>
        </row>
      </sheetData>
      <sheetData sheetId="794">
        <row r="7">
          <cell r="AH7" t="str">
            <v>SP1</v>
          </cell>
        </row>
      </sheetData>
      <sheetData sheetId="795">
        <row r="7">
          <cell r="AI7">
            <v>10000</v>
          </cell>
        </row>
      </sheetData>
      <sheetData sheetId="796">
        <row r="7">
          <cell r="AI7">
            <v>10000</v>
          </cell>
        </row>
      </sheetData>
      <sheetData sheetId="797">
        <row r="7">
          <cell r="AH7" t="str">
            <v>SP1</v>
          </cell>
        </row>
      </sheetData>
      <sheetData sheetId="798">
        <row r="7">
          <cell r="AH7" t="str">
            <v>SP1</v>
          </cell>
        </row>
      </sheetData>
      <sheetData sheetId="799">
        <row r="7">
          <cell r="AI7">
            <v>10000</v>
          </cell>
        </row>
      </sheetData>
      <sheetData sheetId="800">
        <row r="7">
          <cell r="AH7" t="str">
            <v>SP1</v>
          </cell>
        </row>
      </sheetData>
      <sheetData sheetId="801">
        <row r="7">
          <cell r="AH7" t="str">
            <v>SP1</v>
          </cell>
        </row>
      </sheetData>
      <sheetData sheetId="802">
        <row r="7">
          <cell r="AH7" t="str">
            <v>SP1</v>
          </cell>
        </row>
      </sheetData>
      <sheetData sheetId="803">
        <row r="7">
          <cell r="AH7" t="str">
            <v>SP1</v>
          </cell>
        </row>
      </sheetData>
      <sheetData sheetId="804" refreshError="1"/>
      <sheetData sheetId="805">
        <row r="7">
          <cell r="AI7">
            <v>10000</v>
          </cell>
        </row>
      </sheetData>
      <sheetData sheetId="806">
        <row r="7">
          <cell r="AH7" t="str">
            <v>SP1</v>
          </cell>
        </row>
      </sheetData>
      <sheetData sheetId="807">
        <row r="7">
          <cell r="AH7" t="str">
            <v>SP1</v>
          </cell>
        </row>
      </sheetData>
      <sheetData sheetId="808">
        <row r="7">
          <cell r="AI7">
            <v>10000</v>
          </cell>
        </row>
      </sheetData>
      <sheetData sheetId="809">
        <row r="7">
          <cell r="AI7">
            <v>10000</v>
          </cell>
        </row>
      </sheetData>
      <sheetData sheetId="810">
        <row r="7">
          <cell r="AI7">
            <v>10000</v>
          </cell>
        </row>
      </sheetData>
      <sheetData sheetId="811">
        <row r="7">
          <cell r="AI7">
            <v>10000</v>
          </cell>
        </row>
      </sheetData>
      <sheetData sheetId="812">
        <row r="7">
          <cell r="AI7">
            <v>10000</v>
          </cell>
        </row>
      </sheetData>
      <sheetData sheetId="813">
        <row r="7">
          <cell r="AI7">
            <v>10000</v>
          </cell>
        </row>
      </sheetData>
      <sheetData sheetId="814">
        <row r="7">
          <cell r="AI7">
            <v>10000</v>
          </cell>
        </row>
      </sheetData>
      <sheetData sheetId="815">
        <row r="7">
          <cell r="AI7">
            <v>10000</v>
          </cell>
        </row>
      </sheetData>
      <sheetData sheetId="816">
        <row r="7">
          <cell r="AI7">
            <v>10000</v>
          </cell>
        </row>
      </sheetData>
      <sheetData sheetId="817">
        <row r="7">
          <cell r="AI7">
            <v>10000</v>
          </cell>
        </row>
      </sheetData>
      <sheetData sheetId="818">
        <row r="7">
          <cell r="AI7">
            <v>10000</v>
          </cell>
        </row>
      </sheetData>
      <sheetData sheetId="819">
        <row r="7">
          <cell r="AI7">
            <v>10000</v>
          </cell>
        </row>
      </sheetData>
      <sheetData sheetId="820">
        <row r="7">
          <cell r="AI7">
            <v>10000</v>
          </cell>
        </row>
      </sheetData>
      <sheetData sheetId="821">
        <row r="7">
          <cell r="AI7">
            <v>10000</v>
          </cell>
        </row>
      </sheetData>
      <sheetData sheetId="822">
        <row r="7">
          <cell r="AH7" t="str">
            <v>SP1</v>
          </cell>
        </row>
      </sheetData>
      <sheetData sheetId="823">
        <row r="7">
          <cell r="AH7" t="str">
            <v>SP1</v>
          </cell>
        </row>
      </sheetData>
      <sheetData sheetId="824">
        <row r="7">
          <cell r="AH7" t="str">
            <v>SP1</v>
          </cell>
        </row>
      </sheetData>
      <sheetData sheetId="825">
        <row r="7">
          <cell r="AH7" t="str">
            <v>SP1</v>
          </cell>
        </row>
      </sheetData>
      <sheetData sheetId="826">
        <row r="7">
          <cell r="AI7">
            <v>10000</v>
          </cell>
        </row>
      </sheetData>
      <sheetData sheetId="827">
        <row r="7">
          <cell r="AH7" t="str">
            <v>SP1</v>
          </cell>
        </row>
      </sheetData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>
        <row r="7">
          <cell r="AH7" t="str">
            <v>SP1</v>
          </cell>
        </row>
      </sheetData>
      <sheetData sheetId="835">
        <row r="7">
          <cell r="AI7">
            <v>10000</v>
          </cell>
        </row>
      </sheetData>
      <sheetData sheetId="836">
        <row r="7">
          <cell r="AI7">
            <v>10000</v>
          </cell>
        </row>
      </sheetData>
      <sheetData sheetId="837">
        <row r="7">
          <cell r="AH7" t="str">
            <v>SP1</v>
          </cell>
        </row>
      </sheetData>
      <sheetData sheetId="838">
        <row r="7">
          <cell r="AI7">
            <v>10000</v>
          </cell>
        </row>
      </sheetData>
      <sheetData sheetId="839">
        <row r="7">
          <cell r="AI7">
            <v>10000</v>
          </cell>
        </row>
      </sheetData>
      <sheetData sheetId="840">
        <row r="7">
          <cell r="AI7">
            <v>10000</v>
          </cell>
        </row>
      </sheetData>
      <sheetData sheetId="841">
        <row r="7">
          <cell r="AI7">
            <v>10000</v>
          </cell>
        </row>
      </sheetData>
      <sheetData sheetId="842">
        <row r="7">
          <cell r="AI7">
            <v>10000</v>
          </cell>
        </row>
      </sheetData>
      <sheetData sheetId="843">
        <row r="7">
          <cell r="AI7">
            <v>10000</v>
          </cell>
        </row>
      </sheetData>
      <sheetData sheetId="844">
        <row r="7">
          <cell r="AI7">
            <v>10000</v>
          </cell>
        </row>
      </sheetData>
      <sheetData sheetId="845">
        <row r="7">
          <cell r="AI7">
            <v>10000</v>
          </cell>
        </row>
      </sheetData>
      <sheetData sheetId="846">
        <row r="7">
          <cell r="AI7">
            <v>10000</v>
          </cell>
        </row>
      </sheetData>
      <sheetData sheetId="847">
        <row r="7">
          <cell r="AI7">
            <v>10000</v>
          </cell>
        </row>
      </sheetData>
      <sheetData sheetId="848">
        <row r="7">
          <cell r="AI7">
            <v>10000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>
        <row r="7">
          <cell r="AI7">
            <v>10000</v>
          </cell>
        </row>
      </sheetData>
      <sheetData sheetId="871"/>
      <sheetData sheetId="872">
        <row r="7">
          <cell r="AI7">
            <v>10000</v>
          </cell>
        </row>
      </sheetData>
      <sheetData sheetId="873" refreshError="1"/>
      <sheetData sheetId="874">
        <row r="7">
          <cell r="AI7">
            <v>10000</v>
          </cell>
        </row>
      </sheetData>
      <sheetData sheetId="875">
        <row r="7">
          <cell r="AI7">
            <v>10000</v>
          </cell>
        </row>
      </sheetData>
      <sheetData sheetId="876">
        <row r="7">
          <cell r="AI7">
            <v>10000</v>
          </cell>
        </row>
      </sheetData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/>
      <sheetData sheetId="885" refreshError="1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7">
          <cell r="AI7">
            <v>10000</v>
          </cell>
        </row>
      </sheetData>
      <sheetData sheetId="995">
        <row r="7">
          <cell r="AI7">
            <v>10000</v>
          </cell>
        </row>
      </sheetData>
      <sheetData sheetId="996">
        <row r="7">
          <cell r="AI7">
            <v>10000</v>
          </cell>
        </row>
      </sheetData>
      <sheetData sheetId="997">
        <row r="7">
          <cell r="AI7">
            <v>10000</v>
          </cell>
        </row>
      </sheetData>
      <sheetData sheetId="998">
        <row r="7">
          <cell r="AI7">
            <v>10000</v>
          </cell>
        </row>
      </sheetData>
      <sheetData sheetId="999">
        <row r="7">
          <cell r="AI7">
            <v>10000</v>
          </cell>
        </row>
      </sheetData>
      <sheetData sheetId="1000">
        <row r="7">
          <cell r="AI7">
            <v>10000</v>
          </cell>
        </row>
      </sheetData>
      <sheetData sheetId="1001">
        <row r="7">
          <cell r="AI7">
            <v>10000</v>
          </cell>
        </row>
      </sheetData>
      <sheetData sheetId="1002">
        <row r="7">
          <cell r="AI7">
            <v>10000</v>
          </cell>
        </row>
      </sheetData>
      <sheetData sheetId="1003"/>
      <sheetData sheetId="1004"/>
      <sheetData sheetId="1005">
        <row r="7">
          <cell r="AI7">
            <v>10000</v>
          </cell>
        </row>
      </sheetData>
      <sheetData sheetId="1006" refreshError="1"/>
      <sheetData sheetId="1007" refreshError="1"/>
      <sheetData sheetId="1008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7">
          <cell r="AI7">
            <v>10000</v>
          </cell>
        </row>
      </sheetData>
      <sheetData sheetId="1205">
        <row r="7">
          <cell r="AI7">
            <v>10000</v>
          </cell>
        </row>
      </sheetData>
      <sheetData sheetId="1206">
        <row r="7">
          <cell r="AI7">
            <v>10000</v>
          </cell>
        </row>
      </sheetData>
      <sheetData sheetId="1207">
        <row r="7">
          <cell r="AI7">
            <v>10000</v>
          </cell>
        </row>
      </sheetData>
      <sheetData sheetId="1208">
        <row r="7">
          <cell r="AI7">
            <v>10000</v>
          </cell>
        </row>
      </sheetData>
      <sheetData sheetId="1209" refreshError="1"/>
      <sheetData sheetId="1210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>
        <row r="7">
          <cell r="AI7">
            <v>10000</v>
          </cell>
        </row>
      </sheetData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>
        <row r="7">
          <cell r="AI7">
            <v>10000</v>
          </cell>
        </row>
      </sheetData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>
        <row r="7">
          <cell r="AI7">
            <v>10000</v>
          </cell>
        </row>
      </sheetData>
      <sheetData sheetId="1661">
        <row r="7">
          <cell r="AI7">
            <v>10000</v>
          </cell>
        </row>
      </sheetData>
      <sheetData sheetId="1662">
        <row r="7">
          <cell r="AI7">
            <v>10000</v>
          </cell>
        </row>
      </sheetData>
      <sheetData sheetId="1663">
        <row r="7">
          <cell r="AI7">
            <v>10000</v>
          </cell>
        </row>
      </sheetData>
      <sheetData sheetId="1664">
        <row r="7">
          <cell r="AI7">
            <v>10000</v>
          </cell>
        </row>
      </sheetData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>
        <row r="7">
          <cell r="AI7">
            <v>10000</v>
          </cell>
        </row>
      </sheetData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>
        <row r="7">
          <cell r="AI7">
            <v>10000</v>
          </cell>
        </row>
      </sheetData>
      <sheetData sheetId="1680">
        <row r="7">
          <cell r="AI7">
            <v>10000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>
        <row r="7">
          <cell r="AI7">
            <v>10000</v>
          </cell>
        </row>
      </sheetData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>
        <row r="7">
          <cell r="AI7">
            <v>10000</v>
          </cell>
        </row>
      </sheetData>
      <sheetData sheetId="1697">
        <row r="7">
          <cell r="AI7">
            <v>10000</v>
          </cell>
        </row>
      </sheetData>
      <sheetData sheetId="1698" refreshError="1"/>
      <sheetData sheetId="1699" refreshError="1"/>
      <sheetData sheetId="1700">
        <row r="7">
          <cell r="AI7">
            <v>10000</v>
          </cell>
        </row>
      </sheetData>
      <sheetData sheetId="1701">
        <row r="7">
          <cell r="AI7">
            <v>10000</v>
          </cell>
        </row>
      </sheetData>
      <sheetData sheetId="1702">
        <row r="7">
          <cell r="AH7" t="str">
            <v>SP1</v>
          </cell>
        </row>
      </sheetData>
      <sheetData sheetId="1703">
        <row r="7">
          <cell r="AH7" t="str">
            <v>SP1</v>
          </cell>
        </row>
      </sheetData>
      <sheetData sheetId="1704">
        <row r="7">
          <cell r="AI7">
            <v>10000</v>
          </cell>
        </row>
      </sheetData>
      <sheetData sheetId="1705">
        <row r="7">
          <cell r="AI7">
            <v>10000</v>
          </cell>
        </row>
      </sheetData>
      <sheetData sheetId="1706">
        <row r="7">
          <cell r="AH7" t="str">
            <v>SP1</v>
          </cell>
        </row>
      </sheetData>
      <sheetData sheetId="1707">
        <row r="7">
          <cell r="AH7" t="str">
            <v>SP1</v>
          </cell>
        </row>
      </sheetData>
      <sheetData sheetId="1708" refreshError="1"/>
      <sheetData sheetId="1709">
        <row r="7">
          <cell r="AH7" t="str">
            <v>SP1</v>
          </cell>
        </row>
      </sheetData>
      <sheetData sheetId="1710" refreshError="1"/>
      <sheetData sheetId="1711" refreshError="1"/>
      <sheetData sheetId="1712">
        <row r="7">
          <cell r="AI7">
            <v>10000</v>
          </cell>
        </row>
      </sheetData>
      <sheetData sheetId="1713" refreshError="1"/>
      <sheetData sheetId="1714" refreshError="1"/>
      <sheetData sheetId="1715" refreshError="1"/>
      <sheetData sheetId="1716">
        <row r="7">
          <cell r="AH7" t="str">
            <v>SP1</v>
          </cell>
        </row>
      </sheetData>
      <sheetData sheetId="1717" refreshError="1"/>
      <sheetData sheetId="1718" refreshError="1"/>
      <sheetData sheetId="1719" refreshError="1"/>
      <sheetData sheetId="1720">
        <row r="7">
          <cell r="AH7" t="str">
            <v>SP1</v>
          </cell>
        </row>
      </sheetData>
      <sheetData sheetId="1721">
        <row r="7">
          <cell r="AI7">
            <v>10000</v>
          </cell>
        </row>
      </sheetData>
      <sheetData sheetId="1722">
        <row r="7">
          <cell r="AI7">
            <v>10000</v>
          </cell>
        </row>
      </sheetData>
      <sheetData sheetId="1723">
        <row r="7">
          <cell r="AI7">
            <v>10000</v>
          </cell>
        </row>
      </sheetData>
      <sheetData sheetId="1724">
        <row r="7">
          <cell r="AH7" t="str">
            <v>SP1</v>
          </cell>
        </row>
      </sheetData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>
        <row r="7">
          <cell r="AH7" t="str">
            <v>SP1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>
        <row r="7">
          <cell r="AH7" t="str">
            <v>SP1</v>
          </cell>
        </row>
      </sheetData>
      <sheetData sheetId="1744" refreshError="1"/>
      <sheetData sheetId="1745" refreshError="1"/>
      <sheetData sheetId="1746"/>
      <sheetData sheetId="1747" refreshError="1"/>
      <sheetData sheetId="1748">
        <row r="7">
          <cell r="AI7">
            <v>10000</v>
          </cell>
        </row>
      </sheetData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>
        <row r="7">
          <cell r="AI7">
            <v>10000</v>
          </cell>
        </row>
      </sheetData>
      <sheetData sheetId="1756" refreshError="1"/>
      <sheetData sheetId="1757" refreshError="1"/>
      <sheetData sheetId="1758">
        <row r="7">
          <cell r="AI7">
            <v>10000</v>
          </cell>
        </row>
      </sheetData>
      <sheetData sheetId="1759" refreshError="1"/>
      <sheetData sheetId="1760">
        <row r="7">
          <cell r="AI7">
            <v>10000</v>
          </cell>
        </row>
      </sheetData>
      <sheetData sheetId="1761">
        <row r="7">
          <cell r="AI7">
            <v>10000</v>
          </cell>
        </row>
      </sheetData>
      <sheetData sheetId="1762">
        <row r="7">
          <cell r="AI7">
            <v>10000</v>
          </cell>
        </row>
      </sheetData>
      <sheetData sheetId="1763">
        <row r="7">
          <cell r="AI7">
            <v>10000</v>
          </cell>
        </row>
      </sheetData>
      <sheetData sheetId="1764" refreshError="1"/>
      <sheetData sheetId="1765">
        <row r="7">
          <cell r="AH7" t="str">
            <v>SP1</v>
          </cell>
        </row>
      </sheetData>
      <sheetData sheetId="1766">
        <row r="7">
          <cell r="AI7">
            <v>10000</v>
          </cell>
        </row>
      </sheetData>
      <sheetData sheetId="1767">
        <row r="7">
          <cell r="AI7">
            <v>10000</v>
          </cell>
        </row>
      </sheetData>
      <sheetData sheetId="1768">
        <row r="7">
          <cell r="AI7">
            <v>10000</v>
          </cell>
        </row>
      </sheetData>
      <sheetData sheetId="1769">
        <row r="7">
          <cell r="AI7">
            <v>10000</v>
          </cell>
        </row>
      </sheetData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>
        <row r="7">
          <cell r="AI7">
            <v>10000</v>
          </cell>
        </row>
      </sheetData>
      <sheetData sheetId="1777">
        <row r="7">
          <cell r="AI7">
            <v>10000</v>
          </cell>
        </row>
      </sheetData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>
        <row r="7">
          <cell r="AI7">
            <v>10000</v>
          </cell>
        </row>
      </sheetData>
      <sheetData sheetId="1802" refreshError="1"/>
      <sheetData sheetId="1803">
        <row r="7">
          <cell r="AI7">
            <v>10000</v>
          </cell>
        </row>
      </sheetData>
      <sheetData sheetId="1804">
        <row r="7">
          <cell r="AI7">
            <v>10000</v>
          </cell>
        </row>
      </sheetData>
      <sheetData sheetId="1805">
        <row r="7">
          <cell r="AI7">
            <v>10000</v>
          </cell>
        </row>
      </sheetData>
      <sheetData sheetId="1806">
        <row r="7">
          <cell r="AH7" t="str">
            <v>SP1</v>
          </cell>
        </row>
      </sheetData>
      <sheetData sheetId="1807">
        <row r="7">
          <cell r="AH7" t="str">
            <v>SP1</v>
          </cell>
        </row>
      </sheetData>
      <sheetData sheetId="1808">
        <row r="7">
          <cell r="AI7">
            <v>10000</v>
          </cell>
        </row>
      </sheetData>
      <sheetData sheetId="1809">
        <row r="7">
          <cell r="AI7">
            <v>10000</v>
          </cell>
        </row>
      </sheetData>
      <sheetData sheetId="1810">
        <row r="7">
          <cell r="AI7">
            <v>10000</v>
          </cell>
        </row>
      </sheetData>
      <sheetData sheetId="1811">
        <row r="7">
          <cell r="AI7">
            <v>10000</v>
          </cell>
        </row>
      </sheetData>
      <sheetData sheetId="1812" refreshError="1"/>
      <sheetData sheetId="1813">
        <row r="7">
          <cell r="AI7">
            <v>10000</v>
          </cell>
        </row>
      </sheetData>
      <sheetData sheetId="1814">
        <row r="7">
          <cell r="AI7">
            <v>10000</v>
          </cell>
        </row>
      </sheetData>
      <sheetData sheetId="1815">
        <row r="7">
          <cell r="AI7">
            <v>10000</v>
          </cell>
        </row>
      </sheetData>
      <sheetData sheetId="1816">
        <row r="7">
          <cell r="AI7">
            <v>10000</v>
          </cell>
        </row>
      </sheetData>
      <sheetData sheetId="1817">
        <row r="7">
          <cell r="AI7">
            <v>10000</v>
          </cell>
        </row>
      </sheetData>
      <sheetData sheetId="1818">
        <row r="7">
          <cell r="AI7">
            <v>10000</v>
          </cell>
        </row>
      </sheetData>
      <sheetData sheetId="1819" refreshError="1"/>
      <sheetData sheetId="1820">
        <row r="7">
          <cell r="AI7">
            <v>10000</v>
          </cell>
        </row>
      </sheetData>
      <sheetData sheetId="1821">
        <row r="7">
          <cell r="AH7" t="str">
            <v>SP1</v>
          </cell>
        </row>
      </sheetData>
      <sheetData sheetId="1822">
        <row r="7">
          <cell r="AH7" t="str">
            <v>SP1</v>
          </cell>
        </row>
      </sheetData>
      <sheetData sheetId="1823" refreshError="1"/>
      <sheetData sheetId="1824" refreshError="1"/>
      <sheetData sheetId="1825" refreshError="1"/>
      <sheetData sheetId="1826">
        <row r="7">
          <cell r="AI7">
            <v>10000</v>
          </cell>
        </row>
      </sheetData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>
        <row r="7">
          <cell r="AI7">
            <v>10000</v>
          </cell>
        </row>
      </sheetData>
      <sheetData sheetId="1836">
        <row r="7">
          <cell r="AI7">
            <v>10000</v>
          </cell>
        </row>
      </sheetData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>
        <row r="7">
          <cell r="AI7">
            <v>10000</v>
          </cell>
        </row>
      </sheetData>
      <sheetData sheetId="1863">
        <row r="7">
          <cell r="AH7" t="str">
            <v>SP1</v>
          </cell>
        </row>
      </sheetData>
      <sheetData sheetId="1864">
        <row r="7">
          <cell r="AH7" t="str">
            <v>SP1</v>
          </cell>
        </row>
      </sheetData>
      <sheetData sheetId="1865">
        <row r="7">
          <cell r="AH7" t="str">
            <v>SP1</v>
          </cell>
        </row>
      </sheetData>
      <sheetData sheetId="1866">
        <row r="7">
          <cell r="AH7" t="str">
            <v>SP1</v>
          </cell>
        </row>
      </sheetData>
      <sheetData sheetId="1867">
        <row r="7">
          <cell r="AH7" t="str">
            <v>SP1</v>
          </cell>
        </row>
      </sheetData>
      <sheetData sheetId="1868">
        <row r="7">
          <cell r="AH7" t="str">
            <v>SP1</v>
          </cell>
        </row>
      </sheetData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>
        <row r="7">
          <cell r="AH7" t="str">
            <v>SP1</v>
          </cell>
        </row>
      </sheetData>
      <sheetData sheetId="1875" refreshError="1"/>
      <sheetData sheetId="1876" refreshError="1"/>
      <sheetData sheetId="1877" refreshError="1"/>
      <sheetData sheetId="1878">
        <row r="7">
          <cell r="AI7">
            <v>10000</v>
          </cell>
        </row>
      </sheetData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>
        <row r="7">
          <cell r="AI7">
            <v>10000</v>
          </cell>
        </row>
      </sheetData>
      <sheetData sheetId="1893">
        <row r="7">
          <cell r="AI7">
            <v>10000</v>
          </cell>
        </row>
      </sheetData>
      <sheetData sheetId="1894">
        <row r="7">
          <cell r="AI7">
            <v>10000</v>
          </cell>
        </row>
      </sheetData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>
        <row r="7">
          <cell r="AI7">
            <v>10000</v>
          </cell>
        </row>
      </sheetData>
      <sheetData sheetId="1902">
        <row r="7">
          <cell r="AI7">
            <v>10000</v>
          </cell>
        </row>
      </sheetData>
      <sheetData sheetId="1903">
        <row r="7">
          <cell r="AI7">
            <v>10000</v>
          </cell>
        </row>
      </sheetData>
      <sheetData sheetId="1904">
        <row r="7">
          <cell r="AH7" t="str">
            <v>SP1</v>
          </cell>
        </row>
      </sheetData>
      <sheetData sheetId="1905">
        <row r="7">
          <cell r="AI7">
            <v>10000</v>
          </cell>
        </row>
      </sheetData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>
        <row r="7">
          <cell r="AI7">
            <v>10000</v>
          </cell>
        </row>
      </sheetData>
      <sheetData sheetId="1925">
        <row r="7">
          <cell r="AI7">
            <v>10000</v>
          </cell>
        </row>
      </sheetData>
      <sheetData sheetId="1926">
        <row r="7">
          <cell r="AI7">
            <v>10000</v>
          </cell>
        </row>
      </sheetData>
      <sheetData sheetId="1927">
        <row r="7">
          <cell r="AI7">
            <v>10000</v>
          </cell>
        </row>
      </sheetData>
      <sheetData sheetId="1928">
        <row r="7">
          <cell r="AI7">
            <v>10000</v>
          </cell>
        </row>
      </sheetData>
      <sheetData sheetId="1929">
        <row r="7">
          <cell r="AI7">
            <v>10000</v>
          </cell>
        </row>
      </sheetData>
      <sheetData sheetId="1930">
        <row r="7">
          <cell r="AI7">
            <v>10000</v>
          </cell>
        </row>
      </sheetData>
      <sheetData sheetId="1931">
        <row r="7">
          <cell r="AI7">
            <v>10000</v>
          </cell>
        </row>
      </sheetData>
      <sheetData sheetId="1932">
        <row r="7">
          <cell r="AI7">
            <v>10000</v>
          </cell>
        </row>
      </sheetData>
      <sheetData sheetId="1933">
        <row r="7">
          <cell r="AI7">
            <v>10000</v>
          </cell>
        </row>
      </sheetData>
      <sheetData sheetId="1934">
        <row r="7">
          <cell r="AI7">
            <v>10000</v>
          </cell>
        </row>
      </sheetData>
      <sheetData sheetId="1935">
        <row r="7">
          <cell r="AI7">
            <v>10000</v>
          </cell>
        </row>
      </sheetData>
      <sheetData sheetId="1936">
        <row r="7">
          <cell r="AI7">
            <v>10000</v>
          </cell>
        </row>
      </sheetData>
      <sheetData sheetId="1937">
        <row r="7">
          <cell r="AI7">
            <v>10000</v>
          </cell>
        </row>
      </sheetData>
      <sheetData sheetId="1938">
        <row r="7">
          <cell r="AI7">
            <v>10000</v>
          </cell>
        </row>
      </sheetData>
      <sheetData sheetId="1939">
        <row r="7">
          <cell r="AI7">
            <v>10000</v>
          </cell>
        </row>
      </sheetData>
      <sheetData sheetId="1940">
        <row r="7">
          <cell r="AI7">
            <v>10000</v>
          </cell>
        </row>
      </sheetData>
      <sheetData sheetId="1941">
        <row r="7">
          <cell r="AI7">
            <v>10000</v>
          </cell>
        </row>
      </sheetData>
      <sheetData sheetId="1942">
        <row r="7">
          <cell r="AI7">
            <v>10000</v>
          </cell>
        </row>
      </sheetData>
      <sheetData sheetId="1943">
        <row r="7">
          <cell r="AI7">
            <v>10000</v>
          </cell>
        </row>
      </sheetData>
      <sheetData sheetId="1944">
        <row r="7">
          <cell r="AI7">
            <v>10000</v>
          </cell>
        </row>
      </sheetData>
      <sheetData sheetId="1945">
        <row r="7">
          <cell r="AI7">
            <v>10000</v>
          </cell>
        </row>
      </sheetData>
      <sheetData sheetId="1946">
        <row r="7">
          <cell r="AI7">
            <v>10000</v>
          </cell>
        </row>
      </sheetData>
      <sheetData sheetId="1947">
        <row r="7">
          <cell r="AI7">
            <v>10000</v>
          </cell>
        </row>
      </sheetData>
      <sheetData sheetId="1948">
        <row r="7">
          <cell r="AI7">
            <v>10000</v>
          </cell>
        </row>
      </sheetData>
      <sheetData sheetId="1949">
        <row r="7">
          <cell r="AI7">
            <v>10000</v>
          </cell>
        </row>
      </sheetData>
      <sheetData sheetId="1950">
        <row r="7">
          <cell r="AI7">
            <v>10000</v>
          </cell>
        </row>
      </sheetData>
      <sheetData sheetId="1951">
        <row r="7">
          <cell r="AI7">
            <v>10000</v>
          </cell>
        </row>
      </sheetData>
      <sheetData sheetId="1952">
        <row r="7">
          <cell r="AI7">
            <v>10000</v>
          </cell>
        </row>
      </sheetData>
      <sheetData sheetId="1953">
        <row r="7">
          <cell r="AI7">
            <v>10000</v>
          </cell>
        </row>
      </sheetData>
      <sheetData sheetId="1954">
        <row r="7">
          <cell r="AI7">
            <v>10000</v>
          </cell>
        </row>
      </sheetData>
      <sheetData sheetId="1955">
        <row r="7">
          <cell r="AI7">
            <v>10000</v>
          </cell>
        </row>
      </sheetData>
      <sheetData sheetId="1956">
        <row r="7">
          <cell r="AI7">
            <v>10000</v>
          </cell>
        </row>
      </sheetData>
      <sheetData sheetId="1957">
        <row r="7">
          <cell r="AI7">
            <v>10000</v>
          </cell>
        </row>
      </sheetData>
      <sheetData sheetId="1958">
        <row r="7">
          <cell r="AI7">
            <v>10000</v>
          </cell>
        </row>
      </sheetData>
      <sheetData sheetId="1959">
        <row r="7">
          <cell r="AI7">
            <v>10000</v>
          </cell>
        </row>
      </sheetData>
      <sheetData sheetId="1960">
        <row r="7">
          <cell r="AI7">
            <v>10000</v>
          </cell>
        </row>
      </sheetData>
      <sheetData sheetId="1961">
        <row r="7">
          <cell r="AI7">
            <v>10000</v>
          </cell>
        </row>
      </sheetData>
      <sheetData sheetId="1962">
        <row r="7">
          <cell r="AI7">
            <v>10000</v>
          </cell>
        </row>
      </sheetData>
      <sheetData sheetId="1963">
        <row r="7">
          <cell r="AI7">
            <v>10000</v>
          </cell>
        </row>
      </sheetData>
      <sheetData sheetId="1964">
        <row r="7">
          <cell r="AI7">
            <v>10000</v>
          </cell>
        </row>
      </sheetData>
      <sheetData sheetId="1965">
        <row r="7">
          <cell r="AI7">
            <v>10000</v>
          </cell>
        </row>
      </sheetData>
      <sheetData sheetId="1966">
        <row r="7">
          <cell r="AI7">
            <v>10000</v>
          </cell>
        </row>
      </sheetData>
      <sheetData sheetId="1967">
        <row r="7">
          <cell r="AI7">
            <v>10000</v>
          </cell>
        </row>
      </sheetData>
      <sheetData sheetId="1968">
        <row r="7">
          <cell r="AI7">
            <v>10000</v>
          </cell>
        </row>
      </sheetData>
      <sheetData sheetId="1969">
        <row r="7">
          <cell r="AI7">
            <v>10000</v>
          </cell>
        </row>
      </sheetData>
      <sheetData sheetId="1970">
        <row r="7">
          <cell r="AI7">
            <v>10000</v>
          </cell>
        </row>
      </sheetData>
      <sheetData sheetId="1971">
        <row r="7">
          <cell r="AI7">
            <v>10000</v>
          </cell>
        </row>
      </sheetData>
      <sheetData sheetId="1972">
        <row r="7">
          <cell r="AI7">
            <v>10000</v>
          </cell>
        </row>
      </sheetData>
      <sheetData sheetId="1973">
        <row r="7">
          <cell r="AI7">
            <v>10000</v>
          </cell>
        </row>
      </sheetData>
      <sheetData sheetId="1974">
        <row r="7">
          <cell r="AI7">
            <v>10000</v>
          </cell>
        </row>
      </sheetData>
      <sheetData sheetId="1975">
        <row r="7">
          <cell r="AI7">
            <v>10000</v>
          </cell>
        </row>
      </sheetData>
      <sheetData sheetId="1976">
        <row r="7">
          <cell r="AI7">
            <v>10000</v>
          </cell>
        </row>
      </sheetData>
      <sheetData sheetId="1977">
        <row r="7">
          <cell r="AI7">
            <v>10000</v>
          </cell>
        </row>
      </sheetData>
      <sheetData sheetId="1978">
        <row r="7">
          <cell r="AI7">
            <v>10000</v>
          </cell>
        </row>
      </sheetData>
      <sheetData sheetId="1979">
        <row r="7">
          <cell r="AI7">
            <v>10000</v>
          </cell>
        </row>
      </sheetData>
      <sheetData sheetId="1980">
        <row r="7">
          <cell r="AI7">
            <v>10000</v>
          </cell>
        </row>
      </sheetData>
      <sheetData sheetId="1981">
        <row r="7">
          <cell r="AI7">
            <v>10000</v>
          </cell>
        </row>
      </sheetData>
      <sheetData sheetId="1982">
        <row r="7">
          <cell r="AI7">
            <v>10000</v>
          </cell>
        </row>
      </sheetData>
      <sheetData sheetId="1983">
        <row r="7">
          <cell r="AI7">
            <v>10000</v>
          </cell>
        </row>
      </sheetData>
      <sheetData sheetId="1984">
        <row r="7">
          <cell r="AI7">
            <v>10000</v>
          </cell>
        </row>
      </sheetData>
      <sheetData sheetId="1985">
        <row r="7">
          <cell r="AI7">
            <v>10000</v>
          </cell>
        </row>
      </sheetData>
      <sheetData sheetId="1986">
        <row r="7">
          <cell r="AI7">
            <v>10000</v>
          </cell>
        </row>
      </sheetData>
      <sheetData sheetId="1987">
        <row r="7">
          <cell r="AI7">
            <v>10000</v>
          </cell>
        </row>
      </sheetData>
      <sheetData sheetId="1988">
        <row r="7">
          <cell r="AI7">
            <v>10000</v>
          </cell>
        </row>
      </sheetData>
      <sheetData sheetId="1989">
        <row r="7">
          <cell r="AI7">
            <v>10000</v>
          </cell>
        </row>
      </sheetData>
      <sheetData sheetId="1990">
        <row r="7">
          <cell r="AI7">
            <v>10000</v>
          </cell>
        </row>
      </sheetData>
      <sheetData sheetId="1991">
        <row r="7">
          <cell r="AI7">
            <v>10000</v>
          </cell>
        </row>
      </sheetData>
      <sheetData sheetId="1992">
        <row r="7">
          <cell r="AI7">
            <v>10000</v>
          </cell>
        </row>
      </sheetData>
      <sheetData sheetId="1993">
        <row r="7">
          <cell r="AI7">
            <v>10000</v>
          </cell>
        </row>
      </sheetData>
      <sheetData sheetId="1994">
        <row r="7">
          <cell r="AI7">
            <v>10000</v>
          </cell>
        </row>
      </sheetData>
      <sheetData sheetId="1995">
        <row r="7">
          <cell r="AI7">
            <v>10000</v>
          </cell>
        </row>
      </sheetData>
      <sheetData sheetId="1996">
        <row r="7">
          <cell r="AI7">
            <v>10000</v>
          </cell>
        </row>
      </sheetData>
      <sheetData sheetId="1997">
        <row r="7">
          <cell r="AI7">
            <v>10000</v>
          </cell>
        </row>
      </sheetData>
      <sheetData sheetId="1998">
        <row r="7">
          <cell r="AI7">
            <v>10000</v>
          </cell>
        </row>
      </sheetData>
      <sheetData sheetId="1999">
        <row r="7">
          <cell r="AI7">
            <v>10000</v>
          </cell>
        </row>
      </sheetData>
      <sheetData sheetId="2000">
        <row r="7">
          <cell r="AI7">
            <v>10000</v>
          </cell>
        </row>
      </sheetData>
      <sheetData sheetId="2001">
        <row r="7">
          <cell r="AI7">
            <v>10000</v>
          </cell>
        </row>
      </sheetData>
      <sheetData sheetId="2002">
        <row r="7">
          <cell r="AI7">
            <v>10000</v>
          </cell>
        </row>
      </sheetData>
      <sheetData sheetId="2003">
        <row r="7">
          <cell r="AI7">
            <v>10000</v>
          </cell>
        </row>
      </sheetData>
      <sheetData sheetId="2004">
        <row r="7">
          <cell r="AI7">
            <v>10000</v>
          </cell>
        </row>
      </sheetData>
      <sheetData sheetId="2005">
        <row r="7">
          <cell r="AI7">
            <v>10000</v>
          </cell>
        </row>
      </sheetData>
      <sheetData sheetId="2006">
        <row r="7">
          <cell r="AI7">
            <v>10000</v>
          </cell>
        </row>
      </sheetData>
      <sheetData sheetId="2007">
        <row r="7">
          <cell r="AI7">
            <v>10000</v>
          </cell>
        </row>
      </sheetData>
      <sheetData sheetId="2008">
        <row r="7">
          <cell r="AI7">
            <v>10000</v>
          </cell>
        </row>
      </sheetData>
      <sheetData sheetId="2009">
        <row r="7">
          <cell r="AI7">
            <v>10000</v>
          </cell>
        </row>
      </sheetData>
      <sheetData sheetId="2010">
        <row r="7">
          <cell r="AI7">
            <v>10000</v>
          </cell>
        </row>
      </sheetData>
      <sheetData sheetId="2011">
        <row r="7">
          <cell r="AI7">
            <v>10000</v>
          </cell>
        </row>
      </sheetData>
      <sheetData sheetId="2012">
        <row r="7">
          <cell r="AI7">
            <v>10000</v>
          </cell>
        </row>
      </sheetData>
      <sheetData sheetId="2013">
        <row r="7">
          <cell r="AI7">
            <v>10000</v>
          </cell>
        </row>
      </sheetData>
      <sheetData sheetId="2014">
        <row r="7">
          <cell r="AI7">
            <v>10000</v>
          </cell>
        </row>
      </sheetData>
      <sheetData sheetId="2015">
        <row r="7">
          <cell r="AI7">
            <v>10000</v>
          </cell>
        </row>
      </sheetData>
      <sheetData sheetId="2016">
        <row r="7">
          <cell r="AI7">
            <v>10000</v>
          </cell>
        </row>
      </sheetData>
      <sheetData sheetId="2017">
        <row r="7">
          <cell r="AI7">
            <v>10000</v>
          </cell>
        </row>
      </sheetData>
      <sheetData sheetId="2018">
        <row r="7">
          <cell r="AI7">
            <v>10000</v>
          </cell>
        </row>
      </sheetData>
      <sheetData sheetId="2019">
        <row r="7">
          <cell r="AI7">
            <v>10000</v>
          </cell>
        </row>
      </sheetData>
      <sheetData sheetId="2020">
        <row r="7">
          <cell r="AI7">
            <v>10000</v>
          </cell>
        </row>
      </sheetData>
      <sheetData sheetId="2021">
        <row r="7">
          <cell r="AI7">
            <v>10000</v>
          </cell>
        </row>
      </sheetData>
      <sheetData sheetId="2022">
        <row r="7">
          <cell r="AI7">
            <v>10000</v>
          </cell>
        </row>
      </sheetData>
      <sheetData sheetId="2023">
        <row r="7">
          <cell r="AI7">
            <v>10000</v>
          </cell>
        </row>
      </sheetData>
      <sheetData sheetId="2024">
        <row r="7">
          <cell r="AI7">
            <v>10000</v>
          </cell>
        </row>
      </sheetData>
      <sheetData sheetId="2025">
        <row r="7">
          <cell r="AI7">
            <v>10000</v>
          </cell>
        </row>
      </sheetData>
      <sheetData sheetId="2026">
        <row r="7">
          <cell r="AI7">
            <v>10000</v>
          </cell>
        </row>
      </sheetData>
      <sheetData sheetId="2027">
        <row r="7">
          <cell r="AI7">
            <v>10000</v>
          </cell>
        </row>
      </sheetData>
      <sheetData sheetId="2028">
        <row r="7">
          <cell r="AI7">
            <v>10000</v>
          </cell>
        </row>
      </sheetData>
      <sheetData sheetId="2029">
        <row r="7">
          <cell r="AI7">
            <v>10000</v>
          </cell>
        </row>
      </sheetData>
      <sheetData sheetId="2030">
        <row r="7">
          <cell r="AI7">
            <v>10000</v>
          </cell>
        </row>
      </sheetData>
      <sheetData sheetId="2031">
        <row r="7">
          <cell r="AI7">
            <v>10000</v>
          </cell>
        </row>
      </sheetData>
      <sheetData sheetId="2032">
        <row r="7">
          <cell r="AI7">
            <v>10000</v>
          </cell>
        </row>
      </sheetData>
      <sheetData sheetId="2033">
        <row r="7">
          <cell r="AI7">
            <v>10000</v>
          </cell>
        </row>
      </sheetData>
      <sheetData sheetId="2034">
        <row r="7">
          <cell r="AI7">
            <v>10000</v>
          </cell>
        </row>
      </sheetData>
      <sheetData sheetId="2035">
        <row r="7">
          <cell r="AI7">
            <v>10000</v>
          </cell>
        </row>
      </sheetData>
      <sheetData sheetId="2036">
        <row r="7">
          <cell r="AI7">
            <v>10000</v>
          </cell>
        </row>
      </sheetData>
      <sheetData sheetId="2037">
        <row r="7">
          <cell r="AI7">
            <v>10000</v>
          </cell>
        </row>
      </sheetData>
      <sheetData sheetId="2038">
        <row r="7">
          <cell r="AI7">
            <v>10000</v>
          </cell>
        </row>
      </sheetData>
      <sheetData sheetId="2039">
        <row r="7">
          <cell r="AI7">
            <v>10000</v>
          </cell>
        </row>
      </sheetData>
      <sheetData sheetId="2040">
        <row r="7">
          <cell r="AI7">
            <v>10000</v>
          </cell>
        </row>
      </sheetData>
      <sheetData sheetId="2041">
        <row r="7">
          <cell r="AI7">
            <v>10000</v>
          </cell>
        </row>
      </sheetData>
      <sheetData sheetId="2042">
        <row r="7">
          <cell r="AI7">
            <v>10000</v>
          </cell>
        </row>
      </sheetData>
      <sheetData sheetId="2043">
        <row r="7">
          <cell r="AI7">
            <v>10000</v>
          </cell>
        </row>
      </sheetData>
      <sheetData sheetId="2044">
        <row r="7">
          <cell r="AI7">
            <v>10000</v>
          </cell>
        </row>
      </sheetData>
      <sheetData sheetId="2045">
        <row r="7">
          <cell r="AI7">
            <v>10000</v>
          </cell>
        </row>
      </sheetData>
      <sheetData sheetId="2046">
        <row r="7">
          <cell r="AI7">
            <v>10000</v>
          </cell>
        </row>
      </sheetData>
      <sheetData sheetId="2047">
        <row r="7">
          <cell r="AI7">
            <v>10000</v>
          </cell>
        </row>
      </sheetData>
      <sheetData sheetId="2048">
        <row r="7">
          <cell r="AI7">
            <v>10000</v>
          </cell>
        </row>
      </sheetData>
      <sheetData sheetId="2049">
        <row r="7">
          <cell r="AI7">
            <v>10000</v>
          </cell>
        </row>
      </sheetData>
      <sheetData sheetId="2050">
        <row r="7">
          <cell r="AI7">
            <v>10000</v>
          </cell>
        </row>
      </sheetData>
      <sheetData sheetId="2051">
        <row r="7">
          <cell r="AI7">
            <v>10000</v>
          </cell>
        </row>
      </sheetData>
      <sheetData sheetId="2052">
        <row r="7">
          <cell r="AI7">
            <v>10000</v>
          </cell>
        </row>
      </sheetData>
      <sheetData sheetId="2053">
        <row r="7">
          <cell r="AI7">
            <v>10000</v>
          </cell>
        </row>
      </sheetData>
      <sheetData sheetId="2054">
        <row r="7">
          <cell r="AI7">
            <v>10000</v>
          </cell>
        </row>
      </sheetData>
      <sheetData sheetId="2055">
        <row r="7">
          <cell r="AI7">
            <v>10000</v>
          </cell>
        </row>
      </sheetData>
      <sheetData sheetId="2056">
        <row r="7">
          <cell r="AI7">
            <v>10000</v>
          </cell>
        </row>
      </sheetData>
      <sheetData sheetId="2057">
        <row r="7">
          <cell r="AI7">
            <v>10000</v>
          </cell>
        </row>
      </sheetData>
      <sheetData sheetId="2058">
        <row r="7">
          <cell r="AI7">
            <v>10000</v>
          </cell>
        </row>
      </sheetData>
      <sheetData sheetId="2059">
        <row r="7">
          <cell r="AI7">
            <v>10000</v>
          </cell>
        </row>
      </sheetData>
      <sheetData sheetId="2060">
        <row r="7">
          <cell r="AI7">
            <v>10000</v>
          </cell>
        </row>
      </sheetData>
      <sheetData sheetId="2061">
        <row r="7">
          <cell r="AI7">
            <v>10000</v>
          </cell>
        </row>
      </sheetData>
      <sheetData sheetId="2062">
        <row r="7">
          <cell r="AI7">
            <v>10000</v>
          </cell>
        </row>
      </sheetData>
      <sheetData sheetId="2063">
        <row r="7">
          <cell r="AI7">
            <v>10000</v>
          </cell>
        </row>
      </sheetData>
      <sheetData sheetId="2064">
        <row r="7">
          <cell r="AI7">
            <v>10000</v>
          </cell>
        </row>
      </sheetData>
      <sheetData sheetId="2065">
        <row r="7">
          <cell r="AI7">
            <v>10000</v>
          </cell>
        </row>
      </sheetData>
      <sheetData sheetId="2066">
        <row r="7">
          <cell r="AI7">
            <v>10000</v>
          </cell>
        </row>
      </sheetData>
      <sheetData sheetId="2067">
        <row r="7">
          <cell r="AI7">
            <v>10000</v>
          </cell>
        </row>
      </sheetData>
      <sheetData sheetId="2068">
        <row r="7">
          <cell r="AI7">
            <v>10000</v>
          </cell>
        </row>
      </sheetData>
      <sheetData sheetId="2069">
        <row r="7">
          <cell r="AI7">
            <v>10000</v>
          </cell>
        </row>
      </sheetData>
      <sheetData sheetId="2070">
        <row r="7">
          <cell r="AI7">
            <v>10000</v>
          </cell>
        </row>
      </sheetData>
      <sheetData sheetId="2071">
        <row r="7">
          <cell r="AI7">
            <v>10000</v>
          </cell>
        </row>
      </sheetData>
      <sheetData sheetId="2072">
        <row r="7">
          <cell r="AI7">
            <v>10000</v>
          </cell>
        </row>
      </sheetData>
      <sheetData sheetId="2073">
        <row r="7">
          <cell r="AI7">
            <v>10000</v>
          </cell>
        </row>
      </sheetData>
      <sheetData sheetId="2074">
        <row r="7">
          <cell r="AI7">
            <v>10000</v>
          </cell>
        </row>
      </sheetData>
      <sheetData sheetId="2075">
        <row r="7">
          <cell r="AI7">
            <v>10000</v>
          </cell>
        </row>
      </sheetData>
      <sheetData sheetId="2076">
        <row r="7">
          <cell r="AI7">
            <v>10000</v>
          </cell>
        </row>
      </sheetData>
      <sheetData sheetId="2077">
        <row r="7">
          <cell r="AI7">
            <v>10000</v>
          </cell>
        </row>
      </sheetData>
      <sheetData sheetId="2078">
        <row r="7">
          <cell r="AI7">
            <v>10000</v>
          </cell>
        </row>
      </sheetData>
      <sheetData sheetId="2079">
        <row r="7">
          <cell r="AI7">
            <v>10000</v>
          </cell>
        </row>
      </sheetData>
      <sheetData sheetId="2080">
        <row r="7">
          <cell r="AI7">
            <v>10000</v>
          </cell>
        </row>
      </sheetData>
      <sheetData sheetId="2081">
        <row r="7">
          <cell r="AI7">
            <v>10000</v>
          </cell>
        </row>
      </sheetData>
      <sheetData sheetId="2082">
        <row r="7">
          <cell r="AI7">
            <v>10000</v>
          </cell>
        </row>
      </sheetData>
      <sheetData sheetId="2083">
        <row r="7">
          <cell r="AI7">
            <v>10000</v>
          </cell>
        </row>
      </sheetData>
      <sheetData sheetId="2084">
        <row r="7">
          <cell r="AI7">
            <v>10000</v>
          </cell>
        </row>
      </sheetData>
      <sheetData sheetId="2085">
        <row r="7">
          <cell r="AI7">
            <v>10000</v>
          </cell>
        </row>
      </sheetData>
      <sheetData sheetId="2086">
        <row r="7">
          <cell r="AI7">
            <v>10000</v>
          </cell>
        </row>
      </sheetData>
      <sheetData sheetId="2087">
        <row r="7">
          <cell r="AI7">
            <v>10000</v>
          </cell>
        </row>
      </sheetData>
      <sheetData sheetId="2088">
        <row r="7">
          <cell r="AI7">
            <v>10000</v>
          </cell>
        </row>
      </sheetData>
      <sheetData sheetId="2089">
        <row r="7">
          <cell r="AI7">
            <v>10000</v>
          </cell>
        </row>
      </sheetData>
      <sheetData sheetId="2090">
        <row r="7">
          <cell r="AI7">
            <v>10000</v>
          </cell>
        </row>
      </sheetData>
      <sheetData sheetId="2091">
        <row r="7">
          <cell r="AI7">
            <v>10000</v>
          </cell>
        </row>
      </sheetData>
      <sheetData sheetId="2092">
        <row r="7">
          <cell r="AI7">
            <v>10000</v>
          </cell>
        </row>
      </sheetData>
      <sheetData sheetId="2093">
        <row r="7">
          <cell r="AI7">
            <v>10000</v>
          </cell>
        </row>
      </sheetData>
      <sheetData sheetId="2094">
        <row r="7">
          <cell r="AI7">
            <v>10000</v>
          </cell>
        </row>
      </sheetData>
      <sheetData sheetId="2095">
        <row r="7">
          <cell r="AI7">
            <v>10000</v>
          </cell>
        </row>
      </sheetData>
      <sheetData sheetId="2096">
        <row r="7">
          <cell r="AI7">
            <v>10000</v>
          </cell>
        </row>
      </sheetData>
      <sheetData sheetId="2097">
        <row r="7">
          <cell r="AI7">
            <v>10000</v>
          </cell>
        </row>
      </sheetData>
      <sheetData sheetId="2098">
        <row r="7">
          <cell r="AI7">
            <v>10000</v>
          </cell>
        </row>
      </sheetData>
      <sheetData sheetId="2099">
        <row r="7">
          <cell r="AI7">
            <v>10000</v>
          </cell>
        </row>
      </sheetData>
      <sheetData sheetId="2100">
        <row r="7">
          <cell r="AI7">
            <v>10000</v>
          </cell>
        </row>
      </sheetData>
      <sheetData sheetId="2101">
        <row r="7">
          <cell r="AH7" t="str">
            <v>SP1</v>
          </cell>
        </row>
      </sheetData>
      <sheetData sheetId="2102">
        <row r="7">
          <cell r="AH7" t="str">
            <v>SP1</v>
          </cell>
        </row>
      </sheetData>
      <sheetData sheetId="2103">
        <row r="7">
          <cell r="AH7" t="str">
            <v>SP1</v>
          </cell>
        </row>
      </sheetData>
      <sheetData sheetId="2104">
        <row r="7">
          <cell r="AI7">
            <v>10000</v>
          </cell>
        </row>
      </sheetData>
      <sheetData sheetId="2105">
        <row r="7">
          <cell r="AI7">
            <v>10000</v>
          </cell>
        </row>
      </sheetData>
      <sheetData sheetId="2106">
        <row r="7">
          <cell r="AI7">
            <v>10000</v>
          </cell>
        </row>
      </sheetData>
      <sheetData sheetId="2107">
        <row r="7">
          <cell r="AI7">
            <v>10000</v>
          </cell>
        </row>
      </sheetData>
      <sheetData sheetId="2108">
        <row r="7">
          <cell r="AI7">
            <v>10000</v>
          </cell>
        </row>
      </sheetData>
      <sheetData sheetId="2109">
        <row r="7">
          <cell r="AI7">
            <v>10000</v>
          </cell>
        </row>
      </sheetData>
      <sheetData sheetId="2110">
        <row r="7">
          <cell r="AH7" t="str">
            <v>SP1</v>
          </cell>
        </row>
      </sheetData>
      <sheetData sheetId="2111">
        <row r="7">
          <cell r="AH7" t="str">
            <v>SP1</v>
          </cell>
        </row>
      </sheetData>
      <sheetData sheetId="2112">
        <row r="7">
          <cell r="AH7" t="str">
            <v>SP1</v>
          </cell>
        </row>
      </sheetData>
      <sheetData sheetId="2113">
        <row r="7">
          <cell r="AH7" t="str">
            <v>SP1</v>
          </cell>
        </row>
      </sheetData>
      <sheetData sheetId="2114">
        <row r="7">
          <cell r="AH7" t="str">
            <v>SP1</v>
          </cell>
        </row>
      </sheetData>
      <sheetData sheetId="2115">
        <row r="7">
          <cell r="AI7">
            <v>10000</v>
          </cell>
        </row>
      </sheetData>
      <sheetData sheetId="2116">
        <row r="7">
          <cell r="AH7" t="str">
            <v>SP1</v>
          </cell>
        </row>
      </sheetData>
      <sheetData sheetId="2117">
        <row r="7">
          <cell r="AH7" t="str">
            <v>SP1</v>
          </cell>
        </row>
      </sheetData>
      <sheetData sheetId="2118">
        <row r="7">
          <cell r="AH7" t="str">
            <v>SP1</v>
          </cell>
        </row>
      </sheetData>
      <sheetData sheetId="2119">
        <row r="7">
          <cell r="AI7">
            <v>10000</v>
          </cell>
        </row>
      </sheetData>
      <sheetData sheetId="2120">
        <row r="7">
          <cell r="AI7">
            <v>10000</v>
          </cell>
        </row>
      </sheetData>
      <sheetData sheetId="2121">
        <row r="7">
          <cell r="AI7">
            <v>10000</v>
          </cell>
        </row>
      </sheetData>
      <sheetData sheetId="2122">
        <row r="7">
          <cell r="AI7">
            <v>10000</v>
          </cell>
        </row>
      </sheetData>
      <sheetData sheetId="2123">
        <row r="7">
          <cell r="AI7">
            <v>10000</v>
          </cell>
        </row>
      </sheetData>
      <sheetData sheetId="2124">
        <row r="7">
          <cell r="AI7">
            <v>10000</v>
          </cell>
        </row>
      </sheetData>
      <sheetData sheetId="2125">
        <row r="7">
          <cell r="AH7" t="str">
            <v>SP1</v>
          </cell>
        </row>
      </sheetData>
      <sheetData sheetId="2126">
        <row r="7">
          <cell r="AH7" t="str">
            <v>SP1</v>
          </cell>
        </row>
      </sheetData>
      <sheetData sheetId="2127">
        <row r="7">
          <cell r="AH7" t="str">
            <v>SP1</v>
          </cell>
        </row>
      </sheetData>
      <sheetData sheetId="2128">
        <row r="7">
          <cell r="AH7" t="str">
            <v>SP1</v>
          </cell>
        </row>
      </sheetData>
      <sheetData sheetId="2129">
        <row r="7">
          <cell r="AH7" t="str">
            <v>SP1</v>
          </cell>
        </row>
      </sheetData>
      <sheetData sheetId="2130">
        <row r="7">
          <cell r="AI7">
            <v>10000</v>
          </cell>
        </row>
      </sheetData>
      <sheetData sheetId="2131">
        <row r="7">
          <cell r="AH7" t="str">
            <v>SP1</v>
          </cell>
        </row>
      </sheetData>
      <sheetData sheetId="2132">
        <row r="7">
          <cell r="AH7" t="str">
            <v>SP1</v>
          </cell>
        </row>
      </sheetData>
      <sheetData sheetId="2133">
        <row r="7">
          <cell r="AH7" t="str">
            <v>SP1</v>
          </cell>
        </row>
      </sheetData>
      <sheetData sheetId="2134">
        <row r="7">
          <cell r="AI7">
            <v>10000</v>
          </cell>
        </row>
      </sheetData>
      <sheetData sheetId="2135">
        <row r="7">
          <cell r="AI7">
            <v>10000</v>
          </cell>
        </row>
      </sheetData>
      <sheetData sheetId="2136">
        <row r="7">
          <cell r="AI7">
            <v>10000</v>
          </cell>
        </row>
      </sheetData>
      <sheetData sheetId="2137">
        <row r="7">
          <cell r="AH7" t="str">
            <v>SP1</v>
          </cell>
        </row>
      </sheetData>
      <sheetData sheetId="2138">
        <row r="7">
          <cell r="AH7" t="str">
            <v>SP1</v>
          </cell>
        </row>
      </sheetData>
      <sheetData sheetId="2139">
        <row r="7">
          <cell r="AH7" t="str">
            <v>SP1</v>
          </cell>
        </row>
      </sheetData>
      <sheetData sheetId="2140">
        <row r="7">
          <cell r="AI7">
            <v>10000</v>
          </cell>
        </row>
      </sheetData>
      <sheetData sheetId="2141">
        <row r="7">
          <cell r="AI7">
            <v>10000</v>
          </cell>
        </row>
      </sheetData>
      <sheetData sheetId="2142">
        <row r="7">
          <cell r="AH7" t="str">
            <v>SP1</v>
          </cell>
        </row>
      </sheetData>
      <sheetData sheetId="2143">
        <row r="7">
          <cell r="AH7" t="str">
            <v>SP1</v>
          </cell>
        </row>
      </sheetData>
      <sheetData sheetId="2144">
        <row r="7">
          <cell r="AH7" t="str">
            <v>SP1</v>
          </cell>
        </row>
      </sheetData>
      <sheetData sheetId="2145">
        <row r="7">
          <cell r="AI7">
            <v>10000</v>
          </cell>
        </row>
      </sheetData>
      <sheetData sheetId="2146">
        <row r="7">
          <cell r="AH7" t="str">
            <v>SP1</v>
          </cell>
        </row>
      </sheetData>
      <sheetData sheetId="2147">
        <row r="7">
          <cell r="AH7" t="str">
            <v>SP1</v>
          </cell>
        </row>
      </sheetData>
      <sheetData sheetId="2148">
        <row r="7">
          <cell r="AH7" t="str">
            <v>SP1</v>
          </cell>
        </row>
      </sheetData>
      <sheetData sheetId="2149">
        <row r="7">
          <cell r="AH7" t="str">
            <v>SP1</v>
          </cell>
        </row>
      </sheetData>
      <sheetData sheetId="2150">
        <row r="7">
          <cell r="AH7" t="str">
            <v>SP1</v>
          </cell>
        </row>
      </sheetData>
      <sheetData sheetId="2151">
        <row r="7">
          <cell r="AI7">
            <v>10000</v>
          </cell>
        </row>
      </sheetData>
      <sheetData sheetId="2152">
        <row r="7">
          <cell r="AH7" t="str">
            <v>SP1</v>
          </cell>
        </row>
      </sheetData>
      <sheetData sheetId="2153">
        <row r="7">
          <cell r="AH7" t="str">
            <v>SP1</v>
          </cell>
        </row>
      </sheetData>
      <sheetData sheetId="2154">
        <row r="7">
          <cell r="AH7" t="str">
            <v>SP1</v>
          </cell>
        </row>
      </sheetData>
      <sheetData sheetId="2155">
        <row r="7">
          <cell r="AH7" t="str">
            <v>SP1</v>
          </cell>
        </row>
      </sheetData>
      <sheetData sheetId="2156">
        <row r="7">
          <cell r="AH7" t="str">
            <v>SP1</v>
          </cell>
        </row>
      </sheetData>
      <sheetData sheetId="2157">
        <row r="7">
          <cell r="AH7" t="str">
            <v>SP1</v>
          </cell>
        </row>
      </sheetData>
      <sheetData sheetId="2158">
        <row r="7">
          <cell r="AH7" t="str">
            <v>SP1</v>
          </cell>
        </row>
      </sheetData>
      <sheetData sheetId="2159">
        <row r="7">
          <cell r="AH7" t="str">
            <v>SP1</v>
          </cell>
        </row>
      </sheetData>
      <sheetData sheetId="2160">
        <row r="7">
          <cell r="AI7">
            <v>10000</v>
          </cell>
        </row>
      </sheetData>
      <sheetData sheetId="2161">
        <row r="7">
          <cell r="AH7" t="str">
            <v>SP1</v>
          </cell>
        </row>
      </sheetData>
      <sheetData sheetId="2162">
        <row r="7">
          <cell r="AH7" t="str">
            <v>SP1</v>
          </cell>
        </row>
      </sheetData>
      <sheetData sheetId="2163">
        <row r="7">
          <cell r="AH7" t="str">
            <v>SP1</v>
          </cell>
        </row>
      </sheetData>
      <sheetData sheetId="2164">
        <row r="7">
          <cell r="AI7">
            <v>10000</v>
          </cell>
        </row>
      </sheetData>
      <sheetData sheetId="2165">
        <row r="7">
          <cell r="AI7">
            <v>10000</v>
          </cell>
        </row>
      </sheetData>
      <sheetData sheetId="2166">
        <row r="7">
          <cell r="AI7">
            <v>10000</v>
          </cell>
        </row>
      </sheetData>
      <sheetData sheetId="2167">
        <row r="7">
          <cell r="AI7">
            <v>10000</v>
          </cell>
        </row>
      </sheetData>
      <sheetData sheetId="2168">
        <row r="7">
          <cell r="AI7">
            <v>10000</v>
          </cell>
        </row>
      </sheetData>
      <sheetData sheetId="2169">
        <row r="7">
          <cell r="AI7">
            <v>10000</v>
          </cell>
        </row>
      </sheetData>
      <sheetData sheetId="2170">
        <row r="7">
          <cell r="AH7" t="str">
            <v>SP1</v>
          </cell>
        </row>
      </sheetData>
      <sheetData sheetId="2171">
        <row r="7">
          <cell r="AH7" t="str">
            <v>SP1</v>
          </cell>
        </row>
      </sheetData>
      <sheetData sheetId="2172">
        <row r="7">
          <cell r="AH7" t="str">
            <v>SP1</v>
          </cell>
        </row>
      </sheetData>
      <sheetData sheetId="2173">
        <row r="7">
          <cell r="AH7" t="str">
            <v>SP1</v>
          </cell>
        </row>
      </sheetData>
      <sheetData sheetId="2174">
        <row r="7">
          <cell r="AH7" t="str">
            <v>SP1</v>
          </cell>
        </row>
      </sheetData>
      <sheetData sheetId="2175">
        <row r="7">
          <cell r="AI7">
            <v>10000</v>
          </cell>
        </row>
      </sheetData>
      <sheetData sheetId="2176">
        <row r="7">
          <cell r="AH7" t="str">
            <v>SP1</v>
          </cell>
        </row>
      </sheetData>
      <sheetData sheetId="2177">
        <row r="7">
          <cell r="AH7" t="str">
            <v>SP1</v>
          </cell>
        </row>
      </sheetData>
      <sheetData sheetId="2178">
        <row r="7">
          <cell r="AH7" t="str">
            <v>SP1</v>
          </cell>
        </row>
      </sheetData>
      <sheetData sheetId="2179">
        <row r="7">
          <cell r="AH7" t="str">
            <v>SP1</v>
          </cell>
        </row>
      </sheetData>
      <sheetData sheetId="2180">
        <row r="7">
          <cell r="AI7">
            <v>10000</v>
          </cell>
        </row>
      </sheetData>
      <sheetData sheetId="2181">
        <row r="7">
          <cell r="AI7">
            <v>10000</v>
          </cell>
        </row>
      </sheetData>
      <sheetData sheetId="2182">
        <row r="7">
          <cell r="AH7" t="str">
            <v>SP1</v>
          </cell>
        </row>
      </sheetData>
      <sheetData sheetId="2183">
        <row r="7">
          <cell r="AH7" t="str">
            <v>SP1</v>
          </cell>
        </row>
      </sheetData>
      <sheetData sheetId="2184">
        <row r="7">
          <cell r="AH7" t="str">
            <v>SP1</v>
          </cell>
        </row>
      </sheetData>
      <sheetData sheetId="2185">
        <row r="7">
          <cell r="AI7">
            <v>10000</v>
          </cell>
        </row>
      </sheetData>
      <sheetData sheetId="2186">
        <row r="7">
          <cell r="AI7">
            <v>10000</v>
          </cell>
        </row>
      </sheetData>
      <sheetData sheetId="2187">
        <row r="7">
          <cell r="AH7" t="str">
            <v>SP1</v>
          </cell>
        </row>
      </sheetData>
      <sheetData sheetId="2188">
        <row r="7">
          <cell r="AH7" t="str">
            <v>SP1</v>
          </cell>
        </row>
      </sheetData>
      <sheetData sheetId="2189">
        <row r="7">
          <cell r="AH7" t="str">
            <v>SP1</v>
          </cell>
        </row>
      </sheetData>
      <sheetData sheetId="2190">
        <row r="7">
          <cell r="AI7">
            <v>10000</v>
          </cell>
        </row>
      </sheetData>
      <sheetData sheetId="2191">
        <row r="7">
          <cell r="AH7" t="str">
            <v>SP1</v>
          </cell>
        </row>
      </sheetData>
      <sheetData sheetId="2192">
        <row r="7">
          <cell r="AH7" t="str">
            <v>SP1</v>
          </cell>
        </row>
      </sheetData>
      <sheetData sheetId="2193">
        <row r="7">
          <cell r="AH7" t="str">
            <v>SP1</v>
          </cell>
        </row>
      </sheetData>
      <sheetData sheetId="2194">
        <row r="7">
          <cell r="AH7" t="str">
            <v>SP1</v>
          </cell>
        </row>
      </sheetData>
      <sheetData sheetId="2195">
        <row r="7">
          <cell r="AH7" t="str">
            <v>SP1</v>
          </cell>
        </row>
      </sheetData>
      <sheetData sheetId="2196">
        <row r="7">
          <cell r="AI7">
            <v>10000</v>
          </cell>
        </row>
      </sheetData>
      <sheetData sheetId="2197">
        <row r="7">
          <cell r="AH7" t="str">
            <v>SP1</v>
          </cell>
        </row>
      </sheetData>
      <sheetData sheetId="2198">
        <row r="7">
          <cell r="AH7" t="str">
            <v>SP1</v>
          </cell>
        </row>
      </sheetData>
      <sheetData sheetId="2199">
        <row r="7">
          <cell r="AH7" t="str">
            <v>SP1</v>
          </cell>
        </row>
      </sheetData>
      <sheetData sheetId="2200">
        <row r="7">
          <cell r="AI7">
            <v>10000</v>
          </cell>
        </row>
      </sheetData>
      <sheetData sheetId="2201">
        <row r="7">
          <cell r="AI7">
            <v>10000</v>
          </cell>
        </row>
      </sheetData>
      <sheetData sheetId="2202">
        <row r="7">
          <cell r="AH7" t="str">
            <v>SP1</v>
          </cell>
        </row>
      </sheetData>
      <sheetData sheetId="2203">
        <row r="7">
          <cell r="AH7" t="str">
            <v>SP1</v>
          </cell>
        </row>
      </sheetData>
      <sheetData sheetId="2204">
        <row r="7">
          <cell r="AH7" t="str">
            <v>SP1</v>
          </cell>
        </row>
      </sheetData>
      <sheetData sheetId="2205">
        <row r="7">
          <cell r="AI7">
            <v>10000</v>
          </cell>
        </row>
      </sheetData>
      <sheetData sheetId="2206">
        <row r="7">
          <cell r="AI7">
            <v>10000</v>
          </cell>
        </row>
      </sheetData>
      <sheetData sheetId="2207">
        <row r="7">
          <cell r="AI7">
            <v>10000</v>
          </cell>
        </row>
      </sheetData>
      <sheetData sheetId="2208">
        <row r="7">
          <cell r="AI7">
            <v>10000</v>
          </cell>
        </row>
      </sheetData>
      <sheetData sheetId="2209">
        <row r="7">
          <cell r="AI7">
            <v>10000</v>
          </cell>
        </row>
      </sheetData>
      <sheetData sheetId="2210" refreshError="1"/>
      <sheetData sheetId="2211">
        <row r="7">
          <cell r="AI7">
            <v>10000</v>
          </cell>
        </row>
      </sheetData>
      <sheetData sheetId="2212">
        <row r="7">
          <cell r="AI7">
            <v>10000</v>
          </cell>
        </row>
      </sheetData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7">
          <cell r="AI7">
            <v>10000</v>
          </cell>
        </row>
      </sheetData>
      <sheetData sheetId="2237" refreshError="1"/>
      <sheetData sheetId="2238" refreshError="1"/>
      <sheetData sheetId="2239" refreshError="1"/>
      <sheetData sheetId="2240" refreshError="1"/>
      <sheetData sheetId="2241">
        <row r="7">
          <cell r="AI7">
            <v>10000</v>
          </cell>
        </row>
      </sheetData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>
        <row r="7">
          <cell r="AI7">
            <v>10000</v>
          </cell>
        </row>
      </sheetData>
      <sheetData sheetId="2248">
        <row r="7">
          <cell r="AI7">
            <v>10000</v>
          </cell>
        </row>
      </sheetData>
      <sheetData sheetId="2249">
        <row r="7">
          <cell r="AI7">
            <v>10000</v>
          </cell>
        </row>
      </sheetData>
      <sheetData sheetId="2250">
        <row r="7">
          <cell r="AI7">
            <v>10000</v>
          </cell>
        </row>
      </sheetData>
      <sheetData sheetId="2251">
        <row r="7">
          <cell r="AI7">
            <v>10000</v>
          </cell>
        </row>
      </sheetData>
      <sheetData sheetId="2252">
        <row r="7">
          <cell r="AI7">
            <v>10000</v>
          </cell>
        </row>
      </sheetData>
      <sheetData sheetId="2253">
        <row r="7">
          <cell r="AI7">
            <v>10000</v>
          </cell>
        </row>
      </sheetData>
      <sheetData sheetId="2254">
        <row r="7">
          <cell r="AI7">
            <v>10000</v>
          </cell>
        </row>
      </sheetData>
      <sheetData sheetId="2255">
        <row r="7">
          <cell r="AI7">
            <v>10000</v>
          </cell>
        </row>
      </sheetData>
      <sheetData sheetId="2256">
        <row r="7">
          <cell r="AI7">
            <v>10000</v>
          </cell>
        </row>
      </sheetData>
      <sheetData sheetId="2257">
        <row r="7">
          <cell r="AI7">
            <v>10000</v>
          </cell>
        </row>
      </sheetData>
      <sheetData sheetId="2258">
        <row r="7">
          <cell r="AI7">
            <v>10000</v>
          </cell>
        </row>
      </sheetData>
      <sheetData sheetId="2259">
        <row r="7">
          <cell r="AI7">
            <v>10000</v>
          </cell>
        </row>
      </sheetData>
      <sheetData sheetId="2260">
        <row r="7">
          <cell r="AI7">
            <v>10000</v>
          </cell>
        </row>
      </sheetData>
      <sheetData sheetId="2261">
        <row r="7">
          <cell r="AI7">
            <v>10000</v>
          </cell>
        </row>
      </sheetData>
      <sheetData sheetId="2262">
        <row r="7">
          <cell r="AI7">
            <v>10000</v>
          </cell>
        </row>
      </sheetData>
      <sheetData sheetId="2263">
        <row r="7">
          <cell r="AI7">
            <v>10000</v>
          </cell>
        </row>
      </sheetData>
      <sheetData sheetId="2264">
        <row r="7">
          <cell r="AI7">
            <v>10000</v>
          </cell>
        </row>
      </sheetData>
      <sheetData sheetId="2265">
        <row r="7">
          <cell r="AI7">
            <v>10000</v>
          </cell>
        </row>
      </sheetData>
      <sheetData sheetId="2266">
        <row r="7">
          <cell r="AI7">
            <v>10000</v>
          </cell>
        </row>
      </sheetData>
      <sheetData sheetId="2267">
        <row r="7">
          <cell r="AI7">
            <v>10000</v>
          </cell>
        </row>
      </sheetData>
      <sheetData sheetId="2268">
        <row r="7">
          <cell r="AI7">
            <v>10000</v>
          </cell>
        </row>
      </sheetData>
      <sheetData sheetId="2269">
        <row r="7">
          <cell r="AI7">
            <v>10000</v>
          </cell>
        </row>
      </sheetData>
      <sheetData sheetId="2270">
        <row r="7">
          <cell r="AI7">
            <v>10000</v>
          </cell>
        </row>
      </sheetData>
      <sheetData sheetId="2271">
        <row r="7">
          <cell r="AI7">
            <v>10000</v>
          </cell>
        </row>
      </sheetData>
      <sheetData sheetId="2272">
        <row r="7">
          <cell r="AI7">
            <v>10000</v>
          </cell>
        </row>
      </sheetData>
      <sheetData sheetId="2273">
        <row r="7">
          <cell r="AI7">
            <v>10000</v>
          </cell>
        </row>
      </sheetData>
      <sheetData sheetId="2274">
        <row r="7">
          <cell r="AI7">
            <v>10000</v>
          </cell>
        </row>
      </sheetData>
      <sheetData sheetId="2275">
        <row r="7">
          <cell r="AI7">
            <v>10000</v>
          </cell>
        </row>
      </sheetData>
      <sheetData sheetId="2276">
        <row r="7">
          <cell r="AI7">
            <v>10000</v>
          </cell>
        </row>
      </sheetData>
      <sheetData sheetId="2277">
        <row r="7">
          <cell r="AI7">
            <v>10000</v>
          </cell>
        </row>
      </sheetData>
      <sheetData sheetId="2278">
        <row r="7">
          <cell r="AI7">
            <v>10000</v>
          </cell>
        </row>
      </sheetData>
      <sheetData sheetId="2279">
        <row r="7">
          <cell r="AI7">
            <v>10000</v>
          </cell>
        </row>
      </sheetData>
      <sheetData sheetId="2280">
        <row r="7">
          <cell r="AI7">
            <v>10000</v>
          </cell>
        </row>
      </sheetData>
      <sheetData sheetId="2281">
        <row r="7">
          <cell r="AI7">
            <v>10000</v>
          </cell>
        </row>
      </sheetData>
      <sheetData sheetId="2282">
        <row r="7">
          <cell r="AI7">
            <v>10000</v>
          </cell>
        </row>
      </sheetData>
      <sheetData sheetId="2283">
        <row r="7">
          <cell r="AI7">
            <v>10000</v>
          </cell>
        </row>
      </sheetData>
      <sheetData sheetId="2284">
        <row r="7">
          <cell r="AI7">
            <v>10000</v>
          </cell>
        </row>
      </sheetData>
      <sheetData sheetId="2285">
        <row r="7">
          <cell r="AI7">
            <v>10000</v>
          </cell>
        </row>
      </sheetData>
      <sheetData sheetId="2286">
        <row r="7">
          <cell r="AI7">
            <v>10000</v>
          </cell>
        </row>
      </sheetData>
      <sheetData sheetId="2287">
        <row r="7">
          <cell r="AI7">
            <v>10000</v>
          </cell>
        </row>
      </sheetData>
      <sheetData sheetId="2288">
        <row r="7">
          <cell r="AI7">
            <v>10000</v>
          </cell>
        </row>
      </sheetData>
      <sheetData sheetId="2289">
        <row r="7">
          <cell r="AI7">
            <v>10000</v>
          </cell>
        </row>
      </sheetData>
      <sheetData sheetId="2290">
        <row r="7">
          <cell r="AI7">
            <v>10000</v>
          </cell>
        </row>
      </sheetData>
      <sheetData sheetId="2291">
        <row r="7">
          <cell r="AI7">
            <v>10000</v>
          </cell>
        </row>
      </sheetData>
      <sheetData sheetId="2292">
        <row r="7">
          <cell r="AI7">
            <v>10000</v>
          </cell>
        </row>
      </sheetData>
      <sheetData sheetId="2293">
        <row r="7">
          <cell r="AI7">
            <v>10000</v>
          </cell>
        </row>
      </sheetData>
      <sheetData sheetId="2294">
        <row r="7">
          <cell r="AI7">
            <v>10000</v>
          </cell>
        </row>
      </sheetData>
      <sheetData sheetId="2295">
        <row r="7">
          <cell r="AI7">
            <v>10000</v>
          </cell>
        </row>
      </sheetData>
      <sheetData sheetId="2296">
        <row r="7">
          <cell r="AI7">
            <v>10000</v>
          </cell>
        </row>
      </sheetData>
      <sheetData sheetId="2297">
        <row r="7">
          <cell r="AI7">
            <v>10000</v>
          </cell>
        </row>
      </sheetData>
      <sheetData sheetId="2298">
        <row r="7">
          <cell r="AI7">
            <v>10000</v>
          </cell>
        </row>
      </sheetData>
      <sheetData sheetId="2299">
        <row r="7">
          <cell r="AI7">
            <v>10000</v>
          </cell>
        </row>
      </sheetData>
      <sheetData sheetId="2300">
        <row r="7">
          <cell r="AI7">
            <v>10000</v>
          </cell>
        </row>
      </sheetData>
      <sheetData sheetId="2301">
        <row r="7">
          <cell r="AI7">
            <v>10000</v>
          </cell>
        </row>
      </sheetData>
      <sheetData sheetId="2302">
        <row r="7">
          <cell r="AI7">
            <v>10000</v>
          </cell>
        </row>
      </sheetData>
      <sheetData sheetId="2303">
        <row r="7">
          <cell r="AI7">
            <v>10000</v>
          </cell>
        </row>
      </sheetData>
      <sheetData sheetId="2304">
        <row r="7">
          <cell r="AI7">
            <v>10000</v>
          </cell>
        </row>
      </sheetData>
      <sheetData sheetId="2305">
        <row r="7">
          <cell r="AI7">
            <v>10000</v>
          </cell>
        </row>
      </sheetData>
      <sheetData sheetId="2306">
        <row r="7">
          <cell r="AI7">
            <v>10000</v>
          </cell>
        </row>
      </sheetData>
      <sheetData sheetId="2307">
        <row r="7">
          <cell r="AI7">
            <v>10000</v>
          </cell>
        </row>
      </sheetData>
      <sheetData sheetId="2308">
        <row r="7">
          <cell r="AI7">
            <v>10000</v>
          </cell>
        </row>
      </sheetData>
      <sheetData sheetId="2309">
        <row r="7">
          <cell r="AI7">
            <v>10000</v>
          </cell>
        </row>
      </sheetData>
      <sheetData sheetId="2310">
        <row r="7">
          <cell r="AI7">
            <v>10000</v>
          </cell>
        </row>
      </sheetData>
      <sheetData sheetId="2311">
        <row r="7">
          <cell r="AI7">
            <v>10000</v>
          </cell>
        </row>
      </sheetData>
      <sheetData sheetId="2312">
        <row r="7">
          <cell r="AI7">
            <v>10000</v>
          </cell>
        </row>
      </sheetData>
      <sheetData sheetId="2313">
        <row r="7">
          <cell r="AI7">
            <v>10000</v>
          </cell>
        </row>
      </sheetData>
      <sheetData sheetId="2314">
        <row r="7">
          <cell r="AI7">
            <v>10000</v>
          </cell>
        </row>
      </sheetData>
      <sheetData sheetId="2315">
        <row r="7">
          <cell r="AI7">
            <v>10000</v>
          </cell>
        </row>
      </sheetData>
      <sheetData sheetId="2316">
        <row r="7">
          <cell r="AI7">
            <v>10000</v>
          </cell>
        </row>
      </sheetData>
      <sheetData sheetId="2317">
        <row r="7">
          <cell r="AI7">
            <v>10000</v>
          </cell>
        </row>
      </sheetData>
      <sheetData sheetId="2318">
        <row r="7">
          <cell r="AI7">
            <v>10000</v>
          </cell>
        </row>
      </sheetData>
      <sheetData sheetId="2319">
        <row r="7">
          <cell r="AH7" t="str">
            <v>SP1</v>
          </cell>
        </row>
      </sheetData>
      <sheetData sheetId="2320">
        <row r="7">
          <cell r="AI7">
            <v>10000</v>
          </cell>
        </row>
      </sheetData>
      <sheetData sheetId="2321">
        <row r="7">
          <cell r="AI7">
            <v>10000</v>
          </cell>
        </row>
      </sheetData>
      <sheetData sheetId="2322">
        <row r="7">
          <cell r="AI7">
            <v>10000</v>
          </cell>
        </row>
      </sheetData>
      <sheetData sheetId="2323">
        <row r="7">
          <cell r="AI7">
            <v>10000</v>
          </cell>
        </row>
      </sheetData>
      <sheetData sheetId="2324">
        <row r="7">
          <cell r="AI7">
            <v>10000</v>
          </cell>
        </row>
      </sheetData>
      <sheetData sheetId="2325">
        <row r="7">
          <cell r="AI7">
            <v>10000</v>
          </cell>
        </row>
      </sheetData>
      <sheetData sheetId="2326">
        <row r="7">
          <cell r="AI7">
            <v>10000</v>
          </cell>
        </row>
      </sheetData>
      <sheetData sheetId="2327">
        <row r="7">
          <cell r="AI7">
            <v>10000</v>
          </cell>
        </row>
      </sheetData>
      <sheetData sheetId="2328">
        <row r="7">
          <cell r="AI7">
            <v>10000</v>
          </cell>
        </row>
      </sheetData>
      <sheetData sheetId="2329">
        <row r="7">
          <cell r="AI7">
            <v>10000</v>
          </cell>
        </row>
      </sheetData>
      <sheetData sheetId="2330">
        <row r="7">
          <cell r="AI7">
            <v>10000</v>
          </cell>
        </row>
      </sheetData>
      <sheetData sheetId="2331">
        <row r="7">
          <cell r="AI7">
            <v>10000</v>
          </cell>
        </row>
      </sheetData>
      <sheetData sheetId="2332">
        <row r="7">
          <cell r="AI7">
            <v>10000</v>
          </cell>
        </row>
      </sheetData>
      <sheetData sheetId="2333">
        <row r="7">
          <cell r="AI7">
            <v>10000</v>
          </cell>
        </row>
      </sheetData>
      <sheetData sheetId="2334">
        <row r="7">
          <cell r="AH7" t="str">
            <v>SP1</v>
          </cell>
        </row>
      </sheetData>
      <sheetData sheetId="2335">
        <row r="7">
          <cell r="AI7">
            <v>10000</v>
          </cell>
        </row>
      </sheetData>
      <sheetData sheetId="2336">
        <row r="7">
          <cell r="AI7">
            <v>10000</v>
          </cell>
        </row>
      </sheetData>
      <sheetData sheetId="2337">
        <row r="7">
          <cell r="AI7">
            <v>10000</v>
          </cell>
        </row>
      </sheetData>
      <sheetData sheetId="2338">
        <row r="7">
          <cell r="AI7">
            <v>10000</v>
          </cell>
        </row>
      </sheetData>
      <sheetData sheetId="2339">
        <row r="7">
          <cell r="AI7">
            <v>10000</v>
          </cell>
        </row>
      </sheetData>
      <sheetData sheetId="2340">
        <row r="7">
          <cell r="AI7">
            <v>10000</v>
          </cell>
        </row>
      </sheetData>
      <sheetData sheetId="2341">
        <row r="7">
          <cell r="AI7">
            <v>10000</v>
          </cell>
        </row>
      </sheetData>
      <sheetData sheetId="2342">
        <row r="7">
          <cell r="AI7">
            <v>10000</v>
          </cell>
        </row>
      </sheetData>
      <sheetData sheetId="2343">
        <row r="7">
          <cell r="AI7">
            <v>10000</v>
          </cell>
        </row>
      </sheetData>
      <sheetData sheetId="2344">
        <row r="7">
          <cell r="AI7">
            <v>10000</v>
          </cell>
        </row>
      </sheetData>
      <sheetData sheetId="2345">
        <row r="7">
          <cell r="AI7">
            <v>10000</v>
          </cell>
        </row>
      </sheetData>
      <sheetData sheetId="2346">
        <row r="7">
          <cell r="AI7">
            <v>10000</v>
          </cell>
        </row>
      </sheetData>
      <sheetData sheetId="2347">
        <row r="7">
          <cell r="AI7">
            <v>10000</v>
          </cell>
        </row>
      </sheetData>
      <sheetData sheetId="2348">
        <row r="7">
          <cell r="AI7">
            <v>10000</v>
          </cell>
        </row>
      </sheetData>
      <sheetData sheetId="2349">
        <row r="7">
          <cell r="AI7">
            <v>10000</v>
          </cell>
        </row>
      </sheetData>
      <sheetData sheetId="2350">
        <row r="7">
          <cell r="AI7">
            <v>10000</v>
          </cell>
        </row>
      </sheetData>
      <sheetData sheetId="2351">
        <row r="7">
          <cell r="AI7">
            <v>10000</v>
          </cell>
        </row>
      </sheetData>
      <sheetData sheetId="2352">
        <row r="7">
          <cell r="AI7">
            <v>10000</v>
          </cell>
        </row>
      </sheetData>
      <sheetData sheetId="2353">
        <row r="7">
          <cell r="AI7">
            <v>10000</v>
          </cell>
        </row>
      </sheetData>
      <sheetData sheetId="2354">
        <row r="7">
          <cell r="AI7">
            <v>10000</v>
          </cell>
        </row>
      </sheetData>
      <sheetData sheetId="2355">
        <row r="7">
          <cell r="AI7">
            <v>10000</v>
          </cell>
        </row>
      </sheetData>
      <sheetData sheetId="2356">
        <row r="7">
          <cell r="AI7">
            <v>10000</v>
          </cell>
        </row>
      </sheetData>
      <sheetData sheetId="2357">
        <row r="7">
          <cell r="AI7">
            <v>10000</v>
          </cell>
        </row>
      </sheetData>
      <sheetData sheetId="2358">
        <row r="7">
          <cell r="AI7">
            <v>10000</v>
          </cell>
        </row>
      </sheetData>
      <sheetData sheetId="2359">
        <row r="7">
          <cell r="AI7">
            <v>10000</v>
          </cell>
        </row>
      </sheetData>
      <sheetData sheetId="2360">
        <row r="7">
          <cell r="AI7">
            <v>10000</v>
          </cell>
        </row>
      </sheetData>
      <sheetData sheetId="2361">
        <row r="7">
          <cell r="AI7">
            <v>10000</v>
          </cell>
        </row>
      </sheetData>
      <sheetData sheetId="2362">
        <row r="7">
          <cell r="AI7">
            <v>10000</v>
          </cell>
        </row>
      </sheetData>
      <sheetData sheetId="2363">
        <row r="7">
          <cell r="AI7">
            <v>10000</v>
          </cell>
        </row>
      </sheetData>
      <sheetData sheetId="2364">
        <row r="7">
          <cell r="AI7">
            <v>10000</v>
          </cell>
        </row>
      </sheetData>
      <sheetData sheetId="2365">
        <row r="7">
          <cell r="AI7">
            <v>10000</v>
          </cell>
        </row>
      </sheetData>
      <sheetData sheetId="2366">
        <row r="7">
          <cell r="AI7">
            <v>10000</v>
          </cell>
        </row>
      </sheetData>
      <sheetData sheetId="2367">
        <row r="7">
          <cell r="AI7">
            <v>10000</v>
          </cell>
        </row>
      </sheetData>
      <sheetData sheetId="2368">
        <row r="7">
          <cell r="AI7">
            <v>10000</v>
          </cell>
        </row>
      </sheetData>
      <sheetData sheetId="2369">
        <row r="7">
          <cell r="AI7">
            <v>10000</v>
          </cell>
        </row>
      </sheetData>
      <sheetData sheetId="2370">
        <row r="7">
          <cell r="AI7">
            <v>10000</v>
          </cell>
        </row>
      </sheetData>
      <sheetData sheetId="2371">
        <row r="7">
          <cell r="AI7">
            <v>10000</v>
          </cell>
        </row>
      </sheetData>
      <sheetData sheetId="2372">
        <row r="7">
          <cell r="AI7">
            <v>10000</v>
          </cell>
        </row>
      </sheetData>
      <sheetData sheetId="2373">
        <row r="7">
          <cell r="AI7">
            <v>10000</v>
          </cell>
        </row>
      </sheetData>
      <sheetData sheetId="2374">
        <row r="7">
          <cell r="AI7">
            <v>10000</v>
          </cell>
        </row>
      </sheetData>
      <sheetData sheetId="2375">
        <row r="7">
          <cell r="AI7">
            <v>10000</v>
          </cell>
        </row>
      </sheetData>
      <sheetData sheetId="2376">
        <row r="7">
          <cell r="AI7">
            <v>10000</v>
          </cell>
        </row>
      </sheetData>
      <sheetData sheetId="2377">
        <row r="7">
          <cell r="AI7">
            <v>10000</v>
          </cell>
        </row>
      </sheetData>
      <sheetData sheetId="2378">
        <row r="7">
          <cell r="AI7">
            <v>10000</v>
          </cell>
        </row>
      </sheetData>
      <sheetData sheetId="2379">
        <row r="7">
          <cell r="AI7">
            <v>10000</v>
          </cell>
        </row>
      </sheetData>
      <sheetData sheetId="2380">
        <row r="7">
          <cell r="AI7">
            <v>10000</v>
          </cell>
        </row>
      </sheetData>
      <sheetData sheetId="2381">
        <row r="7">
          <cell r="AI7">
            <v>10000</v>
          </cell>
        </row>
      </sheetData>
      <sheetData sheetId="2382">
        <row r="7">
          <cell r="AI7">
            <v>10000</v>
          </cell>
        </row>
      </sheetData>
      <sheetData sheetId="2383">
        <row r="7">
          <cell r="AI7">
            <v>10000</v>
          </cell>
        </row>
      </sheetData>
      <sheetData sheetId="2384">
        <row r="7">
          <cell r="AI7">
            <v>10000</v>
          </cell>
        </row>
      </sheetData>
      <sheetData sheetId="2385">
        <row r="7">
          <cell r="AI7">
            <v>10000</v>
          </cell>
        </row>
      </sheetData>
      <sheetData sheetId="2386">
        <row r="7">
          <cell r="AI7">
            <v>10000</v>
          </cell>
        </row>
      </sheetData>
      <sheetData sheetId="2387">
        <row r="7">
          <cell r="AI7">
            <v>10000</v>
          </cell>
        </row>
      </sheetData>
      <sheetData sheetId="2388">
        <row r="7">
          <cell r="AI7">
            <v>10000</v>
          </cell>
        </row>
      </sheetData>
      <sheetData sheetId="2389">
        <row r="7">
          <cell r="AI7">
            <v>10000</v>
          </cell>
        </row>
      </sheetData>
      <sheetData sheetId="2390">
        <row r="7">
          <cell r="AI7">
            <v>10000</v>
          </cell>
        </row>
      </sheetData>
      <sheetData sheetId="2391">
        <row r="7">
          <cell r="AI7">
            <v>10000</v>
          </cell>
        </row>
      </sheetData>
      <sheetData sheetId="2392">
        <row r="7">
          <cell r="AI7">
            <v>10000</v>
          </cell>
        </row>
      </sheetData>
      <sheetData sheetId="2393">
        <row r="7">
          <cell r="AI7">
            <v>10000</v>
          </cell>
        </row>
      </sheetData>
      <sheetData sheetId="2394">
        <row r="7">
          <cell r="AI7">
            <v>10000</v>
          </cell>
        </row>
      </sheetData>
      <sheetData sheetId="2395">
        <row r="7">
          <cell r="AI7">
            <v>10000</v>
          </cell>
        </row>
      </sheetData>
      <sheetData sheetId="2396">
        <row r="7">
          <cell r="AI7">
            <v>10000</v>
          </cell>
        </row>
      </sheetData>
      <sheetData sheetId="2397">
        <row r="7">
          <cell r="AI7">
            <v>10000</v>
          </cell>
        </row>
      </sheetData>
      <sheetData sheetId="2398">
        <row r="7">
          <cell r="AI7">
            <v>10000</v>
          </cell>
        </row>
      </sheetData>
      <sheetData sheetId="2399">
        <row r="7">
          <cell r="AI7">
            <v>10000</v>
          </cell>
        </row>
      </sheetData>
      <sheetData sheetId="2400">
        <row r="7">
          <cell r="AI7">
            <v>10000</v>
          </cell>
        </row>
      </sheetData>
      <sheetData sheetId="2401">
        <row r="7">
          <cell r="AI7">
            <v>10000</v>
          </cell>
        </row>
      </sheetData>
      <sheetData sheetId="2402">
        <row r="7">
          <cell r="AI7">
            <v>10000</v>
          </cell>
        </row>
      </sheetData>
      <sheetData sheetId="2403">
        <row r="7">
          <cell r="AI7">
            <v>10000</v>
          </cell>
        </row>
      </sheetData>
      <sheetData sheetId="2404">
        <row r="7">
          <cell r="AI7">
            <v>10000</v>
          </cell>
        </row>
      </sheetData>
      <sheetData sheetId="2405">
        <row r="7">
          <cell r="AI7">
            <v>10000</v>
          </cell>
        </row>
      </sheetData>
      <sheetData sheetId="2406">
        <row r="7">
          <cell r="AI7">
            <v>10000</v>
          </cell>
        </row>
      </sheetData>
      <sheetData sheetId="2407">
        <row r="7">
          <cell r="AI7">
            <v>10000</v>
          </cell>
        </row>
      </sheetData>
      <sheetData sheetId="2408">
        <row r="7">
          <cell r="AI7">
            <v>10000</v>
          </cell>
        </row>
      </sheetData>
      <sheetData sheetId="2409">
        <row r="7">
          <cell r="AI7">
            <v>10000</v>
          </cell>
        </row>
      </sheetData>
      <sheetData sheetId="2410">
        <row r="7">
          <cell r="AI7">
            <v>10000</v>
          </cell>
        </row>
      </sheetData>
      <sheetData sheetId="2411">
        <row r="7">
          <cell r="AI7">
            <v>10000</v>
          </cell>
        </row>
      </sheetData>
      <sheetData sheetId="2412">
        <row r="7">
          <cell r="AI7">
            <v>10000</v>
          </cell>
        </row>
      </sheetData>
      <sheetData sheetId="2413">
        <row r="7">
          <cell r="AI7">
            <v>10000</v>
          </cell>
        </row>
      </sheetData>
      <sheetData sheetId="2414">
        <row r="7">
          <cell r="AI7">
            <v>10000</v>
          </cell>
        </row>
      </sheetData>
      <sheetData sheetId="2415">
        <row r="7">
          <cell r="AI7">
            <v>10000</v>
          </cell>
        </row>
      </sheetData>
      <sheetData sheetId="2416">
        <row r="7">
          <cell r="AI7">
            <v>10000</v>
          </cell>
        </row>
      </sheetData>
      <sheetData sheetId="2417">
        <row r="7">
          <cell r="AI7">
            <v>10000</v>
          </cell>
        </row>
      </sheetData>
      <sheetData sheetId="2418">
        <row r="7">
          <cell r="AI7">
            <v>10000</v>
          </cell>
        </row>
      </sheetData>
      <sheetData sheetId="2419">
        <row r="7">
          <cell r="AI7">
            <v>10000</v>
          </cell>
        </row>
      </sheetData>
      <sheetData sheetId="2420">
        <row r="7">
          <cell r="AI7">
            <v>10000</v>
          </cell>
        </row>
      </sheetData>
      <sheetData sheetId="2421">
        <row r="7">
          <cell r="AI7">
            <v>10000</v>
          </cell>
        </row>
      </sheetData>
      <sheetData sheetId="2422">
        <row r="7">
          <cell r="AI7">
            <v>10000</v>
          </cell>
        </row>
      </sheetData>
      <sheetData sheetId="2423">
        <row r="7">
          <cell r="AI7">
            <v>10000</v>
          </cell>
        </row>
      </sheetData>
      <sheetData sheetId="2424">
        <row r="7">
          <cell r="AI7">
            <v>10000</v>
          </cell>
        </row>
      </sheetData>
      <sheetData sheetId="2425">
        <row r="7">
          <cell r="AI7">
            <v>10000</v>
          </cell>
        </row>
      </sheetData>
      <sheetData sheetId="2426">
        <row r="7">
          <cell r="AI7">
            <v>10000</v>
          </cell>
        </row>
      </sheetData>
      <sheetData sheetId="2427">
        <row r="7">
          <cell r="AI7">
            <v>10000</v>
          </cell>
        </row>
      </sheetData>
      <sheetData sheetId="2428">
        <row r="7">
          <cell r="AI7">
            <v>10000</v>
          </cell>
        </row>
      </sheetData>
      <sheetData sheetId="2429">
        <row r="7">
          <cell r="AI7">
            <v>10000</v>
          </cell>
        </row>
      </sheetData>
      <sheetData sheetId="2430">
        <row r="7">
          <cell r="AI7">
            <v>10000</v>
          </cell>
        </row>
      </sheetData>
      <sheetData sheetId="2431">
        <row r="7">
          <cell r="AI7">
            <v>10000</v>
          </cell>
        </row>
      </sheetData>
      <sheetData sheetId="2432">
        <row r="7">
          <cell r="AI7">
            <v>10000</v>
          </cell>
        </row>
      </sheetData>
      <sheetData sheetId="2433">
        <row r="7">
          <cell r="AI7">
            <v>10000</v>
          </cell>
        </row>
      </sheetData>
      <sheetData sheetId="2434">
        <row r="7">
          <cell r="AI7">
            <v>10000</v>
          </cell>
        </row>
      </sheetData>
      <sheetData sheetId="2435">
        <row r="7">
          <cell r="AI7">
            <v>10000</v>
          </cell>
        </row>
      </sheetData>
      <sheetData sheetId="2436">
        <row r="7">
          <cell r="AI7">
            <v>10000</v>
          </cell>
        </row>
      </sheetData>
      <sheetData sheetId="2437">
        <row r="7">
          <cell r="AI7">
            <v>10000</v>
          </cell>
        </row>
      </sheetData>
      <sheetData sheetId="2438">
        <row r="7">
          <cell r="AI7">
            <v>10000</v>
          </cell>
        </row>
      </sheetData>
      <sheetData sheetId="2439">
        <row r="7">
          <cell r="AI7">
            <v>10000</v>
          </cell>
        </row>
      </sheetData>
      <sheetData sheetId="2440">
        <row r="7">
          <cell r="AI7">
            <v>10000</v>
          </cell>
        </row>
      </sheetData>
      <sheetData sheetId="2441">
        <row r="7">
          <cell r="AI7">
            <v>10000</v>
          </cell>
        </row>
      </sheetData>
      <sheetData sheetId="2442">
        <row r="7">
          <cell r="AI7">
            <v>10000</v>
          </cell>
        </row>
      </sheetData>
      <sheetData sheetId="2443">
        <row r="7">
          <cell r="AI7">
            <v>10000</v>
          </cell>
        </row>
      </sheetData>
      <sheetData sheetId="2444">
        <row r="7">
          <cell r="AI7">
            <v>10000</v>
          </cell>
        </row>
      </sheetData>
      <sheetData sheetId="2445">
        <row r="7">
          <cell r="AI7">
            <v>10000</v>
          </cell>
        </row>
      </sheetData>
      <sheetData sheetId="2446">
        <row r="7">
          <cell r="AI7">
            <v>10000</v>
          </cell>
        </row>
      </sheetData>
      <sheetData sheetId="2447">
        <row r="7">
          <cell r="AI7">
            <v>10000</v>
          </cell>
        </row>
      </sheetData>
      <sheetData sheetId="2448">
        <row r="7">
          <cell r="AI7">
            <v>10000</v>
          </cell>
        </row>
      </sheetData>
      <sheetData sheetId="2449">
        <row r="7">
          <cell r="AI7">
            <v>10000</v>
          </cell>
        </row>
      </sheetData>
      <sheetData sheetId="2450">
        <row r="7">
          <cell r="AI7">
            <v>10000</v>
          </cell>
        </row>
      </sheetData>
      <sheetData sheetId="2451">
        <row r="7">
          <cell r="AI7">
            <v>10000</v>
          </cell>
        </row>
      </sheetData>
      <sheetData sheetId="2452">
        <row r="7">
          <cell r="AI7">
            <v>10000</v>
          </cell>
        </row>
      </sheetData>
      <sheetData sheetId="2453">
        <row r="7">
          <cell r="AI7">
            <v>10000</v>
          </cell>
        </row>
      </sheetData>
      <sheetData sheetId="2454">
        <row r="7">
          <cell r="AI7">
            <v>10000</v>
          </cell>
        </row>
      </sheetData>
      <sheetData sheetId="2455">
        <row r="7">
          <cell r="AI7">
            <v>10000</v>
          </cell>
        </row>
      </sheetData>
      <sheetData sheetId="2456">
        <row r="7">
          <cell r="AI7">
            <v>10000</v>
          </cell>
        </row>
      </sheetData>
      <sheetData sheetId="2457">
        <row r="7">
          <cell r="AI7">
            <v>10000</v>
          </cell>
        </row>
      </sheetData>
      <sheetData sheetId="2458">
        <row r="7">
          <cell r="AI7">
            <v>10000</v>
          </cell>
        </row>
      </sheetData>
      <sheetData sheetId="2459">
        <row r="7">
          <cell r="AI7">
            <v>10000</v>
          </cell>
        </row>
      </sheetData>
      <sheetData sheetId="2460">
        <row r="7">
          <cell r="AI7">
            <v>10000</v>
          </cell>
        </row>
      </sheetData>
      <sheetData sheetId="2461">
        <row r="7">
          <cell r="AI7">
            <v>10000</v>
          </cell>
        </row>
      </sheetData>
      <sheetData sheetId="2462">
        <row r="7">
          <cell r="AI7">
            <v>10000</v>
          </cell>
        </row>
      </sheetData>
      <sheetData sheetId="2463">
        <row r="7">
          <cell r="AI7">
            <v>10000</v>
          </cell>
        </row>
      </sheetData>
      <sheetData sheetId="2464">
        <row r="7">
          <cell r="AI7">
            <v>10000</v>
          </cell>
        </row>
      </sheetData>
      <sheetData sheetId="2465">
        <row r="7">
          <cell r="AI7">
            <v>10000</v>
          </cell>
        </row>
      </sheetData>
      <sheetData sheetId="2466">
        <row r="7">
          <cell r="AI7">
            <v>10000</v>
          </cell>
        </row>
      </sheetData>
      <sheetData sheetId="2467">
        <row r="7">
          <cell r="AI7">
            <v>10000</v>
          </cell>
        </row>
      </sheetData>
      <sheetData sheetId="2468">
        <row r="7">
          <cell r="AI7">
            <v>10000</v>
          </cell>
        </row>
      </sheetData>
      <sheetData sheetId="2469">
        <row r="7">
          <cell r="AI7">
            <v>10000</v>
          </cell>
        </row>
      </sheetData>
      <sheetData sheetId="2470">
        <row r="7">
          <cell r="AI7">
            <v>10000</v>
          </cell>
        </row>
      </sheetData>
      <sheetData sheetId="2471">
        <row r="7">
          <cell r="AI7">
            <v>10000</v>
          </cell>
        </row>
      </sheetData>
      <sheetData sheetId="2472">
        <row r="7">
          <cell r="AI7">
            <v>10000</v>
          </cell>
        </row>
      </sheetData>
      <sheetData sheetId="2473">
        <row r="7">
          <cell r="AI7">
            <v>10000</v>
          </cell>
        </row>
      </sheetData>
      <sheetData sheetId="2474">
        <row r="7">
          <cell r="AI7">
            <v>10000</v>
          </cell>
        </row>
      </sheetData>
      <sheetData sheetId="2475">
        <row r="7">
          <cell r="AI7">
            <v>10000</v>
          </cell>
        </row>
      </sheetData>
      <sheetData sheetId="2476">
        <row r="7">
          <cell r="AI7">
            <v>10000</v>
          </cell>
        </row>
      </sheetData>
      <sheetData sheetId="2477">
        <row r="7">
          <cell r="AI7">
            <v>10000</v>
          </cell>
        </row>
      </sheetData>
      <sheetData sheetId="2478">
        <row r="7">
          <cell r="AI7">
            <v>10000</v>
          </cell>
        </row>
      </sheetData>
      <sheetData sheetId="2479">
        <row r="7">
          <cell r="AI7">
            <v>10000</v>
          </cell>
        </row>
      </sheetData>
      <sheetData sheetId="2480">
        <row r="7">
          <cell r="AI7">
            <v>10000</v>
          </cell>
        </row>
      </sheetData>
      <sheetData sheetId="2481">
        <row r="7">
          <cell r="AI7">
            <v>10000</v>
          </cell>
        </row>
      </sheetData>
      <sheetData sheetId="2482">
        <row r="7">
          <cell r="AI7">
            <v>10000</v>
          </cell>
        </row>
      </sheetData>
      <sheetData sheetId="2483">
        <row r="7">
          <cell r="AI7">
            <v>10000</v>
          </cell>
        </row>
      </sheetData>
      <sheetData sheetId="2484">
        <row r="7">
          <cell r="AI7">
            <v>10000</v>
          </cell>
        </row>
      </sheetData>
      <sheetData sheetId="2485">
        <row r="7">
          <cell r="AI7">
            <v>10000</v>
          </cell>
        </row>
      </sheetData>
      <sheetData sheetId="2486">
        <row r="7">
          <cell r="AI7">
            <v>10000</v>
          </cell>
        </row>
      </sheetData>
      <sheetData sheetId="2487">
        <row r="7">
          <cell r="AI7">
            <v>10000</v>
          </cell>
        </row>
      </sheetData>
      <sheetData sheetId="2488">
        <row r="7">
          <cell r="AI7">
            <v>10000</v>
          </cell>
        </row>
      </sheetData>
      <sheetData sheetId="2489">
        <row r="7">
          <cell r="AI7">
            <v>10000</v>
          </cell>
        </row>
      </sheetData>
      <sheetData sheetId="2490">
        <row r="7">
          <cell r="AI7">
            <v>10000</v>
          </cell>
        </row>
      </sheetData>
      <sheetData sheetId="2491">
        <row r="7">
          <cell r="AI7">
            <v>10000</v>
          </cell>
        </row>
      </sheetData>
      <sheetData sheetId="2492">
        <row r="7">
          <cell r="AI7">
            <v>10000</v>
          </cell>
        </row>
      </sheetData>
      <sheetData sheetId="2493">
        <row r="7">
          <cell r="AI7">
            <v>10000</v>
          </cell>
        </row>
      </sheetData>
      <sheetData sheetId="2494">
        <row r="7">
          <cell r="AI7">
            <v>10000</v>
          </cell>
        </row>
      </sheetData>
      <sheetData sheetId="2495">
        <row r="7">
          <cell r="AI7">
            <v>10000</v>
          </cell>
        </row>
      </sheetData>
      <sheetData sheetId="2496">
        <row r="7">
          <cell r="AI7">
            <v>10000</v>
          </cell>
        </row>
      </sheetData>
      <sheetData sheetId="2497">
        <row r="7">
          <cell r="AI7">
            <v>10000</v>
          </cell>
        </row>
      </sheetData>
      <sheetData sheetId="2498">
        <row r="7">
          <cell r="AI7">
            <v>10000</v>
          </cell>
        </row>
      </sheetData>
      <sheetData sheetId="2499">
        <row r="7">
          <cell r="AI7">
            <v>10000</v>
          </cell>
        </row>
      </sheetData>
      <sheetData sheetId="2500">
        <row r="7">
          <cell r="AI7">
            <v>10000</v>
          </cell>
        </row>
      </sheetData>
      <sheetData sheetId="2501">
        <row r="7">
          <cell r="AI7">
            <v>10000</v>
          </cell>
        </row>
      </sheetData>
      <sheetData sheetId="2502">
        <row r="7">
          <cell r="AI7">
            <v>10000</v>
          </cell>
        </row>
      </sheetData>
      <sheetData sheetId="2503">
        <row r="7">
          <cell r="AI7">
            <v>10000</v>
          </cell>
        </row>
      </sheetData>
      <sheetData sheetId="2504">
        <row r="7">
          <cell r="AI7">
            <v>10000</v>
          </cell>
        </row>
      </sheetData>
      <sheetData sheetId="2505">
        <row r="7">
          <cell r="AI7">
            <v>10000</v>
          </cell>
        </row>
      </sheetData>
      <sheetData sheetId="2506">
        <row r="7">
          <cell r="AI7">
            <v>10000</v>
          </cell>
        </row>
      </sheetData>
      <sheetData sheetId="2507">
        <row r="7">
          <cell r="AI7">
            <v>10000</v>
          </cell>
        </row>
      </sheetData>
      <sheetData sheetId="2508">
        <row r="7">
          <cell r="AI7">
            <v>10000</v>
          </cell>
        </row>
      </sheetData>
      <sheetData sheetId="2509">
        <row r="7">
          <cell r="AI7">
            <v>10000</v>
          </cell>
        </row>
      </sheetData>
      <sheetData sheetId="2510">
        <row r="7">
          <cell r="AI7">
            <v>10000</v>
          </cell>
        </row>
      </sheetData>
      <sheetData sheetId="2511">
        <row r="7">
          <cell r="AI7">
            <v>10000</v>
          </cell>
        </row>
      </sheetData>
      <sheetData sheetId="2512">
        <row r="7">
          <cell r="AI7">
            <v>10000</v>
          </cell>
        </row>
      </sheetData>
      <sheetData sheetId="2513">
        <row r="7">
          <cell r="AI7">
            <v>10000</v>
          </cell>
        </row>
      </sheetData>
      <sheetData sheetId="2514">
        <row r="7">
          <cell r="AI7">
            <v>10000</v>
          </cell>
        </row>
      </sheetData>
      <sheetData sheetId="2515">
        <row r="7">
          <cell r="AI7">
            <v>10000</v>
          </cell>
        </row>
      </sheetData>
      <sheetData sheetId="2516">
        <row r="7">
          <cell r="AI7">
            <v>10000</v>
          </cell>
        </row>
      </sheetData>
      <sheetData sheetId="2517">
        <row r="7">
          <cell r="AI7">
            <v>10000</v>
          </cell>
        </row>
      </sheetData>
      <sheetData sheetId="2518">
        <row r="7">
          <cell r="AI7">
            <v>10000</v>
          </cell>
        </row>
      </sheetData>
      <sheetData sheetId="2519">
        <row r="7">
          <cell r="AI7">
            <v>10000</v>
          </cell>
        </row>
      </sheetData>
      <sheetData sheetId="2520">
        <row r="7">
          <cell r="AI7">
            <v>10000</v>
          </cell>
        </row>
      </sheetData>
      <sheetData sheetId="2521">
        <row r="7">
          <cell r="AI7">
            <v>10000</v>
          </cell>
        </row>
      </sheetData>
      <sheetData sheetId="2522">
        <row r="7">
          <cell r="AI7">
            <v>10000</v>
          </cell>
        </row>
      </sheetData>
      <sheetData sheetId="2523">
        <row r="7">
          <cell r="AI7">
            <v>10000</v>
          </cell>
        </row>
      </sheetData>
      <sheetData sheetId="2524">
        <row r="7">
          <cell r="AI7">
            <v>10000</v>
          </cell>
        </row>
      </sheetData>
      <sheetData sheetId="2525">
        <row r="7">
          <cell r="AI7">
            <v>10000</v>
          </cell>
        </row>
      </sheetData>
      <sheetData sheetId="2526">
        <row r="7">
          <cell r="AI7">
            <v>10000</v>
          </cell>
        </row>
      </sheetData>
      <sheetData sheetId="2527">
        <row r="7">
          <cell r="AI7">
            <v>10000</v>
          </cell>
        </row>
      </sheetData>
      <sheetData sheetId="2528">
        <row r="7">
          <cell r="AI7">
            <v>10000</v>
          </cell>
        </row>
      </sheetData>
      <sheetData sheetId="2529">
        <row r="7">
          <cell r="AI7">
            <v>10000</v>
          </cell>
        </row>
      </sheetData>
      <sheetData sheetId="2530">
        <row r="7">
          <cell r="AI7">
            <v>10000</v>
          </cell>
        </row>
      </sheetData>
      <sheetData sheetId="2531">
        <row r="7">
          <cell r="AI7">
            <v>10000</v>
          </cell>
        </row>
      </sheetData>
      <sheetData sheetId="2532">
        <row r="7">
          <cell r="AI7">
            <v>10000</v>
          </cell>
        </row>
      </sheetData>
      <sheetData sheetId="2533">
        <row r="7">
          <cell r="AI7">
            <v>10000</v>
          </cell>
        </row>
      </sheetData>
      <sheetData sheetId="2534">
        <row r="7">
          <cell r="AI7">
            <v>10000</v>
          </cell>
        </row>
      </sheetData>
      <sheetData sheetId="2535">
        <row r="7">
          <cell r="AI7">
            <v>10000</v>
          </cell>
        </row>
      </sheetData>
      <sheetData sheetId="2536">
        <row r="7">
          <cell r="AI7">
            <v>10000</v>
          </cell>
        </row>
      </sheetData>
      <sheetData sheetId="2537">
        <row r="7">
          <cell r="AI7">
            <v>10000</v>
          </cell>
        </row>
      </sheetData>
      <sheetData sheetId="2538">
        <row r="7">
          <cell r="AI7">
            <v>10000</v>
          </cell>
        </row>
      </sheetData>
      <sheetData sheetId="2539">
        <row r="7">
          <cell r="AI7">
            <v>10000</v>
          </cell>
        </row>
      </sheetData>
      <sheetData sheetId="2540">
        <row r="7">
          <cell r="AI7">
            <v>10000</v>
          </cell>
        </row>
      </sheetData>
      <sheetData sheetId="2541">
        <row r="7">
          <cell r="AI7">
            <v>10000</v>
          </cell>
        </row>
      </sheetData>
      <sheetData sheetId="2542">
        <row r="7">
          <cell r="AI7">
            <v>10000</v>
          </cell>
        </row>
      </sheetData>
      <sheetData sheetId="2543">
        <row r="7">
          <cell r="AI7">
            <v>10000</v>
          </cell>
        </row>
      </sheetData>
      <sheetData sheetId="2544">
        <row r="7">
          <cell r="AI7">
            <v>10000</v>
          </cell>
        </row>
      </sheetData>
      <sheetData sheetId="2545">
        <row r="7">
          <cell r="AI7">
            <v>10000</v>
          </cell>
        </row>
      </sheetData>
      <sheetData sheetId="2546">
        <row r="7">
          <cell r="AI7">
            <v>10000</v>
          </cell>
        </row>
      </sheetData>
      <sheetData sheetId="2547">
        <row r="7">
          <cell r="AI7">
            <v>10000</v>
          </cell>
        </row>
      </sheetData>
      <sheetData sheetId="2548">
        <row r="7">
          <cell r="AI7">
            <v>10000</v>
          </cell>
        </row>
      </sheetData>
      <sheetData sheetId="2549">
        <row r="7">
          <cell r="AI7">
            <v>10000</v>
          </cell>
        </row>
      </sheetData>
      <sheetData sheetId="2550">
        <row r="7">
          <cell r="AI7">
            <v>10000</v>
          </cell>
        </row>
      </sheetData>
      <sheetData sheetId="2551">
        <row r="7">
          <cell r="AH7" t="str">
            <v>SP1</v>
          </cell>
        </row>
      </sheetData>
      <sheetData sheetId="2552">
        <row r="7">
          <cell r="AI7">
            <v>10000</v>
          </cell>
        </row>
      </sheetData>
      <sheetData sheetId="2553">
        <row r="7">
          <cell r="AI7">
            <v>10000</v>
          </cell>
        </row>
      </sheetData>
      <sheetData sheetId="2554">
        <row r="7">
          <cell r="AI7">
            <v>10000</v>
          </cell>
        </row>
      </sheetData>
      <sheetData sheetId="2555">
        <row r="7">
          <cell r="AI7">
            <v>10000</v>
          </cell>
        </row>
      </sheetData>
      <sheetData sheetId="2556">
        <row r="7">
          <cell r="AI7">
            <v>10000</v>
          </cell>
        </row>
      </sheetData>
      <sheetData sheetId="2557">
        <row r="7">
          <cell r="AI7">
            <v>10000</v>
          </cell>
        </row>
      </sheetData>
      <sheetData sheetId="2558">
        <row r="7">
          <cell r="AI7">
            <v>10000</v>
          </cell>
        </row>
      </sheetData>
      <sheetData sheetId="2559">
        <row r="7">
          <cell r="AI7">
            <v>10000</v>
          </cell>
        </row>
      </sheetData>
      <sheetData sheetId="2560">
        <row r="7">
          <cell r="AI7">
            <v>10000</v>
          </cell>
        </row>
      </sheetData>
      <sheetData sheetId="2561">
        <row r="7">
          <cell r="AI7">
            <v>10000</v>
          </cell>
        </row>
      </sheetData>
      <sheetData sheetId="2562">
        <row r="7">
          <cell r="AH7" t="str">
            <v>SP1</v>
          </cell>
        </row>
      </sheetData>
      <sheetData sheetId="2563">
        <row r="7">
          <cell r="AI7">
            <v>10000</v>
          </cell>
        </row>
      </sheetData>
      <sheetData sheetId="2564">
        <row r="7">
          <cell r="AI7">
            <v>10000</v>
          </cell>
        </row>
      </sheetData>
      <sheetData sheetId="2565">
        <row r="7">
          <cell r="AI7">
            <v>10000</v>
          </cell>
        </row>
      </sheetData>
      <sheetData sheetId="2566">
        <row r="7">
          <cell r="AH7" t="str">
            <v>SP1</v>
          </cell>
        </row>
      </sheetData>
      <sheetData sheetId="2567">
        <row r="7">
          <cell r="AI7">
            <v>10000</v>
          </cell>
        </row>
      </sheetData>
      <sheetData sheetId="2568">
        <row r="7">
          <cell r="AH7" t="str">
            <v>SP1</v>
          </cell>
        </row>
      </sheetData>
      <sheetData sheetId="2569">
        <row r="7">
          <cell r="AI7">
            <v>10000</v>
          </cell>
        </row>
      </sheetData>
      <sheetData sheetId="2570">
        <row r="7">
          <cell r="AI7">
            <v>10000</v>
          </cell>
        </row>
      </sheetData>
      <sheetData sheetId="2571">
        <row r="7">
          <cell r="AI7">
            <v>10000</v>
          </cell>
        </row>
      </sheetData>
      <sheetData sheetId="2572">
        <row r="7">
          <cell r="AI7">
            <v>10000</v>
          </cell>
        </row>
      </sheetData>
      <sheetData sheetId="2573">
        <row r="7">
          <cell r="AI7">
            <v>10000</v>
          </cell>
        </row>
      </sheetData>
      <sheetData sheetId="2574">
        <row r="7">
          <cell r="AI7">
            <v>10000</v>
          </cell>
        </row>
      </sheetData>
      <sheetData sheetId="2575">
        <row r="7">
          <cell r="AI7">
            <v>10000</v>
          </cell>
        </row>
      </sheetData>
      <sheetData sheetId="2576">
        <row r="7">
          <cell r="AI7">
            <v>10000</v>
          </cell>
        </row>
      </sheetData>
      <sheetData sheetId="2577">
        <row r="7">
          <cell r="AH7" t="str">
            <v>SP1</v>
          </cell>
        </row>
      </sheetData>
      <sheetData sheetId="2578">
        <row r="7">
          <cell r="AI7">
            <v>10000</v>
          </cell>
        </row>
      </sheetData>
      <sheetData sheetId="2579">
        <row r="7">
          <cell r="AI7">
            <v>10000</v>
          </cell>
        </row>
      </sheetData>
      <sheetData sheetId="2580">
        <row r="7">
          <cell r="AI7">
            <v>10000</v>
          </cell>
        </row>
      </sheetData>
      <sheetData sheetId="2581">
        <row r="7">
          <cell r="AH7" t="str">
            <v>SP1</v>
          </cell>
        </row>
      </sheetData>
      <sheetData sheetId="2582">
        <row r="7">
          <cell r="AI7">
            <v>10000</v>
          </cell>
        </row>
      </sheetData>
      <sheetData sheetId="2583">
        <row r="7">
          <cell r="AH7" t="str">
            <v>SP1</v>
          </cell>
        </row>
      </sheetData>
      <sheetData sheetId="2584">
        <row r="7">
          <cell r="AI7">
            <v>10000</v>
          </cell>
        </row>
      </sheetData>
      <sheetData sheetId="2585">
        <row r="7">
          <cell r="AI7">
            <v>10000</v>
          </cell>
        </row>
      </sheetData>
      <sheetData sheetId="2586">
        <row r="7">
          <cell r="AI7">
            <v>10000</v>
          </cell>
        </row>
      </sheetData>
      <sheetData sheetId="2587">
        <row r="7">
          <cell r="AH7" t="str">
            <v>SP1</v>
          </cell>
        </row>
      </sheetData>
      <sheetData sheetId="2588">
        <row r="7">
          <cell r="AI7">
            <v>10000</v>
          </cell>
        </row>
      </sheetData>
      <sheetData sheetId="2589">
        <row r="7">
          <cell r="AI7">
            <v>10000</v>
          </cell>
        </row>
      </sheetData>
      <sheetData sheetId="2590">
        <row r="7">
          <cell r="AI7">
            <v>10000</v>
          </cell>
        </row>
      </sheetData>
      <sheetData sheetId="2591">
        <row r="7">
          <cell r="AI7">
            <v>10000</v>
          </cell>
        </row>
      </sheetData>
      <sheetData sheetId="2592">
        <row r="7">
          <cell r="AH7" t="str">
            <v>SP1</v>
          </cell>
        </row>
      </sheetData>
      <sheetData sheetId="2593">
        <row r="7">
          <cell r="AI7">
            <v>10000</v>
          </cell>
        </row>
      </sheetData>
      <sheetData sheetId="2594">
        <row r="7">
          <cell r="AI7">
            <v>10000</v>
          </cell>
        </row>
      </sheetData>
      <sheetData sheetId="2595">
        <row r="7">
          <cell r="AI7">
            <v>10000</v>
          </cell>
        </row>
      </sheetData>
      <sheetData sheetId="2596">
        <row r="7">
          <cell r="AH7" t="str">
            <v>SP1</v>
          </cell>
        </row>
      </sheetData>
      <sheetData sheetId="2597">
        <row r="7">
          <cell r="AI7">
            <v>10000</v>
          </cell>
        </row>
      </sheetData>
      <sheetData sheetId="2598">
        <row r="7">
          <cell r="AH7" t="str">
            <v>SP1</v>
          </cell>
        </row>
      </sheetData>
      <sheetData sheetId="2599">
        <row r="7">
          <cell r="AI7">
            <v>10000</v>
          </cell>
        </row>
      </sheetData>
      <sheetData sheetId="2600">
        <row r="7">
          <cell r="AI7">
            <v>10000</v>
          </cell>
        </row>
      </sheetData>
      <sheetData sheetId="2601">
        <row r="7">
          <cell r="AI7">
            <v>10000</v>
          </cell>
        </row>
      </sheetData>
      <sheetData sheetId="2602">
        <row r="7">
          <cell r="AH7" t="str">
            <v>SP1</v>
          </cell>
        </row>
      </sheetData>
      <sheetData sheetId="2603">
        <row r="7">
          <cell r="AI7">
            <v>10000</v>
          </cell>
        </row>
      </sheetData>
      <sheetData sheetId="2604">
        <row r="7">
          <cell r="AI7">
            <v>10000</v>
          </cell>
        </row>
      </sheetData>
      <sheetData sheetId="2605">
        <row r="7">
          <cell r="AI7">
            <v>10000</v>
          </cell>
        </row>
      </sheetData>
      <sheetData sheetId="2606">
        <row r="7">
          <cell r="AI7">
            <v>10000</v>
          </cell>
        </row>
      </sheetData>
      <sheetData sheetId="2607">
        <row r="7">
          <cell r="AH7" t="str">
            <v>SP1</v>
          </cell>
        </row>
      </sheetData>
      <sheetData sheetId="2608">
        <row r="7">
          <cell r="AI7">
            <v>10000</v>
          </cell>
        </row>
      </sheetData>
      <sheetData sheetId="2609">
        <row r="7">
          <cell r="AI7">
            <v>10000</v>
          </cell>
        </row>
      </sheetData>
      <sheetData sheetId="2610">
        <row r="7">
          <cell r="AH7" t="str">
            <v>SP1</v>
          </cell>
        </row>
      </sheetData>
      <sheetData sheetId="2611">
        <row r="7">
          <cell r="AH7" t="str">
            <v>SP1</v>
          </cell>
        </row>
      </sheetData>
      <sheetData sheetId="2612">
        <row r="7">
          <cell r="AI7">
            <v>10000</v>
          </cell>
        </row>
      </sheetData>
      <sheetData sheetId="2613">
        <row r="7">
          <cell r="AI7">
            <v>10000</v>
          </cell>
        </row>
      </sheetData>
      <sheetData sheetId="2614">
        <row r="7">
          <cell r="AI7">
            <v>10000</v>
          </cell>
        </row>
      </sheetData>
      <sheetData sheetId="2615">
        <row r="7">
          <cell r="AI7">
            <v>10000</v>
          </cell>
        </row>
      </sheetData>
      <sheetData sheetId="2616">
        <row r="7">
          <cell r="AI7">
            <v>10000</v>
          </cell>
        </row>
      </sheetData>
      <sheetData sheetId="2617">
        <row r="7">
          <cell r="AI7">
            <v>10000</v>
          </cell>
        </row>
      </sheetData>
      <sheetData sheetId="2618">
        <row r="7">
          <cell r="AI7">
            <v>10000</v>
          </cell>
        </row>
      </sheetData>
      <sheetData sheetId="2619">
        <row r="7">
          <cell r="AI7">
            <v>10000</v>
          </cell>
        </row>
      </sheetData>
      <sheetData sheetId="2620">
        <row r="7">
          <cell r="AI7">
            <v>10000</v>
          </cell>
        </row>
      </sheetData>
      <sheetData sheetId="2621">
        <row r="7">
          <cell r="AI7">
            <v>10000</v>
          </cell>
        </row>
      </sheetData>
      <sheetData sheetId="2622">
        <row r="7">
          <cell r="AH7" t="str">
            <v>SP1</v>
          </cell>
        </row>
      </sheetData>
      <sheetData sheetId="2623">
        <row r="7">
          <cell r="AI7">
            <v>10000</v>
          </cell>
        </row>
      </sheetData>
      <sheetData sheetId="2624">
        <row r="7">
          <cell r="AI7">
            <v>10000</v>
          </cell>
        </row>
      </sheetData>
      <sheetData sheetId="2625">
        <row r="7">
          <cell r="AI7">
            <v>10000</v>
          </cell>
        </row>
      </sheetData>
      <sheetData sheetId="2626">
        <row r="7">
          <cell r="AI7">
            <v>10000</v>
          </cell>
        </row>
      </sheetData>
      <sheetData sheetId="2627">
        <row r="7">
          <cell r="AH7" t="str">
            <v>SP1</v>
          </cell>
        </row>
      </sheetData>
      <sheetData sheetId="2628">
        <row r="7">
          <cell r="AI7">
            <v>10000</v>
          </cell>
        </row>
      </sheetData>
      <sheetData sheetId="2629">
        <row r="7">
          <cell r="AI7">
            <v>10000</v>
          </cell>
        </row>
      </sheetData>
      <sheetData sheetId="2630">
        <row r="7">
          <cell r="AI7">
            <v>10000</v>
          </cell>
        </row>
      </sheetData>
      <sheetData sheetId="2631">
        <row r="7">
          <cell r="AI7">
            <v>10000</v>
          </cell>
        </row>
      </sheetData>
      <sheetData sheetId="2632">
        <row r="7">
          <cell r="AI7">
            <v>10000</v>
          </cell>
        </row>
      </sheetData>
      <sheetData sheetId="2633">
        <row r="7">
          <cell r="AI7">
            <v>10000</v>
          </cell>
        </row>
      </sheetData>
      <sheetData sheetId="2634">
        <row r="7">
          <cell r="AI7">
            <v>10000</v>
          </cell>
        </row>
      </sheetData>
      <sheetData sheetId="2635">
        <row r="7">
          <cell r="AI7">
            <v>10000</v>
          </cell>
        </row>
      </sheetData>
      <sheetData sheetId="2636">
        <row r="7">
          <cell r="AI7">
            <v>10000</v>
          </cell>
        </row>
      </sheetData>
      <sheetData sheetId="2637">
        <row r="7">
          <cell r="AI7">
            <v>10000</v>
          </cell>
        </row>
      </sheetData>
      <sheetData sheetId="2638">
        <row r="7">
          <cell r="AI7">
            <v>10000</v>
          </cell>
        </row>
      </sheetData>
      <sheetData sheetId="2639">
        <row r="7">
          <cell r="AI7">
            <v>10000</v>
          </cell>
        </row>
      </sheetData>
      <sheetData sheetId="2640">
        <row r="7">
          <cell r="AI7">
            <v>10000</v>
          </cell>
        </row>
      </sheetData>
      <sheetData sheetId="2641">
        <row r="7">
          <cell r="AI7">
            <v>10000</v>
          </cell>
        </row>
      </sheetData>
      <sheetData sheetId="2642">
        <row r="7">
          <cell r="AI7">
            <v>10000</v>
          </cell>
        </row>
      </sheetData>
      <sheetData sheetId="2643">
        <row r="7">
          <cell r="AI7">
            <v>10000</v>
          </cell>
        </row>
      </sheetData>
      <sheetData sheetId="2644">
        <row r="7">
          <cell r="AI7">
            <v>10000</v>
          </cell>
        </row>
      </sheetData>
      <sheetData sheetId="2645">
        <row r="7">
          <cell r="AI7">
            <v>10000</v>
          </cell>
        </row>
      </sheetData>
      <sheetData sheetId="2646">
        <row r="7">
          <cell r="AI7">
            <v>10000</v>
          </cell>
        </row>
      </sheetData>
      <sheetData sheetId="2647">
        <row r="7">
          <cell r="AI7">
            <v>10000</v>
          </cell>
        </row>
      </sheetData>
      <sheetData sheetId="2648">
        <row r="7">
          <cell r="AI7">
            <v>10000</v>
          </cell>
        </row>
      </sheetData>
      <sheetData sheetId="2649">
        <row r="7">
          <cell r="AI7">
            <v>10000</v>
          </cell>
        </row>
      </sheetData>
      <sheetData sheetId="2650">
        <row r="7">
          <cell r="AI7">
            <v>10000</v>
          </cell>
        </row>
      </sheetData>
      <sheetData sheetId="2651">
        <row r="7">
          <cell r="AI7">
            <v>10000</v>
          </cell>
        </row>
      </sheetData>
      <sheetData sheetId="2652">
        <row r="7">
          <cell r="AI7">
            <v>10000</v>
          </cell>
        </row>
      </sheetData>
      <sheetData sheetId="2653">
        <row r="7">
          <cell r="AI7">
            <v>10000</v>
          </cell>
        </row>
      </sheetData>
      <sheetData sheetId="2654">
        <row r="7">
          <cell r="AI7">
            <v>10000</v>
          </cell>
        </row>
      </sheetData>
      <sheetData sheetId="2655">
        <row r="7">
          <cell r="AI7">
            <v>10000</v>
          </cell>
        </row>
      </sheetData>
      <sheetData sheetId="2656">
        <row r="7">
          <cell r="AI7">
            <v>10000</v>
          </cell>
        </row>
      </sheetData>
      <sheetData sheetId="2657">
        <row r="7">
          <cell r="AI7">
            <v>10000</v>
          </cell>
        </row>
      </sheetData>
      <sheetData sheetId="2658">
        <row r="7">
          <cell r="AI7">
            <v>10000</v>
          </cell>
        </row>
      </sheetData>
      <sheetData sheetId="2659">
        <row r="7">
          <cell r="AI7">
            <v>10000</v>
          </cell>
        </row>
      </sheetData>
      <sheetData sheetId="2660">
        <row r="7">
          <cell r="AI7">
            <v>10000</v>
          </cell>
        </row>
      </sheetData>
      <sheetData sheetId="2661">
        <row r="7">
          <cell r="AI7">
            <v>10000</v>
          </cell>
        </row>
      </sheetData>
      <sheetData sheetId="2662">
        <row r="7">
          <cell r="AI7">
            <v>10000</v>
          </cell>
        </row>
      </sheetData>
      <sheetData sheetId="2663">
        <row r="7">
          <cell r="AI7">
            <v>10000</v>
          </cell>
        </row>
      </sheetData>
      <sheetData sheetId="2664">
        <row r="7">
          <cell r="AI7">
            <v>10000</v>
          </cell>
        </row>
      </sheetData>
      <sheetData sheetId="2665">
        <row r="7">
          <cell r="AI7">
            <v>10000</v>
          </cell>
        </row>
      </sheetData>
      <sheetData sheetId="2666">
        <row r="7">
          <cell r="AI7">
            <v>10000</v>
          </cell>
        </row>
      </sheetData>
      <sheetData sheetId="2667">
        <row r="7">
          <cell r="AI7">
            <v>10000</v>
          </cell>
        </row>
      </sheetData>
      <sheetData sheetId="2668">
        <row r="7">
          <cell r="AI7">
            <v>10000</v>
          </cell>
        </row>
      </sheetData>
      <sheetData sheetId="2669">
        <row r="7">
          <cell r="AI7">
            <v>10000</v>
          </cell>
        </row>
      </sheetData>
      <sheetData sheetId="2670">
        <row r="7">
          <cell r="AI7">
            <v>10000</v>
          </cell>
        </row>
      </sheetData>
      <sheetData sheetId="2671">
        <row r="7">
          <cell r="AI7">
            <v>10000</v>
          </cell>
        </row>
      </sheetData>
      <sheetData sheetId="2672">
        <row r="7">
          <cell r="AI7">
            <v>10000</v>
          </cell>
        </row>
      </sheetData>
      <sheetData sheetId="2673">
        <row r="7">
          <cell r="AI7">
            <v>10000</v>
          </cell>
        </row>
      </sheetData>
      <sheetData sheetId="2674">
        <row r="7">
          <cell r="AI7">
            <v>10000</v>
          </cell>
        </row>
      </sheetData>
      <sheetData sheetId="2675">
        <row r="7">
          <cell r="AI7">
            <v>10000</v>
          </cell>
        </row>
      </sheetData>
      <sheetData sheetId="2676">
        <row r="7">
          <cell r="AI7">
            <v>10000</v>
          </cell>
        </row>
      </sheetData>
      <sheetData sheetId="2677">
        <row r="7">
          <cell r="AI7">
            <v>10000</v>
          </cell>
        </row>
      </sheetData>
      <sheetData sheetId="2678">
        <row r="7">
          <cell r="AI7">
            <v>10000</v>
          </cell>
        </row>
      </sheetData>
      <sheetData sheetId="2679">
        <row r="7">
          <cell r="AI7">
            <v>10000</v>
          </cell>
        </row>
      </sheetData>
      <sheetData sheetId="2680">
        <row r="7">
          <cell r="AI7">
            <v>10000</v>
          </cell>
        </row>
      </sheetData>
      <sheetData sheetId="2681">
        <row r="7">
          <cell r="AI7">
            <v>10000</v>
          </cell>
        </row>
      </sheetData>
      <sheetData sheetId="2682">
        <row r="7">
          <cell r="AI7">
            <v>10000</v>
          </cell>
        </row>
      </sheetData>
      <sheetData sheetId="2683">
        <row r="7">
          <cell r="AI7">
            <v>10000</v>
          </cell>
        </row>
      </sheetData>
      <sheetData sheetId="2684">
        <row r="7">
          <cell r="AI7">
            <v>10000</v>
          </cell>
        </row>
      </sheetData>
      <sheetData sheetId="2685">
        <row r="7">
          <cell r="AI7">
            <v>10000</v>
          </cell>
        </row>
      </sheetData>
      <sheetData sheetId="2686">
        <row r="7">
          <cell r="AI7">
            <v>10000</v>
          </cell>
        </row>
      </sheetData>
      <sheetData sheetId="2687">
        <row r="7">
          <cell r="AI7">
            <v>10000</v>
          </cell>
        </row>
      </sheetData>
      <sheetData sheetId="2688">
        <row r="7">
          <cell r="AI7">
            <v>10000</v>
          </cell>
        </row>
      </sheetData>
      <sheetData sheetId="2689">
        <row r="7">
          <cell r="AI7">
            <v>10000</v>
          </cell>
        </row>
      </sheetData>
      <sheetData sheetId="2690">
        <row r="7">
          <cell r="AI7">
            <v>10000</v>
          </cell>
        </row>
      </sheetData>
      <sheetData sheetId="2691">
        <row r="7">
          <cell r="AI7">
            <v>10000</v>
          </cell>
        </row>
      </sheetData>
      <sheetData sheetId="2692">
        <row r="7">
          <cell r="AI7">
            <v>10000</v>
          </cell>
        </row>
      </sheetData>
      <sheetData sheetId="2693">
        <row r="7">
          <cell r="AI7">
            <v>10000</v>
          </cell>
        </row>
      </sheetData>
      <sheetData sheetId="2694">
        <row r="7">
          <cell r="AI7">
            <v>10000</v>
          </cell>
        </row>
      </sheetData>
      <sheetData sheetId="2695">
        <row r="7">
          <cell r="AI7">
            <v>10000</v>
          </cell>
        </row>
      </sheetData>
      <sheetData sheetId="2696">
        <row r="7">
          <cell r="AI7">
            <v>10000</v>
          </cell>
        </row>
      </sheetData>
      <sheetData sheetId="2697">
        <row r="7">
          <cell r="AI7">
            <v>10000</v>
          </cell>
        </row>
      </sheetData>
      <sheetData sheetId="2698">
        <row r="7">
          <cell r="AI7">
            <v>10000</v>
          </cell>
        </row>
      </sheetData>
      <sheetData sheetId="2699">
        <row r="7">
          <cell r="AI7">
            <v>10000</v>
          </cell>
        </row>
      </sheetData>
      <sheetData sheetId="2700">
        <row r="7">
          <cell r="AI7">
            <v>10000</v>
          </cell>
        </row>
      </sheetData>
      <sheetData sheetId="2701">
        <row r="7">
          <cell r="AI7">
            <v>10000</v>
          </cell>
        </row>
      </sheetData>
      <sheetData sheetId="2702">
        <row r="7">
          <cell r="AI7">
            <v>10000</v>
          </cell>
        </row>
      </sheetData>
      <sheetData sheetId="2703">
        <row r="7">
          <cell r="AI7">
            <v>10000</v>
          </cell>
        </row>
      </sheetData>
      <sheetData sheetId="2704">
        <row r="7">
          <cell r="AI7">
            <v>10000</v>
          </cell>
        </row>
      </sheetData>
      <sheetData sheetId="2705">
        <row r="7">
          <cell r="AI7">
            <v>10000</v>
          </cell>
        </row>
      </sheetData>
      <sheetData sheetId="2706">
        <row r="7">
          <cell r="AI7">
            <v>10000</v>
          </cell>
        </row>
      </sheetData>
      <sheetData sheetId="2707">
        <row r="7">
          <cell r="AI7">
            <v>10000</v>
          </cell>
        </row>
      </sheetData>
      <sheetData sheetId="2708">
        <row r="7">
          <cell r="AI7">
            <v>10000</v>
          </cell>
        </row>
      </sheetData>
      <sheetData sheetId="2709">
        <row r="7">
          <cell r="AI7">
            <v>10000</v>
          </cell>
        </row>
      </sheetData>
      <sheetData sheetId="2710">
        <row r="7">
          <cell r="AI7">
            <v>10000</v>
          </cell>
        </row>
      </sheetData>
      <sheetData sheetId="2711">
        <row r="7">
          <cell r="AI7">
            <v>10000</v>
          </cell>
        </row>
      </sheetData>
      <sheetData sheetId="2712">
        <row r="7">
          <cell r="AI7">
            <v>10000</v>
          </cell>
        </row>
      </sheetData>
      <sheetData sheetId="2713">
        <row r="7">
          <cell r="AI7">
            <v>10000</v>
          </cell>
        </row>
      </sheetData>
      <sheetData sheetId="2714">
        <row r="7">
          <cell r="AI7">
            <v>10000</v>
          </cell>
        </row>
      </sheetData>
      <sheetData sheetId="2715">
        <row r="7">
          <cell r="AI7">
            <v>10000</v>
          </cell>
        </row>
      </sheetData>
      <sheetData sheetId="2716">
        <row r="7">
          <cell r="AI7">
            <v>10000</v>
          </cell>
        </row>
      </sheetData>
      <sheetData sheetId="2717">
        <row r="7">
          <cell r="AI7">
            <v>10000</v>
          </cell>
        </row>
      </sheetData>
      <sheetData sheetId="2718">
        <row r="7">
          <cell r="AI7">
            <v>10000</v>
          </cell>
        </row>
      </sheetData>
      <sheetData sheetId="2719">
        <row r="7">
          <cell r="AI7">
            <v>10000</v>
          </cell>
        </row>
      </sheetData>
      <sheetData sheetId="2720">
        <row r="7">
          <cell r="AI7">
            <v>10000</v>
          </cell>
        </row>
      </sheetData>
      <sheetData sheetId="2721">
        <row r="7">
          <cell r="AI7">
            <v>10000</v>
          </cell>
        </row>
      </sheetData>
      <sheetData sheetId="2722">
        <row r="7">
          <cell r="AI7">
            <v>10000</v>
          </cell>
        </row>
      </sheetData>
      <sheetData sheetId="2723">
        <row r="7">
          <cell r="AI7">
            <v>10000</v>
          </cell>
        </row>
      </sheetData>
      <sheetData sheetId="2724">
        <row r="7">
          <cell r="AI7">
            <v>10000</v>
          </cell>
        </row>
      </sheetData>
      <sheetData sheetId="2725">
        <row r="7">
          <cell r="AI7">
            <v>10000</v>
          </cell>
        </row>
      </sheetData>
      <sheetData sheetId="2726">
        <row r="7">
          <cell r="AI7">
            <v>10000</v>
          </cell>
        </row>
      </sheetData>
      <sheetData sheetId="2727">
        <row r="7">
          <cell r="AI7">
            <v>10000</v>
          </cell>
        </row>
      </sheetData>
      <sheetData sheetId="2728">
        <row r="7">
          <cell r="AI7">
            <v>10000</v>
          </cell>
        </row>
      </sheetData>
      <sheetData sheetId="2729">
        <row r="7">
          <cell r="AI7">
            <v>10000</v>
          </cell>
        </row>
      </sheetData>
      <sheetData sheetId="2730">
        <row r="7">
          <cell r="AI7">
            <v>10000</v>
          </cell>
        </row>
      </sheetData>
      <sheetData sheetId="2731">
        <row r="7">
          <cell r="AI7">
            <v>10000</v>
          </cell>
        </row>
      </sheetData>
      <sheetData sheetId="2732">
        <row r="7">
          <cell r="AI7">
            <v>10000</v>
          </cell>
        </row>
      </sheetData>
      <sheetData sheetId="2733">
        <row r="7">
          <cell r="AI7">
            <v>10000</v>
          </cell>
        </row>
      </sheetData>
      <sheetData sheetId="2734">
        <row r="7">
          <cell r="AI7">
            <v>10000</v>
          </cell>
        </row>
      </sheetData>
      <sheetData sheetId="2735">
        <row r="7">
          <cell r="AI7">
            <v>10000</v>
          </cell>
        </row>
      </sheetData>
      <sheetData sheetId="2736">
        <row r="7">
          <cell r="AI7">
            <v>10000</v>
          </cell>
        </row>
      </sheetData>
      <sheetData sheetId="2737">
        <row r="7">
          <cell r="AI7">
            <v>10000</v>
          </cell>
        </row>
      </sheetData>
      <sheetData sheetId="2738">
        <row r="7">
          <cell r="AI7">
            <v>10000</v>
          </cell>
        </row>
      </sheetData>
      <sheetData sheetId="2739">
        <row r="7">
          <cell r="AI7">
            <v>10000</v>
          </cell>
        </row>
      </sheetData>
      <sheetData sheetId="2740">
        <row r="7">
          <cell r="AI7">
            <v>10000</v>
          </cell>
        </row>
      </sheetData>
      <sheetData sheetId="2741">
        <row r="7">
          <cell r="AI7">
            <v>10000</v>
          </cell>
        </row>
      </sheetData>
      <sheetData sheetId="2742">
        <row r="7">
          <cell r="AI7">
            <v>10000</v>
          </cell>
        </row>
      </sheetData>
      <sheetData sheetId="2743">
        <row r="7">
          <cell r="AI7">
            <v>10000</v>
          </cell>
        </row>
      </sheetData>
      <sheetData sheetId="2744">
        <row r="7">
          <cell r="AI7">
            <v>10000</v>
          </cell>
        </row>
      </sheetData>
      <sheetData sheetId="2745">
        <row r="7">
          <cell r="AI7">
            <v>10000</v>
          </cell>
        </row>
      </sheetData>
      <sheetData sheetId="2746">
        <row r="7">
          <cell r="AI7">
            <v>10000</v>
          </cell>
        </row>
      </sheetData>
      <sheetData sheetId="2747">
        <row r="7">
          <cell r="AI7">
            <v>10000</v>
          </cell>
        </row>
      </sheetData>
      <sheetData sheetId="2748">
        <row r="7">
          <cell r="AI7">
            <v>10000</v>
          </cell>
        </row>
      </sheetData>
      <sheetData sheetId="2749">
        <row r="7">
          <cell r="AI7">
            <v>10000</v>
          </cell>
        </row>
      </sheetData>
      <sheetData sheetId="2750">
        <row r="7">
          <cell r="AI7">
            <v>10000</v>
          </cell>
        </row>
      </sheetData>
      <sheetData sheetId="2751">
        <row r="7">
          <cell r="AI7">
            <v>10000</v>
          </cell>
        </row>
      </sheetData>
      <sheetData sheetId="2752">
        <row r="7">
          <cell r="AI7">
            <v>10000</v>
          </cell>
        </row>
      </sheetData>
      <sheetData sheetId="2753">
        <row r="7">
          <cell r="AI7">
            <v>10000</v>
          </cell>
        </row>
      </sheetData>
      <sheetData sheetId="2754">
        <row r="7">
          <cell r="AI7">
            <v>10000</v>
          </cell>
        </row>
      </sheetData>
      <sheetData sheetId="2755">
        <row r="7">
          <cell r="AI7">
            <v>10000</v>
          </cell>
        </row>
      </sheetData>
      <sheetData sheetId="2756">
        <row r="7">
          <cell r="AI7">
            <v>10000</v>
          </cell>
        </row>
      </sheetData>
      <sheetData sheetId="2757">
        <row r="7">
          <cell r="AI7">
            <v>10000</v>
          </cell>
        </row>
      </sheetData>
      <sheetData sheetId="2758">
        <row r="7">
          <cell r="AI7">
            <v>10000</v>
          </cell>
        </row>
      </sheetData>
      <sheetData sheetId="2759">
        <row r="7">
          <cell r="AI7">
            <v>10000</v>
          </cell>
        </row>
      </sheetData>
      <sheetData sheetId="2760">
        <row r="7">
          <cell r="AI7">
            <v>10000</v>
          </cell>
        </row>
      </sheetData>
      <sheetData sheetId="2761">
        <row r="7">
          <cell r="AI7">
            <v>10000</v>
          </cell>
        </row>
      </sheetData>
      <sheetData sheetId="2762">
        <row r="7">
          <cell r="AI7">
            <v>10000</v>
          </cell>
        </row>
      </sheetData>
      <sheetData sheetId="2763">
        <row r="7">
          <cell r="AI7">
            <v>10000</v>
          </cell>
        </row>
      </sheetData>
      <sheetData sheetId="2764">
        <row r="7">
          <cell r="AI7">
            <v>10000</v>
          </cell>
        </row>
      </sheetData>
      <sheetData sheetId="2765">
        <row r="7">
          <cell r="AI7">
            <v>10000</v>
          </cell>
        </row>
      </sheetData>
      <sheetData sheetId="2766">
        <row r="7">
          <cell r="AI7">
            <v>10000</v>
          </cell>
        </row>
      </sheetData>
      <sheetData sheetId="2767">
        <row r="7">
          <cell r="AI7">
            <v>10000</v>
          </cell>
        </row>
      </sheetData>
      <sheetData sheetId="2768">
        <row r="7">
          <cell r="AI7">
            <v>10000</v>
          </cell>
        </row>
      </sheetData>
      <sheetData sheetId="2769">
        <row r="7">
          <cell r="AI7">
            <v>10000</v>
          </cell>
        </row>
      </sheetData>
      <sheetData sheetId="2770">
        <row r="7">
          <cell r="AI7">
            <v>10000</v>
          </cell>
        </row>
      </sheetData>
      <sheetData sheetId="2771">
        <row r="7">
          <cell r="AI7">
            <v>10000</v>
          </cell>
        </row>
      </sheetData>
      <sheetData sheetId="2772">
        <row r="7">
          <cell r="AI7">
            <v>10000</v>
          </cell>
        </row>
      </sheetData>
      <sheetData sheetId="2773">
        <row r="7">
          <cell r="AI7">
            <v>10000</v>
          </cell>
        </row>
      </sheetData>
      <sheetData sheetId="2774">
        <row r="7">
          <cell r="AI7">
            <v>10000</v>
          </cell>
        </row>
      </sheetData>
      <sheetData sheetId="2775">
        <row r="7">
          <cell r="AI7">
            <v>10000</v>
          </cell>
        </row>
      </sheetData>
      <sheetData sheetId="2776">
        <row r="7">
          <cell r="AI7">
            <v>10000</v>
          </cell>
        </row>
      </sheetData>
      <sheetData sheetId="2777">
        <row r="7">
          <cell r="AI7">
            <v>10000</v>
          </cell>
        </row>
      </sheetData>
      <sheetData sheetId="2778">
        <row r="7">
          <cell r="AI7">
            <v>10000</v>
          </cell>
        </row>
      </sheetData>
      <sheetData sheetId="2779">
        <row r="7">
          <cell r="AI7">
            <v>10000</v>
          </cell>
        </row>
      </sheetData>
      <sheetData sheetId="2780">
        <row r="7">
          <cell r="AI7">
            <v>10000</v>
          </cell>
        </row>
      </sheetData>
      <sheetData sheetId="2781">
        <row r="7">
          <cell r="AI7">
            <v>10000</v>
          </cell>
        </row>
      </sheetData>
      <sheetData sheetId="2782">
        <row r="7">
          <cell r="AI7">
            <v>10000</v>
          </cell>
        </row>
      </sheetData>
      <sheetData sheetId="2783">
        <row r="7">
          <cell r="AI7">
            <v>10000</v>
          </cell>
        </row>
      </sheetData>
      <sheetData sheetId="2784">
        <row r="7">
          <cell r="AI7">
            <v>10000</v>
          </cell>
        </row>
      </sheetData>
      <sheetData sheetId="2785">
        <row r="7">
          <cell r="AI7">
            <v>10000</v>
          </cell>
        </row>
      </sheetData>
      <sheetData sheetId="2786">
        <row r="7">
          <cell r="AI7">
            <v>10000</v>
          </cell>
        </row>
      </sheetData>
      <sheetData sheetId="2787">
        <row r="7">
          <cell r="AI7">
            <v>10000</v>
          </cell>
        </row>
      </sheetData>
      <sheetData sheetId="2788">
        <row r="7">
          <cell r="AI7">
            <v>10000</v>
          </cell>
        </row>
      </sheetData>
      <sheetData sheetId="2789">
        <row r="7">
          <cell r="AI7">
            <v>10000</v>
          </cell>
        </row>
      </sheetData>
      <sheetData sheetId="2790">
        <row r="7">
          <cell r="AI7">
            <v>10000</v>
          </cell>
        </row>
      </sheetData>
      <sheetData sheetId="2791">
        <row r="7">
          <cell r="AI7">
            <v>10000</v>
          </cell>
        </row>
      </sheetData>
      <sheetData sheetId="2792">
        <row r="7">
          <cell r="AI7">
            <v>10000</v>
          </cell>
        </row>
      </sheetData>
      <sheetData sheetId="2793">
        <row r="7">
          <cell r="AI7">
            <v>10000</v>
          </cell>
        </row>
      </sheetData>
      <sheetData sheetId="2794">
        <row r="7">
          <cell r="AI7">
            <v>10000</v>
          </cell>
        </row>
      </sheetData>
      <sheetData sheetId="2795">
        <row r="7">
          <cell r="AI7">
            <v>10000</v>
          </cell>
        </row>
      </sheetData>
      <sheetData sheetId="2796">
        <row r="7">
          <cell r="AI7">
            <v>10000</v>
          </cell>
        </row>
      </sheetData>
      <sheetData sheetId="2797">
        <row r="7">
          <cell r="AI7">
            <v>10000</v>
          </cell>
        </row>
      </sheetData>
      <sheetData sheetId="2798">
        <row r="7">
          <cell r="AI7">
            <v>10000</v>
          </cell>
        </row>
      </sheetData>
      <sheetData sheetId="2799">
        <row r="7">
          <cell r="AI7">
            <v>10000</v>
          </cell>
        </row>
      </sheetData>
      <sheetData sheetId="2800">
        <row r="7">
          <cell r="AI7">
            <v>10000</v>
          </cell>
        </row>
      </sheetData>
      <sheetData sheetId="2801">
        <row r="7">
          <cell r="AI7">
            <v>10000</v>
          </cell>
        </row>
      </sheetData>
      <sheetData sheetId="2802">
        <row r="7">
          <cell r="AI7">
            <v>10000</v>
          </cell>
        </row>
      </sheetData>
      <sheetData sheetId="2803">
        <row r="7">
          <cell r="AI7">
            <v>10000</v>
          </cell>
        </row>
      </sheetData>
      <sheetData sheetId="2804">
        <row r="7">
          <cell r="AI7">
            <v>10000</v>
          </cell>
        </row>
      </sheetData>
      <sheetData sheetId="2805">
        <row r="7">
          <cell r="AI7">
            <v>10000</v>
          </cell>
        </row>
      </sheetData>
      <sheetData sheetId="2806">
        <row r="7">
          <cell r="AI7">
            <v>10000</v>
          </cell>
        </row>
      </sheetData>
      <sheetData sheetId="2807">
        <row r="7">
          <cell r="AI7">
            <v>10000</v>
          </cell>
        </row>
      </sheetData>
      <sheetData sheetId="2808">
        <row r="7">
          <cell r="AI7">
            <v>10000</v>
          </cell>
        </row>
      </sheetData>
      <sheetData sheetId="2809">
        <row r="7">
          <cell r="AI7">
            <v>10000</v>
          </cell>
        </row>
      </sheetData>
      <sheetData sheetId="2810">
        <row r="7">
          <cell r="AI7">
            <v>10000</v>
          </cell>
        </row>
      </sheetData>
      <sheetData sheetId="2811">
        <row r="7">
          <cell r="AI7">
            <v>10000</v>
          </cell>
        </row>
      </sheetData>
      <sheetData sheetId="2812">
        <row r="7">
          <cell r="AI7">
            <v>10000</v>
          </cell>
        </row>
      </sheetData>
      <sheetData sheetId="2813">
        <row r="7">
          <cell r="AI7">
            <v>10000</v>
          </cell>
        </row>
      </sheetData>
      <sheetData sheetId="2814">
        <row r="7">
          <cell r="AI7">
            <v>10000</v>
          </cell>
        </row>
      </sheetData>
      <sheetData sheetId="2815">
        <row r="7">
          <cell r="AI7">
            <v>10000</v>
          </cell>
        </row>
      </sheetData>
      <sheetData sheetId="2816">
        <row r="7">
          <cell r="AI7">
            <v>10000</v>
          </cell>
        </row>
      </sheetData>
      <sheetData sheetId="2817">
        <row r="7">
          <cell r="AI7">
            <v>10000</v>
          </cell>
        </row>
      </sheetData>
      <sheetData sheetId="2818">
        <row r="7">
          <cell r="AI7">
            <v>10000</v>
          </cell>
        </row>
      </sheetData>
      <sheetData sheetId="2819">
        <row r="7">
          <cell r="AI7">
            <v>10000</v>
          </cell>
        </row>
      </sheetData>
      <sheetData sheetId="2820">
        <row r="7">
          <cell r="AI7">
            <v>10000</v>
          </cell>
        </row>
      </sheetData>
      <sheetData sheetId="2821">
        <row r="7">
          <cell r="AI7">
            <v>10000</v>
          </cell>
        </row>
      </sheetData>
      <sheetData sheetId="2822">
        <row r="7">
          <cell r="AI7">
            <v>10000</v>
          </cell>
        </row>
      </sheetData>
      <sheetData sheetId="2823">
        <row r="7">
          <cell r="AI7">
            <v>10000</v>
          </cell>
        </row>
      </sheetData>
      <sheetData sheetId="2824">
        <row r="7">
          <cell r="AI7">
            <v>10000</v>
          </cell>
        </row>
      </sheetData>
      <sheetData sheetId="2825">
        <row r="7">
          <cell r="AI7">
            <v>10000</v>
          </cell>
        </row>
      </sheetData>
      <sheetData sheetId="2826">
        <row r="7">
          <cell r="AI7">
            <v>10000</v>
          </cell>
        </row>
      </sheetData>
      <sheetData sheetId="2827">
        <row r="7">
          <cell r="AI7">
            <v>10000</v>
          </cell>
        </row>
      </sheetData>
      <sheetData sheetId="2828">
        <row r="7">
          <cell r="AI7">
            <v>10000</v>
          </cell>
        </row>
      </sheetData>
      <sheetData sheetId="2829">
        <row r="7">
          <cell r="AI7">
            <v>10000</v>
          </cell>
        </row>
      </sheetData>
      <sheetData sheetId="2830">
        <row r="7">
          <cell r="AI7">
            <v>10000</v>
          </cell>
        </row>
      </sheetData>
      <sheetData sheetId="2831">
        <row r="7">
          <cell r="AI7">
            <v>10000</v>
          </cell>
        </row>
      </sheetData>
      <sheetData sheetId="2832">
        <row r="7">
          <cell r="AI7">
            <v>10000</v>
          </cell>
        </row>
      </sheetData>
      <sheetData sheetId="2833">
        <row r="7">
          <cell r="AI7">
            <v>10000</v>
          </cell>
        </row>
      </sheetData>
      <sheetData sheetId="2834">
        <row r="7">
          <cell r="AI7">
            <v>10000</v>
          </cell>
        </row>
      </sheetData>
      <sheetData sheetId="2835">
        <row r="7">
          <cell r="AI7">
            <v>10000</v>
          </cell>
        </row>
      </sheetData>
      <sheetData sheetId="2836">
        <row r="7">
          <cell r="AI7">
            <v>10000</v>
          </cell>
        </row>
      </sheetData>
      <sheetData sheetId="2837">
        <row r="7">
          <cell r="AI7">
            <v>10000</v>
          </cell>
        </row>
      </sheetData>
      <sheetData sheetId="2838">
        <row r="7">
          <cell r="AI7">
            <v>10000</v>
          </cell>
        </row>
      </sheetData>
      <sheetData sheetId="2839">
        <row r="7">
          <cell r="AI7">
            <v>10000</v>
          </cell>
        </row>
      </sheetData>
      <sheetData sheetId="2840">
        <row r="7">
          <cell r="AI7">
            <v>10000</v>
          </cell>
        </row>
      </sheetData>
      <sheetData sheetId="2841">
        <row r="7">
          <cell r="AI7">
            <v>10000</v>
          </cell>
        </row>
      </sheetData>
      <sheetData sheetId="2842">
        <row r="7">
          <cell r="AI7">
            <v>10000</v>
          </cell>
        </row>
      </sheetData>
      <sheetData sheetId="2843">
        <row r="7">
          <cell r="AI7">
            <v>10000</v>
          </cell>
        </row>
      </sheetData>
      <sheetData sheetId="2844">
        <row r="7">
          <cell r="AI7">
            <v>10000</v>
          </cell>
        </row>
      </sheetData>
      <sheetData sheetId="2845">
        <row r="7">
          <cell r="AI7">
            <v>10000</v>
          </cell>
        </row>
      </sheetData>
      <sheetData sheetId="2846">
        <row r="7">
          <cell r="AI7">
            <v>10000</v>
          </cell>
        </row>
      </sheetData>
      <sheetData sheetId="2847">
        <row r="7">
          <cell r="AI7">
            <v>10000</v>
          </cell>
        </row>
      </sheetData>
      <sheetData sheetId="2848">
        <row r="7">
          <cell r="AI7">
            <v>10000</v>
          </cell>
        </row>
      </sheetData>
      <sheetData sheetId="2849">
        <row r="7">
          <cell r="AI7">
            <v>10000</v>
          </cell>
        </row>
      </sheetData>
      <sheetData sheetId="2850">
        <row r="7">
          <cell r="AI7">
            <v>10000</v>
          </cell>
        </row>
      </sheetData>
      <sheetData sheetId="2851">
        <row r="7">
          <cell r="AI7">
            <v>10000</v>
          </cell>
        </row>
      </sheetData>
      <sheetData sheetId="2852">
        <row r="7">
          <cell r="AI7">
            <v>10000</v>
          </cell>
        </row>
      </sheetData>
      <sheetData sheetId="2853">
        <row r="7">
          <cell r="AI7">
            <v>10000</v>
          </cell>
        </row>
      </sheetData>
      <sheetData sheetId="2854">
        <row r="7">
          <cell r="AI7">
            <v>10000</v>
          </cell>
        </row>
      </sheetData>
      <sheetData sheetId="2855">
        <row r="7">
          <cell r="AI7">
            <v>10000</v>
          </cell>
        </row>
      </sheetData>
      <sheetData sheetId="2856">
        <row r="7">
          <cell r="AI7">
            <v>10000</v>
          </cell>
        </row>
      </sheetData>
      <sheetData sheetId="2857">
        <row r="7">
          <cell r="AI7">
            <v>10000</v>
          </cell>
        </row>
      </sheetData>
      <sheetData sheetId="2858">
        <row r="7">
          <cell r="AI7">
            <v>10000</v>
          </cell>
        </row>
      </sheetData>
      <sheetData sheetId="2859">
        <row r="7">
          <cell r="AI7">
            <v>10000</v>
          </cell>
        </row>
      </sheetData>
      <sheetData sheetId="2860">
        <row r="7">
          <cell r="AI7">
            <v>10000</v>
          </cell>
        </row>
      </sheetData>
      <sheetData sheetId="2861">
        <row r="7">
          <cell r="AI7">
            <v>10000</v>
          </cell>
        </row>
      </sheetData>
      <sheetData sheetId="2862">
        <row r="7">
          <cell r="AI7">
            <v>10000</v>
          </cell>
        </row>
      </sheetData>
      <sheetData sheetId="2863">
        <row r="7">
          <cell r="AI7">
            <v>10000</v>
          </cell>
        </row>
      </sheetData>
      <sheetData sheetId="2864">
        <row r="7">
          <cell r="AI7">
            <v>10000</v>
          </cell>
        </row>
      </sheetData>
      <sheetData sheetId="2865">
        <row r="7">
          <cell r="AI7">
            <v>10000</v>
          </cell>
        </row>
      </sheetData>
      <sheetData sheetId="2866">
        <row r="7">
          <cell r="AI7">
            <v>10000</v>
          </cell>
        </row>
      </sheetData>
      <sheetData sheetId="2867">
        <row r="7">
          <cell r="AI7">
            <v>10000</v>
          </cell>
        </row>
      </sheetData>
      <sheetData sheetId="2868">
        <row r="7">
          <cell r="AI7">
            <v>10000</v>
          </cell>
        </row>
      </sheetData>
      <sheetData sheetId="2869">
        <row r="7">
          <cell r="AI7">
            <v>10000</v>
          </cell>
        </row>
      </sheetData>
      <sheetData sheetId="2870">
        <row r="7">
          <cell r="AI7">
            <v>10000</v>
          </cell>
        </row>
      </sheetData>
      <sheetData sheetId="2871">
        <row r="7">
          <cell r="AI7">
            <v>10000</v>
          </cell>
        </row>
      </sheetData>
      <sheetData sheetId="2872">
        <row r="7">
          <cell r="AI7">
            <v>10000</v>
          </cell>
        </row>
      </sheetData>
      <sheetData sheetId="2873">
        <row r="7">
          <cell r="AI7">
            <v>10000</v>
          </cell>
        </row>
      </sheetData>
      <sheetData sheetId="2874">
        <row r="7">
          <cell r="AI7">
            <v>10000</v>
          </cell>
        </row>
      </sheetData>
      <sheetData sheetId="2875">
        <row r="7">
          <cell r="AI7">
            <v>10000</v>
          </cell>
        </row>
      </sheetData>
      <sheetData sheetId="2876">
        <row r="7">
          <cell r="AI7">
            <v>10000</v>
          </cell>
        </row>
      </sheetData>
      <sheetData sheetId="2877">
        <row r="7">
          <cell r="AI7">
            <v>10000</v>
          </cell>
        </row>
      </sheetData>
      <sheetData sheetId="2878">
        <row r="7">
          <cell r="AI7">
            <v>10000</v>
          </cell>
        </row>
      </sheetData>
      <sheetData sheetId="2879">
        <row r="7">
          <cell r="AI7">
            <v>10000</v>
          </cell>
        </row>
      </sheetData>
      <sheetData sheetId="2880">
        <row r="7">
          <cell r="AI7">
            <v>10000</v>
          </cell>
        </row>
      </sheetData>
      <sheetData sheetId="2881">
        <row r="7">
          <cell r="AI7">
            <v>10000</v>
          </cell>
        </row>
      </sheetData>
      <sheetData sheetId="2882">
        <row r="7">
          <cell r="AI7">
            <v>10000</v>
          </cell>
        </row>
      </sheetData>
      <sheetData sheetId="2883">
        <row r="7">
          <cell r="AI7">
            <v>10000</v>
          </cell>
        </row>
      </sheetData>
      <sheetData sheetId="2884">
        <row r="7">
          <cell r="AI7">
            <v>10000</v>
          </cell>
        </row>
      </sheetData>
      <sheetData sheetId="2885">
        <row r="7">
          <cell r="AI7">
            <v>10000</v>
          </cell>
        </row>
      </sheetData>
      <sheetData sheetId="2886">
        <row r="7">
          <cell r="AI7">
            <v>10000</v>
          </cell>
        </row>
      </sheetData>
      <sheetData sheetId="2887">
        <row r="7">
          <cell r="AI7">
            <v>10000</v>
          </cell>
        </row>
      </sheetData>
      <sheetData sheetId="2888">
        <row r="7">
          <cell r="AI7">
            <v>10000</v>
          </cell>
        </row>
      </sheetData>
      <sheetData sheetId="2889">
        <row r="7">
          <cell r="AI7">
            <v>10000</v>
          </cell>
        </row>
      </sheetData>
      <sheetData sheetId="2890">
        <row r="7">
          <cell r="AI7">
            <v>10000</v>
          </cell>
        </row>
      </sheetData>
      <sheetData sheetId="2891">
        <row r="7">
          <cell r="AI7">
            <v>10000</v>
          </cell>
        </row>
      </sheetData>
      <sheetData sheetId="2892">
        <row r="7">
          <cell r="AI7">
            <v>10000</v>
          </cell>
        </row>
      </sheetData>
      <sheetData sheetId="2893">
        <row r="7">
          <cell r="AI7">
            <v>10000</v>
          </cell>
        </row>
      </sheetData>
      <sheetData sheetId="2894">
        <row r="7">
          <cell r="AI7">
            <v>10000</v>
          </cell>
        </row>
      </sheetData>
      <sheetData sheetId="2895">
        <row r="7">
          <cell r="AI7">
            <v>10000</v>
          </cell>
        </row>
      </sheetData>
      <sheetData sheetId="2896">
        <row r="7">
          <cell r="AI7">
            <v>10000</v>
          </cell>
        </row>
      </sheetData>
      <sheetData sheetId="2897">
        <row r="7">
          <cell r="AI7">
            <v>10000</v>
          </cell>
        </row>
      </sheetData>
      <sheetData sheetId="2898">
        <row r="7">
          <cell r="AI7">
            <v>10000</v>
          </cell>
        </row>
      </sheetData>
      <sheetData sheetId="2899">
        <row r="7">
          <cell r="AI7">
            <v>10000</v>
          </cell>
        </row>
      </sheetData>
      <sheetData sheetId="2900">
        <row r="7">
          <cell r="AI7">
            <v>10000</v>
          </cell>
        </row>
      </sheetData>
      <sheetData sheetId="2901">
        <row r="7">
          <cell r="AI7">
            <v>10000</v>
          </cell>
        </row>
      </sheetData>
      <sheetData sheetId="2902">
        <row r="7">
          <cell r="AI7">
            <v>10000</v>
          </cell>
        </row>
      </sheetData>
      <sheetData sheetId="2903">
        <row r="7">
          <cell r="AI7">
            <v>10000</v>
          </cell>
        </row>
      </sheetData>
      <sheetData sheetId="2904">
        <row r="7">
          <cell r="AI7">
            <v>10000</v>
          </cell>
        </row>
      </sheetData>
      <sheetData sheetId="2905">
        <row r="7">
          <cell r="AI7">
            <v>10000</v>
          </cell>
        </row>
      </sheetData>
      <sheetData sheetId="2906">
        <row r="7">
          <cell r="AI7">
            <v>10000</v>
          </cell>
        </row>
      </sheetData>
      <sheetData sheetId="2907">
        <row r="7">
          <cell r="AI7">
            <v>10000</v>
          </cell>
        </row>
      </sheetData>
      <sheetData sheetId="2908">
        <row r="7">
          <cell r="AI7">
            <v>10000</v>
          </cell>
        </row>
      </sheetData>
      <sheetData sheetId="2909">
        <row r="7">
          <cell r="AI7">
            <v>10000</v>
          </cell>
        </row>
      </sheetData>
      <sheetData sheetId="2910">
        <row r="7">
          <cell r="AI7">
            <v>10000</v>
          </cell>
        </row>
      </sheetData>
      <sheetData sheetId="2911">
        <row r="7">
          <cell r="AI7">
            <v>10000</v>
          </cell>
        </row>
      </sheetData>
      <sheetData sheetId="2912">
        <row r="7">
          <cell r="AI7">
            <v>10000</v>
          </cell>
        </row>
      </sheetData>
      <sheetData sheetId="2913">
        <row r="7">
          <cell r="AI7">
            <v>10000</v>
          </cell>
        </row>
      </sheetData>
      <sheetData sheetId="2914">
        <row r="7">
          <cell r="AI7">
            <v>10000</v>
          </cell>
        </row>
      </sheetData>
      <sheetData sheetId="2915">
        <row r="7">
          <cell r="AI7">
            <v>10000</v>
          </cell>
        </row>
      </sheetData>
      <sheetData sheetId="2916">
        <row r="7">
          <cell r="AI7">
            <v>10000</v>
          </cell>
        </row>
      </sheetData>
      <sheetData sheetId="2917">
        <row r="7">
          <cell r="AI7">
            <v>10000</v>
          </cell>
        </row>
      </sheetData>
      <sheetData sheetId="2918">
        <row r="7">
          <cell r="AI7">
            <v>10000</v>
          </cell>
        </row>
      </sheetData>
      <sheetData sheetId="2919">
        <row r="7">
          <cell r="AI7">
            <v>10000</v>
          </cell>
        </row>
      </sheetData>
      <sheetData sheetId="2920">
        <row r="7">
          <cell r="AI7">
            <v>10000</v>
          </cell>
        </row>
      </sheetData>
      <sheetData sheetId="2921">
        <row r="7">
          <cell r="AI7">
            <v>10000</v>
          </cell>
        </row>
      </sheetData>
      <sheetData sheetId="2922">
        <row r="7">
          <cell r="AI7">
            <v>10000</v>
          </cell>
        </row>
      </sheetData>
      <sheetData sheetId="2923">
        <row r="7">
          <cell r="AI7">
            <v>10000</v>
          </cell>
        </row>
      </sheetData>
      <sheetData sheetId="2924">
        <row r="7">
          <cell r="AI7">
            <v>10000</v>
          </cell>
        </row>
      </sheetData>
      <sheetData sheetId="2925">
        <row r="7">
          <cell r="AI7">
            <v>10000</v>
          </cell>
        </row>
      </sheetData>
      <sheetData sheetId="2926">
        <row r="7">
          <cell r="AI7">
            <v>10000</v>
          </cell>
        </row>
      </sheetData>
      <sheetData sheetId="2927">
        <row r="7">
          <cell r="AI7">
            <v>10000</v>
          </cell>
        </row>
      </sheetData>
      <sheetData sheetId="2928">
        <row r="7">
          <cell r="AI7">
            <v>10000</v>
          </cell>
        </row>
      </sheetData>
      <sheetData sheetId="2929">
        <row r="7">
          <cell r="AI7">
            <v>10000</v>
          </cell>
        </row>
      </sheetData>
      <sheetData sheetId="2930">
        <row r="7">
          <cell r="AI7">
            <v>10000</v>
          </cell>
        </row>
      </sheetData>
      <sheetData sheetId="2931">
        <row r="7">
          <cell r="AI7">
            <v>10000</v>
          </cell>
        </row>
      </sheetData>
      <sheetData sheetId="2932">
        <row r="7">
          <cell r="AI7">
            <v>10000</v>
          </cell>
        </row>
      </sheetData>
      <sheetData sheetId="2933">
        <row r="7">
          <cell r="AI7">
            <v>10000</v>
          </cell>
        </row>
      </sheetData>
      <sheetData sheetId="2934">
        <row r="7">
          <cell r="AI7">
            <v>10000</v>
          </cell>
        </row>
      </sheetData>
      <sheetData sheetId="2935">
        <row r="7">
          <cell r="AI7">
            <v>10000</v>
          </cell>
        </row>
      </sheetData>
      <sheetData sheetId="2936">
        <row r="7">
          <cell r="AI7">
            <v>10000</v>
          </cell>
        </row>
      </sheetData>
      <sheetData sheetId="2937">
        <row r="7">
          <cell r="AI7">
            <v>10000</v>
          </cell>
        </row>
      </sheetData>
      <sheetData sheetId="2938">
        <row r="7">
          <cell r="AI7">
            <v>10000</v>
          </cell>
        </row>
      </sheetData>
      <sheetData sheetId="2939">
        <row r="7">
          <cell r="AI7">
            <v>10000</v>
          </cell>
        </row>
      </sheetData>
      <sheetData sheetId="2940">
        <row r="7">
          <cell r="AI7">
            <v>10000</v>
          </cell>
        </row>
      </sheetData>
      <sheetData sheetId="2941">
        <row r="7">
          <cell r="AI7">
            <v>10000</v>
          </cell>
        </row>
      </sheetData>
      <sheetData sheetId="2942">
        <row r="7">
          <cell r="AI7">
            <v>10000</v>
          </cell>
        </row>
      </sheetData>
      <sheetData sheetId="2943">
        <row r="7">
          <cell r="AI7">
            <v>10000</v>
          </cell>
        </row>
      </sheetData>
      <sheetData sheetId="2944">
        <row r="7">
          <cell r="AI7">
            <v>10000</v>
          </cell>
        </row>
      </sheetData>
      <sheetData sheetId="2945">
        <row r="7">
          <cell r="AI7">
            <v>10000</v>
          </cell>
        </row>
      </sheetData>
      <sheetData sheetId="2946">
        <row r="7">
          <cell r="AI7">
            <v>10000</v>
          </cell>
        </row>
      </sheetData>
      <sheetData sheetId="2947">
        <row r="7">
          <cell r="AI7">
            <v>10000</v>
          </cell>
        </row>
      </sheetData>
      <sheetData sheetId="2948">
        <row r="7">
          <cell r="AI7">
            <v>10000</v>
          </cell>
        </row>
      </sheetData>
      <sheetData sheetId="2949">
        <row r="7">
          <cell r="AI7">
            <v>10000</v>
          </cell>
        </row>
      </sheetData>
      <sheetData sheetId="2950">
        <row r="7">
          <cell r="AI7">
            <v>10000</v>
          </cell>
        </row>
      </sheetData>
      <sheetData sheetId="2951">
        <row r="7">
          <cell r="AI7">
            <v>10000</v>
          </cell>
        </row>
      </sheetData>
      <sheetData sheetId="2952">
        <row r="7">
          <cell r="AI7">
            <v>10000</v>
          </cell>
        </row>
      </sheetData>
      <sheetData sheetId="2953">
        <row r="7">
          <cell r="AI7">
            <v>10000</v>
          </cell>
        </row>
      </sheetData>
      <sheetData sheetId="2954">
        <row r="7">
          <cell r="AI7">
            <v>10000</v>
          </cell>
        </row>
      </sheetData>
      <sheetData sheetId="2955">
        <row r="7">
          <cell r="AI7">
            <v>10000</v>
          </cell>
        </row>
      </sheetData>
      <sheetData sheetId="2956">
        <row r="7">
          <cell r="AI7">
            <v>10000</v>
          </cell>
        </row>
      </sheetData>
      <sheetData sheetId="2957">
        <row r="7">
          <cell r="AI7">
            <v>10000</v>
          </cell>
        </row>
      </sheetData>
      <sheetData sheetId="2958">
        <row r="7">
          <cell r="AI7">
            <v>10000</v>
          </cell>
        </row>
      </sheetData>
      <sheetData sheetId="2959">
        <row r="7">
          <cell r="AI7">
            <v>10000</v>
          </cell>
        </row>
      </sheetData>
      <sheetData sheetId="2960">
        <row r="7">
          <cell r="AI7">
            <v>10000</v>
          </cell>
        </row>
      </sheetData>
      <sheetData sheetId="2961">
        <row r="7">
          <cell r="AI7">
            <v>10000</v>
          </cell>
        </row>
      </sheetData>
      <sheetData sheetId="2962">
        <row r="7">
          <cell r="AI7">
            <v>10000</v>
          </cell>
        </row>
      </sheetData>
      <sheetData sheetId="2963">
        <row r="7">
          <cell r="AI7">
            <v>10000</v>
          </cell>
        </row>
      </sheetData>
      <sheetData sheetId="2964">
        <row r="7">
          <cell r="AI7">
            <v>10000</v>
          </cell>
        </row>
      </sheetData>
      <sheetData sheetId="2965">
        <row r="7">
          <cell r="AI7">
            <v>10000</v>
          </cell>
        </row>
      </sheetData>
      <sheetData sheetId="2966">
        <row r="7">
          <cell r="AI7">
            <v>10000</v>
          </cell>
        </row>
      </sheetData>
      <sheetData sheetId="2967">
        <row r="7">
          <cell r="AI7">
            <v>10000</v>
          </cell>
        </row>
      </sheetData>
      <sheetData sheetId="2968">
        <row r="7">
          <cell r="AI7">
            <v>10000</v>
          </cell>
        </row>
      </sheetData>
      <sheetData sheetId="2969">
        <row r="7">
          <cell r="AI7">
            <v>10000</v>
          </cell>
        </row>
      </sheetData>
      <sheetData sheetId="2970">
        <row r="7">
          <cell r="AI7">
            <v>10000</v>
          </cell>
        </row>
      </sheetData>
      <sheetData sheetId="2971">
        <row r="7">
          <cell r="AI7">
            <v>10000</v>
          </cell>
        </row>
      </sheetData>
      <sheetData sheetId="2972">
        <row r="7">
          <cell r="AI7">
            <v>10000</v>
          </cell>
        </row>
      </sheetData>
      <sheetData sheetId="2973">
        <row r="7">
          <cell r="AI7">
            <v>10000</v>
          </cell>
        </row>
      </sheetData>
      <sheetData sheetId="2974">
        <row r="7">
          <cell r="AI7">
            <v>10000</v>
          </cell>
        </row>
      </sheetData>
      <sheetData sheetId="2975">
        <row r="7">
          <cell r="AI7">
            <v>10000</v>
          </cell>
        </row>
      </sheetData>
      <sheetData sheetId="2976">
        <row r="7">
          <cell r="AI7">
            <v>10000</v>
          </cell>
        </row>
      </sheetData>
      <sheetData sheetId="2977">
        <row r="7">
          <cell r="AI7">
            <v>10000</v>
          </cell>
        </row>
      </sheetData>
      <sheetData sheetId="2978">
        <row r="7">
          <cell r="AI7">
            <v>10000</v>
          </cell>
        </row>
      </sheetData>
      <sheetData sheetId="2979">
        <row r="7">
          <cell r="AI7">
            <v>10000</v>
          </cell>
        </row>
      </sheetData>
      <sheetData sheetId="2980">
        <row r="7">
          <cell r="AI7">
            <v>10000</v>
          </cell>
        </row>
      </sheetData>
      <sheetData sheetId="2981">
        <row r="7">
          <cell r="AI7">
            <v>10000</v>
          </cell>
        </row>
      </sheetData>
      <sheetData sheetId="2982">
        <row r="7">
          <cell r="AI7">
            <v>10000</v>
          </cell>
        </row>
      </sheetData>
      <sheetData sheetId="2983">
        <row r="7">
          <cell r="AI7">
            <v>10000</v>
          </cell>
        </row>
      </sheetData>
      <sheetData sheetId="2984">
        <row r="7">
          <cell r="AI7">
            <v>10000</v>
          </cell>
        </row>
      </sheetData>
      <sheetData sheetId="2985">
        <row r="7">
          <cell r="AI7">
            <v>10000</v>
          </cell>
        </row>
      </sheetData>
      <sheetData sheetId="2986">
        <row r="7">
          <cell r="AI7">
            <v>10000</v>
          </cell>
        </row>
      </sheetData>
      <sheetData sheetId="2987">
        <row r="7">
          <cell r="AI7">
            <v>10000</v>
          </cell>
        </row>
      </sheetData>
      <sheetData sheetId="2988">
        <row r="7">
          <cell r="AI7">
            <v>10000</v>
          </cell>
        </row>
      </sheetData>
      <sheetData sheetId="2989">
        <row r="7">
          <cell r="AI7">
            <v>10000</v>
          </cell>
        </row>
      </sheetData>
      <sheetData sheetId="2990">
        <row r="7">
          <cell r="AI7">
            <v>10000</v>
          </cell>
        </row>
      </sheetData>
      <sheetData sheetId="2991">
        <row r="7">
          <cell r="AI7">
            <v>10000</v>
          </cell>
        </row>
      </sheetData>
      <sheetData sheetId="2992">
        <row r="7">
          <cell r="AI7">
            <v>10000</v>
          </cell>
        </row>
      </sheetData>
      <sheetData sheetId="2993">
        <row r="7">
          <cell r="AI7">
            <v>10000</v>
          </cell>
        </row>
      </sheetData>
      <sheetData sheetId="2994">
        <row r="7">
          <cell r="AI7">
            <v>10000</v>
          </cell>
        </row>
      </sheetData>
      <sheetData sheetId="2995">
        <row r="7">
          <cell r="AI7">
            <v>10000</v>
          </cell>
        </row>
      </sheetData>
      <sheetData sheetId="2996">
        <row r="7">
          <cell r="AI7">
            <v>10000</v>
          </cell>
        </row>
      </sheetData>
      <sheetData sheetId="2997">
        <row r="7">
          <cell r="AI7">
            <v>10000</v>
          </cell>
        </row>
      </sheetData>
      <sheetData sheetId="2998">
        <row r="7">
          <cell r="AI7">
            <v>10000</v>
          </cell>
        </row>
      </sheetData>
      <sheetData sheetId="2999">
        <row r="7">
          <cell r="AI7">
            <v>10000</v>
          </cell>
        </row>
      </sheetData>
      <sheetData sheetId="3000">
        <row r="7">
          <cell r="AI7">
            <v>10000</v>
          </cell>
        </row>
      </sheetData>
      <sheetData sheetId="3001">
        <row r="7">
          <cell r="AI7">
            <v>10000</v>
          </cell>
        </row>
      </sheetData>
      <sheetData sheetId="3002">
        <row r="7">
          <cell r="AI7">
            <v>10000</v>
          </cell>
        </row>
      </sheetData>
      <sheetData sheetId="3003">
        <row r="7">
          <cell r="AI7">
            <v>10000</v>
          </cell>
        </row>
      </sheetData>
      <sheetData sheetId="3004">
        <row r="7">
          <cell r="AI7">
            <v>10000</v>
          </cell>
        </row>
      </sheetData>
      <sheetData sheetId="3005">
        <row r="7">
          <cell r="AI7">
            <v>10000</v>
          </cell>
        </row>
      </sheetData>
      <sheetData sheetId="3006">
        <row r="7">
          <cell r="AI7">
            <v>10000</v>
          </cell>
        </row>
      </sheetData>
      <sheetData sheetId="3007">
        <row r="7">
          <cell r="AI7">
            <v>10000</v>
          </cell>
        </row>
      </sheetData>
      <sheetData sheetId="3008">
        <row r="7">
          <cell r="AI7">
            <v>10000</v>
          </cell>
        </row>
      </sheetData>
      <sheetData sheetId="3009">
        <row r="7">
          <cell r="AI7">
            <v>10000</v>
          </cell>
        </row>
      </sheetData>
      <sheetData sheetId="3010">
        <row r="7">
          <cell r="AI7">
            <v>10000</v>
          </cell>
        </row>
      </sheetData>
      <sheetData sheetId="3011">
        <row r="7">
          <cell r="AI7">
            <v>10000</v>
          </cell>
        </row>
      </sheetData>
      <sheetData sheetId="3012">
        <row r="7">
          <cell r="AI7">
            <v>10000</v>
          </cell>
        </row>
      </sheetData>
      <sheetData sheetId="3013">
        <row r="7">
          <cell r="AI7">
            <v>10000</v>
          </cell>
        </row>
      </sheetData>
      <sheetData sheetId="3014">
        <row r="7">
          <cell r="AI7">
            <v>10000</v>
          </cell>
        </row>
      </sheetData>
      <sheetData sheetId="3015">
        <row r="7">
          <cell r="AI7">
            <v>10000</v>
          </cell>
        </row>
      </sheetData>
      <sheetData sheetId="3016">
        <row r="7">
          <cell r="AI7">
            <v>10000</v>
          </cell>
        </row>
      </sheetData>
      <sheetData sheetId="3017">
        <row r="7">
          <cell r="AI7">
            <v>10000</v>
          </cell>
        </row>
      </sheetData>
      <sheetData sheetId="3018">
        <row r="7">
          <cell r="AI7">
            <v>10000</v>
          </cell>
        </row>
      </sheetData>
      <sheetData sheetId="3019">
        <row r="7">
          <cell r="AI7">
            <v>10000</v>
          </cell>
        </row>
      </sheetData>
      <sheetData sheetId="3020">
        <row r="7">
          <cell r="AI7">
            <v>10000</v>
          </cell>
        </row>
      </sheetData>
      <sheetData sheetId="3021">
        <row r="7">
          <cell r="AI7">
            <v>10000</v>
          </cell>
        </row>
      </sheetData>
      <sheetData sheetId="3022">
        <row r="7">
          <cell r="AI7">
            <v>10000</v>
          </cell>
        </row>
      </sheetData>
      <sheetData sheetId="3023">
        <row r="7">
          <cell r="AI7">
            <v>10000</v>
          </cell>
        </row>
      </sheetData>
      <sheetData sheetId="3024">
        <row r="7">
          <cell r="AI7">
            <v>10000</v>
          </cell>
        </row>
      </sheetData>
      <sheetData sheetId="3025">
        <row r="7">
          <cell r="AI7">
            <v>10000</v>
          </cell>
        </row>
      </sheetData>
      <sheetData sheetId="3026">
        <row r="7">
          <cell r="AI7">
            <v>10000</v>
          </cell>
        </row>
      </sheetData>
      <sheetData sheetId="3027">
        <row r="7">
          <cell r="AI7">
            <v>10000</v>
          </cell>
        </row>
      </sheetData>
      <sheetData sheetId="3028">
        <row r="7">
          <cell r="AI7">
            <v>10000</v>
          </cell>
        </row>
      </sheetData>
      <sheetData sheetId="3029">
        <row r="7">
          <cell r="AI7">
            <v>10000</v>
          </cell>
        </row>
      </sheetData>
      <sheetData sheetId="3030">
        <row r="7">
          <cell r="AI7">
            <v>10000</v>
          </cell>
        </row>
      </sheetData>
      <sheetData sheetId="3031">
        <row r="7">
          <cell r="AI7">
            <v>10000</v>
          </cell>
        </row>
      </sheetData>
      <sheetData sheetId="3032">
        <row r="7">
          <cell r="AI7">
            <v>10000</v>
          </cell>
        </row>
      </sheetData>
      <sheetData sheetId="3033">
        <row r="7">
          <cell r="AI7">
            <v>10000</v>
          </cell>
        </row>
      </sheetData>
      <sheetData sheetId="3034">
        <row r="7">
          <cell r="AI7">
            <v>10000</v>
          </cell>
        </row>
      </sheetData>
      <sheetData sheetId="3035">
        <row r="7">
          <cell r="AI7">
            <v>10000</v>
          </cell>
        </row>
      </sheetData>
      <sheetData sheetId="3036">
        <row r="7">
          <cell r="AI7">
            <v>10000</v>
          </cell>
        </row>
      </sheetData>
      <sheetData sheetId="3037">
        <row r="7">
          <cell r="AI7">
            <v>10000</v>
          </cell>
        </row>
      </sheetData>
      <sheetData sheetId="3038">
        <row r="7">
          <cell r="AI7">
            <v>10000</v>
          </cell>
        </row>
      </sheetData>
      <sheetData sheetId="3039">
        <row r="7">
          <cell r="AI7">
            <v>10000</v>
          </cell>
        </row>
      </sheetData>
      <sheetData sheetId="3040">
        <row r="7">
          <cell r="AI7">
            <v>10000</v>
          </cell>
        </row>
      </sheetData>
      <sheetData sheetId="3041">
        <row r="7">
          <cell r="AI7">
            <v>10000</v>
          </cell>
        </row>
      </sheetData>
      <sheetData sheetId="3042">
        <row r="7">
          <cell r="AI7">
            <v>10000</v>
          </cell>
        </row>
      </sheetData>
      <sheetData sheetId="3043">
        <row r="7">
          <cell r="AI7">
            <v>10000</v>
          </cell>
        </row>
      </sheetData>
      <sheetData sheetId="3044">
        <row r="7">
          <cell r="AI7">
            <v>10000</v>
          </cell>
        </row>
      </sheetData>
      <sheetData sheetId="3045">
        <row r="7">
          <cell r="AI7">
            <v>10000</v>
          </cell>
        </row>
      </sheetData>
      <sheetData sheetId="3046">
        <row r="7">
          <cell r="AI7">
            <v>10000</v>
          </cell>
        </row>
      </sheetData>
      <sheetData sheetId="3047">
        <row r="7">
          <cell r="AI7">
            <v>10000</v>
          </cell>
        </row>
      </sheetData>
      <sheetData sheetId="3048">
        <row r="7">
          <cell r="AI7">
            <v>10000</v>
          </cell>
        </row>
      </sheetData>
      <sheetData sheetId="3049">
        <row r="7">
          <cell r="AI7">
            <v>10000</v>
          </cell>
        </row>
      </sheetData>
      <sheetData sheetId="3050">
        <row r="7">
          <cell r="AI7">
            <v>10000</v>
          </cell>
        </row>
      </sheetData>
      <sheetData sheetId="3051">
        <row r="7">
          <cell r="AI7">
            <v>10000</v>
          </cell>
        </row>
      </sheetData>
      <sheetData sheetId="3052">
        <row r="7">
          <cell r="AI7">
            <v>10000</v>
          </cell>
        </row>
      </sheetData>
      <sheetData sheetId="3053">
        <row r="7">
          <cell r="AI7">
            <v>10000</v>
          </cell>
        </row>
      </sheetData>
      <sheetData sheetId="3054">
        <row r="7">
          <cell r="AI7">
            <v>10000</v>
          </cell>
        </row>
      </sheetData>
      <sheetData sheetId="3055">
        <row r="7">
          <cell r="AI7">
            <v>10000</v>
          </cell>
        </row>
      </sheetData>
      <sheetData sheetId="3056">
        <row r="7">
          <cell r="AI7">
            <v>10000</v>
          </cell>
        </row>
      </sheetData>
      <sheetData sheetId="3057">
        <row r="7">
          <cell r="AI7">
            <v>10000</v>
          </cell>
        </row>
      </sheetData>
      <sheetData sheetId="3058">
        <row r="7">
          <cell r="AI7">
            <v>10000</v>
          </cell>
        </row>
      </sheetData>
      <sheetData sheetId="3059">
        <row r="7">
          <cell r="AI7">
            <v>10000</v>
          </cell>
        </row>
      </sheetData>
      <sheetData sheetId="3060">
        <row r="7">
          <cell r="AI7">
            <v>10000</v>
          </cell>
        </row>
      </sheetData>
      <sheetData sheetId="3061">
        <row r="7">
          <cell r="AI7">
            <v>10000</v>
          </cell>
        </row>
      </sheetData>
      <sheetData sheetId="3062">
        <row r="7">
          <cell r="AI7">
            <v>10000</v>
          </cell>
        </row>
      </sheetData>
      <sheetData sheetId="3063">
        <row r="7">
          <cell r="AI7">
            <v>10000</v>
          </cell>
        </row>
      </sheetData>
      <sheetData sheetId="3064" refreshError="1"/>
      <sheetData sheetId="3065">
        <row r="7">
          <cell r="AI7">
            <v>10000</v>
          </cell>
        </row>
      </sheetData>
      <sheetData sheetId="3066">
        <row r="7">
          <cell r="AI7">
            <v>10000</v>
          </cell>
        </row>
      </sheetData>
      <sheetData sheetId="3067">
        <row r="7">
          <cell r="AI7">
            <v>10000</v>
          </cell>
        </row>
      </sheetData>
      <sheetData sheetId="3068">
        <row r="7">
          <cell r="AI7">
            <v>10000</v>
          </cell>
        </row>
      </sheetData>
      <sheetData sheetId="3069">
        <row r="7">
          <cell r="AI7">
            <v>10000</v>
          </cell>
        </row>
      </sheetData>
      <sheetData sheetId="3070">
        <row r="7">
          <cell r="AI7">
            <v>10000</v>
          </cell>
        </row>
      </sheetData>
      <sheetData sheetId="3071">
        <row r="7">
          <cell r="AI7">
            <v>10000</v>
          </cell>
        </row>
      </sheetData>
      <sheetData sheetId="3072">
        <row r="7">
          <cell r="AI7">
            <v>10000</v>
          </cell>
        </row>
      </sheetData>
      <sheetData sheetId="3073">
        <row r="7">
          <cell r="AI7">
            <v>10000</v>
          </cell>
        </row>
      </sheetData>
      <sheetData sheetId="3074">
        <row r="7">
          <cell r="AI7">
            <v>10000</v>
          </cell>
        </row>
      </sheetData>
      <sheetData sheetId="3075">
        <row r="7">
          <cell r="AI7">
            <v>10000</v>
          </cell>
        </row>
      </sheetData>
      <sheetData sheetId="3076">
        <row r="7">
          <cell r="AI7">
            <v>10000</v>
          </cell>
        </row>
      </sheetData>
      <sheetData sheetId="3077">
        <row r="7">
          <cell r="AI7">
            <v>10000</v>
          </cell>
        </row>
      </sheetData>
      <sheetData sheetId="3078">
        <row r="7">
          <cell r="AI7">
            <v>10000</v>
          </cell>
        </row>
      </sheetData>
      <sheetData sheetId="3079">
        <row r="7">
          <cell r="AI7">
            <v>10000</v>
          </cell>
        </row>
      </sheetData>
      <sheetData sheetId="3080">
        <row r="7">
          <cell r="AI7">
            <v>10000</v>
          </cell>
        </row>
      </sheetData>
      <sheetData sheetId="3081">
        <row r="7">
          <cell r="AI7">
            <v>10000</v>
          </cell>
        </row>
      </sheetData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>
        <row r="7">
          <cell r="AI7">
            <v>10000</v>
          </cell>
        </row>
      </sheetData>
      <sheetData sheetId="3091" refreshError="1"/>
      <sheetData sheetId="3092" refreshError="1"/>
      <sheetData sheetId="3093">
        <row r="7">
          <cell r="AI7">
            <v>10000</v>
          </cell>
        </row>
      </sheetData>
      <sheetData sheetId="3094">
        <row r="7">
          <cell r="AI7">
            <v>10000</v>
          </cell>
        </row>
      </sheetData>
      <sheetData sheetId="3095">
        <row r="7">
          <cell r="AI7">
            <v>10000</v>
          </cell>
        </row>
      </sheetData>
      <sheetData sheetId="3096">
        <row r="7">
          <cell r="AI7">
            <v>10000</v>
          </cell>
        </row>
      </sheetData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>
        <row r="7">
          <cell r="AI7">
            <v>10000</v>
          </cell>
        </row>
      </sheetData>
      <sheetData sheetId="3112">
        <row r="7">
          <cell r="AI7">
            <v>10000</v>
          </cell>
        </row>
      </sheetData>
      <sheetData sheetId="3113">
        <row r="7">
          <cell r="AI7">
            <v>10000</v>
          </cell>
        </row>
      </sheetData>
      <sheetData sheetId="3114">
        <row r="7">
          <cell r="AI7">
            <v>10000</v>
          </cell>
        </row>
      </sheetData>
      <sheetData sheetId="3115">
        <row r="7">
          <cell r="AI7">
            <v>10000</v>
          </cell>
        </row>
      </sheetData>
      <sheetData sheetId="3116">
        <row r="7">
          <cell r="AI7">
            <v>10000</v>
          </cell>
        </row>
      </sheetData>
      <sheetData sheetId="3117">
        <row r="7">
          <cell r="AI7">
            <v>10000</v>
          </cell>
        </row>
      </sheetData>
      <sheetData sheetId="3118">
        <row r="7">
          <cell r="AI7">
            <v>10000</v>
          </cell>
        </row>
      </sheetData>
      <sheetData sheetId="3119">
        <row r="7">
          <cell r="AI7">
            <v>10000</v>
          </cell>
        </row>
      </sheetData>
      <sheetData sheetId="3120">
        <row r="7">
          <cell r="AI7">
            <v>10000</v>
          </cell>
        </row>
      </sheetData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>
        <row r="7">
          <cell r="AI7">
            <v>10000</v>
          </cell>
        </row>
      </sheetData>
      <sheetData sheetId="3138">
        <row r="7">
          <cell r="AI7">
            <v>10000</v>
          </cell>
        </row>
      </sheetData>
      <sheetData sheetId="3139">
        <row r="7">
          <cell r="AI7">
            <v>10000</v>
          </cell>
        </row>
      </sheetData>
      <sheetData sheetId="3140">
        <row r="7">
          <cell r="AI7">
            <v>10000</v>
          </cell>
        </row>
      </sheetData>
      <sheetData sheetId="3141">
        <row r="7">
          <cell r="AI7">
            <v>10000</v>
          </cell>
        </row>
      </sheetData>
      <sheetData sheetId="3142">
        <row r="7">
          <cell r="AI7">
            <v>10000</v>
          </cell>
        </row>
      </sheetData>
      <sheetData sheetId="3143">
        <row r="7">
          <cell r="AI7">
            <v>10000</v>
          </cell>
        </row>
      </sheetData>
      <sheetData sheetId="3144">
        <row r="7">
          <cell r="AI7">
            <v>10000</v>
          </cell>
        </row>
      </sheetData>
      <sheetData sheetId="3145">
        <row r="7">
          <cell r="AI7">
            <v>10000</v>
          </cell>
        </row>
      </sheetData>
      <sheetData sheetId="3146">
        <row r="7">
          <cell r="AI7">
            <v>10000</v>
          </cell>
        </row>
      </sheetData>
      <sheetData sheetId="3147">
        <row r="7">
          <cell r="AI7">
            <v>10000</v>
          </cell>
        </row>
      </sheetData>
      <sheetData sheetId="3148">
        <row r="7">
          <cell r="AI7">
            <v>10000</v>
          </cell>
        </row>
      </sheetData>
      <sheetData sheetId="3149">
        <row r="7">
          <cell r="AI7">
            <v>10000</v>
          </cell>
        </row>
      </sheetData>
      <sheetData sheetId="3150">
        <row r="7">
          <cell r="AI7">
            <v>10000</v>
          </cell>
        </row>
      </sheetData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>
        <row r="7">
          <cell r="AI7">
            <v>10000</v>
          </cell>
        </row>
      </sheetData>
      <sheetData sheetId="3179" refreshError="1"/>
      <sheetData sheetId="3180" refreshError="1"/>
      <sheetData sheetId="3181" refreshError="1"/>
      <sheetData sheetId="3182" refreshError="1"/>
      <sheetData sheetId="3183">
        <row r="7">
          <cell r="AI7">
            <v>10000</v>
          </cell>
        </row>
      </sheetData>
      <sheetData sheetId="3184">
        <row r="7">
          <cell r="AI7">
            <v>10000</v>
          </cell>
        </row>
      </sheetData>
      <sheetData sheetId="3185">
        <row r="7">
          <cell r="AI7">
            <v>10000</v>
          </cell>
        </row>
      </sheetData>
      <sheetData sheetId="3186">
        <row r="7">
          <cell r="AI7">
            <v>10000</v>
          </cell>
        </row>
      </sheetData>
      <sheetData sheetId="3187">
        <row r="7">
          <cell r="AI7">
            <v>10000</v>
          </cell>
        </row>
      </sheetData>
      <sheetData sheetId="3188" refreshError="1"/>
      <sheetData sheetId="3189">
        <row r="7">
          <cell r="AI7">
            <v>10000</v>
          </cell>
        </row>
      </sheetData>
      <sheetData sheetId="3190">
        <row r="7">
          <cell r="AI7">
            <v>10000</v>
          </cell>
        </row>
      </sheetData>
      <sheetData sheetId="3191">
        <row r="7">
          <cell r="AI7">
            <v>10000</v>
          </cell>
        </row>
      </sheetData>
      <sheetData sheetId="3192">
        <row r="7">
          <cell r="AI7">
            <v>10000</v>
          </cell>
        </row>
      </sheetData>
      <sheetData sheetId="3193">
        <row r="7">
          <cell r="AI7">
            <v>10000</v>
          </cell>
        </row>
      </sheetData>
      <sheetData sheetId="3194">
        <row r="7">
          <cell r="AI7">
            <v>10000</v>
          </cell>
        </row>
      </sheetData>
      <sheetData sheetId="3195">
        <row r="7">
          <cell r="AI7">
            <v>10000</v>
          </cell>
        </row>
      </sheetData>
      <sheetData sheetId="3196">
        <row r="7">
          <cell r="AI7">
            <v>10000</v>
          </cell>
        </row>
      </sheetData>
      <sheetData sheetId="3197">
        <row r="7">
          <cell r="AI7">
            <v>10000</v>
          </cell>
        </row>
      </sheetData>
      <sheetData sheetId="3198">
        <row r="7">
          <cell r="AI7">
            <v>10000</v>
          </cell>
        </row>
      </sheetData>
      <sheetData sheetId="3199">
        <row r="7">
          <cell r="AI7">
            <v>10000</v>
          </cell>
        </row>
      </sheetData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>
        <row r="7">
          <cell r="AI7">
            <v>10000</v>
          </cell>
        </row>
      </sheetData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>
        <row r="7">
          <cell r="AI7">
            <v>10000</v>
          </cell>
        </row>
      </sheetData>
      <sheetData sheetId="3222">
        <row r="7">
          <cell r="AI7">
            <v>10000</v>
          </cell>
        </row>
      </sheetData>
      <sheetData sheetId="3223">
        <row r="7">
          <cell r="AI7">
            <v>10000</v>
          </cell>
        </row>
      </sheetData>
      <sheetData sheetId="3224">
        <row r="7">
          <cell r="AI7">
            <v>10000</v>
          </cell>
        </row>
      </sheetData>
      <sheetData sheetId="3225">
        <row r="7">
          <cell r="AI7">
            <v>10000</v>
          </cell>
        </row>
      </sheetData>
      <sheetData sheetId="3226" refreshError="1"/>
      <sheetData sheetId="3227" refreshError="1"/>
      <sheetData sheetId="3228">
        <row r="7">
          <cell r="AI7">
            <v>10000</v>
          </cell>
        </row>
      </sheetData>
      <sheetData sheetId="3229">
        <row r="7">
          <cell r="AI7">
            <v>10000</v>
          </cell>
        </row>
      </sheetData>
      <sheetData sheetId="3230">
        <row r="7">
          <cell r="AI7">
            <v>10000</v>
          </cell>
        </row>
      </sheetData>
      <sheetData sheetId="3231">
        <row r="7">
          <cell r="AI7">
            <v>10000</v>
          </cell>
        </row>
      </sheetData>
      <sheetData sheetId="3232">
        <row r="7">
          <cell r="AI7">
            <v>10000</v>
          </cell>
        </row>
      </sheetData>
      <sheetData sheetId="3233">
        <row r="7">
          <cell r="AI7">
            <v>10000</v>
          </cell>
        </row>
      </sheetData>
      <sheetData sheetId="3234">
        <row r="7">
          <cell r="AI7">
            <v>10000</v>
          </cell>
        </row>
      </sheetData>
      <sheetData sheetId="3235">
        <row r="7">
          <cell r="AI7">
            <v>10000</v>
          </cell>
        </row>
      </sheetData>
      <sheetData sheetId="3236">
        <row r="7">
          <cell r="AI7">
            <v>10000</v>
          </cell>
        </row>
      </sheetData>
      <sheetData sheetId="3237">
        <row r="7">
          <cell r="AI7">
            <v>10000</v>
          </cell>
        </row>
      </sheetData>
      <sheetData sheetId="3238">
        <row r="7">
          <cell r="AI7">
            <v>10000</v>
          </cell>
        </row>
      </sheetData>
      <sheetData sheetId="3239">
        <row r="7">
          <cell r="AI7">
            <v>10000</v>
          </cell>
        </row>
      </sheetData>
      <sheetData sheetId="3240">
        <row r="7">
          <cell r="AI7">
            <v>10000</v>
          </cell>
        </row>
      </sheetData>
      <sheetData sheetId="3241">
        <row r="7">
          <cell r="AI7">
            <v>10000</v>
          </cell>
        </row>
      </sheetData>
      <sheetData sheetId="3242">
        <row r="7">
          <cell r="AI7">
            <v>10000</v>
          </cell>
        </row>
      </sheetData>
      <sheetData sheetId="3243">
        <row r="7">
          <cell r="AI7">
            <v>10000</v>
          </cell>
        </row>
      </sheetData>
      <sheetData sheetId="3244">
        <row r="7">
          <cell r="AI7">
            <v>10000</v>
          </cell>
        </row>
      </sheetData>
      <sheetData sheetId="3245">
        <row r="7">
          <cell r="AI7">
            <v>10000</v>
          </cell>
        </row>
      </sheetData>
      <sheetData sheetId="3246">
        <row r="7">
          <cell r="AI7">
            <v>10000</v>
          </cell>
        </row>
      </sheetData>
      <sheetData sheetId="3247">
        <row r="7">
          <cell r="AI7">
            <v>10000</v>
          </cell>
        </row>
      </sheetData>
      <sheetData sheetId="3248">
        <row r="7">
          <cell r="AI7">
            <v>10000</v>
          </cell>
        </row>
      </sheetData>
      <sheetData sheetId="3249">
        <row r="7">
          <cell r="AI7">
            <v>10000</v>
          </cell>
        </row>
      </sheetData>
      <sheetData sheetId="3250">
        <row r="7">
          <cell r="AI7">
            <v>10000</v>
          </cell>
        </row>
      </sheetData>
      <sheetData sheetId="3251">
        <row r="7">
          <cell r="AI7">
            <v>10000</v>
          </cell>
        </row>
      </sheetData>
      <sheetData sheetId="3252">
        <row r="7">
          <cell r="AI7">
            <v>10000</v>
          </cell>
        </row>
      </sheetData>
      <sheetData sheetId="3253">
        <row r="7">
          <cell r="AI7">
            <v>10000</v>
          </cell>
        </row>
      </sheetData>
      <sheetData sheetId="3254">
        <row r="7">
          <cell r="AI7">
            <v>10000</v>
          </cell>
        </row>
      </sheetData>
      <sheetData sheetId="3255">
        <row r="7">
          <cell r="AI7">
            <v>10000</v>
          </cell>
        </row>
      </sheetData>
      <sheetData sheetId="3256">
        <row r="7">
          <cell r="AI7">
            <v>10000</v>
          </cell>
        </row>
      </sheetData>
      <sheetData sheetId="3257">
        <row r="7">
          <cell r="AI7">
            <v>10000</v>
          </cell>
        </row>
      </sheetData>
      <sheetData sheetId="3258">
        <row r="7">
          <cell r="AI7">
            <v>10000</v>
          </cell>
        </row>
      </sheetData>
      <sheetData sheetId="3259">
        <row r="7">
          <cell r="AI7">
            <v>10000</v>
          </cell>
        </row>
      </sheetData>
      <sheetData sheetId="3260">
        <row r="7">
          <cell r="AI7">
            <v>10000</v>
          </cell>
        </row>
      </sheetData>
      <sheetData sheetId="3261">
        <row r="7">
          <cell r="AI7">
            <v>10000</v>
          </cell>
        </row>
      </sheetData>
      <sheetData sheetId="3262">
        <row r="7">
          <cell r="AI7">
            <v>10000</v>
          </cell>
        </row>
      </sheetData>
      <sheetData sheetId="3263">
        <row r="7">
          <cell r="AI7">
            <v>10000</v>
          </cell>
        </row>
      </sheetData>
      <sheetData sheetId="3264">
        <row r="7">
          <cell r="AI7">
            <v>10000</v>
          </cell>
        </row>
      </sheetData>
      <sheetData sheetId="3265">
        <row r="7">
          <cell r="AI7">
            <v>10000</v>
          </cell>
        </row>
      </sheetData>
      <sheetData sheetId="3266">
        <row r="7">
          <cell r="AI7">
            <v>10000</v>
          </cell>
        </row>
      </sheetData>
      <sheetData sheetId="3267">
        <row r="7">
          <cell r="AI7">
            <v>10000</v>
          </cell>
        </row>
      </sheetData>
      <sheetData sheetId="3268">
        <row r="7">
          <cell r="AI7">
            <v>10000</v>
          </cell>
        </row>
      </sheetData>
      <sheetData sheetId="3269">
        <row r="7">
          <cell r="AI7">
            <v>10000</v>
          </cell>
        </row>
      </sheetData>
      <sheetData sheetId="3270">
        <row r="7">
          <cell r="AI7">
            <v>10000</v>
          </cell>
        </row>
      </sheetData>
      <sheetData sheetId="3271">
        <row r="7">
          <cell r="AI7">
            <v>10000</v>
          </cell>
        </row>
      </sheetData>
      <sheetData sheetId="3272">
        <row r="7">
          <cell r="AI7">
            <v>10000</v>
          </cell>
        </row>
      </sheetData>
      <sheetData sheetId="3273">
        <row r="7">
          <cell r="AI7">
            <v>10000</v>
          </cell>
        </row>
      </sheetData>
      <sheetData sheetId="3274">
        <row r="7">
          <cell r="AI7">
            <v>10000</v>
          </cell>
        </row>
      </sheetData>
      <sheetData sheetId="3275">
        <row r="7">
          <cell r="AI7">
            <v>10000</v>
          </cell>
        </row>
      </sheetData>
      <sheetData sheetId="3276">
        <row r="7">
          <cell r="AI7">
            <v>10000</v>
          </cell>
        </row>
      </sheetData>
      <sheetData sheetId="3277">
        <row r="7">
          <cell r="AI7">
            <v>10000</v>
          </cell>
        </row>
      </sheetData>
      <sheetData sheetId="3278">
        <row r="7">
          <cell r="AI7">
            <v>10000</v>
          </cell>
        </row>
      </sheetData>
      <sheetData sheetId="3279">
        <row r="7">
          <cell r="AI7">
            <v>10000</v>
          </cell>
        </row>
      </sheetData>
      <sheetData sheetId="3280">
        <row r="7">
          <cell r="AI7">
            <v>10000</v>
          </cell>
        </row>
      </sheetData>
      <sheetData sheetId="3281">
        <row r="7">
          <cell r="AI7">
            <v>10000</v>
          </cell>
        </row>
      </sheetData>
      <sheetData sheetId="3282">
        <row r="7">
          <cell r="AI7">
            <v>10000</v>
          </cell>
        </row>
      </sheetData>
      <sheetData sheetId="3283">
        <row r="7">
          <cell r="AI7">
            <v>10000</v>
          </cell>
        </row>
      </sheetData>
      <sheetData sheetId="3284">
        <row r="7">
          <cell r="AI7">
            <v>10000</v>
          </cell>
        </row>
      </sheetData>
      <sheetData sheetId="3285">
        <row r="7">
          <cell r="AI7">
            <v>10000</v>
          </cell>
        </row>
      </sheetData>
      <sheetData sheetId="3286">
        <row r="7">
          <cell r="AI7">
            <v>10000</v>
          </cell>
        </row>
      </sheetData>
      <sheetData sheetId="3287">
        <row r="7">
          <cell r="AI7">
            <v>10000</v>
          </cell>
        </row>
      </sheetData>
      <sheetData sheetId="3288">
        <row r="7">
          <cell r="AI7">
            <v>10000</v>
          </cell>
        </row>
      </sheetData>
      <sheetData sheetId="3289">
        <row r="7">
          <cell r="AI7">
            <v>10000</v>
          </cell>
        </row>
      </sheetData>
      <sheetData sheetId="3290">
        <row r="7">
          <cell r="AI7">
            <v>10000</v>
          </cell>
        </row>
      </sheetData>
      <sheetData sheetId="3291">
        <row r="7">
          <cell r="AI7">
            <v>10000</v>
          </cell>
        </row>
      </sheetData>
      <sheetData sheetId="3292">
        <row r="7">
          <cell r="AI7">
            <v>10000</v>
          </cell>
        </row>
      </sheetData>
      <sheetData sheetId="3293">
        <row r="7">
          <cell r="AI7">
            <v>10000</v>
          </cell>
        </row>
      </sheetData>
      <sheetData sheetId="3294">
        <row r="7">
          <cell r="AI7">
            <v>10000</v>
          </cell>
        </row>
      </sheetData>
      <sheetData sheetId="3295">
        <row r="7">
          <cell r="AI7">
            <v>10000</v>
          </cell>
        </row>
      </sheetData>
      <sheetData sheetId="3296">
        <row r="7">
          <cell r="AI7">
            <v>10000</v>
          </cell>
        </row>
      </sheetData>
      <sheetData sheetId="3297">
        <row r="7">
          <cell r="AI7">
            <v>10000</v>
          </cell>
        </row>
      </sheetData>
      <sheetData sheetId="3298">
        <row r="7">
          <cell r="AI7">
            <v>10000</v>
          </cell>
        </row>
      </sheetData>
      <sheetData sheetId="3299">
        <row r="7">
          <cell r="AI7">
            <v>10000</v>
          </cell>
        </row>
      </sheetData>
      <sheetData sheetId="3300">
        <row r="7">
          <cell r="AI7">
            <v>10000</v>
          </cell>
        </row>
      </sheetData>
      <sheetData sheetId="3301">
        <row r="7">
          <cell r="AI7">
            <v>10000</v>
          </cell>
        </row>
      </sheetData>
      <sheetData sheetId="3302">
        <row r="7">
          <cell r="AI7">
            <v>10000</v>
          </cell>
        </row>
      </sheetData>
      <sheetData sheetId="3303">
        <row r="7">
          <cell r="AI7">
            <v>10000</v>
          </cell>
        </row>
      </sheetData>
      <sheetData sheetId="3304">
        <row r="7">
          <cell r="AI7">
            <v>10000</v>
          </cell>
        </row>
      </sheetData>
      <sheetData sheetId="3305">
        <row r="7">
          <cell r="AI7">
            <v>10000</v>
          </cell>
        </row>
      </sheetData>
      <sheetData sheetId="3306">
        <row r="7">
          <cell r="AI7">
            <v>10000</v>
          </cell>
        </row>
      </sheetData>
      <sheetData sheetId="3307">
        <row r="7">
          <cell r="AI7">
            <v>10000</v>
          </cell>
        </row>
      </sheetData>
      <sheetData sheetId="3308">
        <row r="7">
          <cell r="AI7">
            <v>10000</v>
          </cell>
        </row>
      </sheetData>
      <sheetData sheetId="3309">
        <row r="7">
          <cell r="AI7">
            <v>10000</v>
          </cell>
        </row>
      </sheetData>
      <sheetData sheetId="3310">
        <row r="7">
          <cell r="AI7">
            <v>10000</v>
          </cell>
        </row>
      </sheetData>
      <sheetData sheetId="3311">
        <row r="7">
          <cell r="AI7">
            <v>10000</v>
          </cell>
        </row>
      </sheetData>
      <sheetData sheetId="3312">
        <row r="7">
          <cell r="AI7">
            <v>10000</v>
          </cell>
        </row>
      </sheetData>
      <sheetData sheetId="3313">
        <row r="7">
          <cell r="AI7">
            <v>10000</v>
          </cell>
        </row>
      </sheetData>
      <sheetData sheetId="3314">
        <row r="7">
          <cell r="AI7">
            <v>10000</v>
          </cell>
        </row>
      </sheetData>
      <sheetData sheetId="3315">
        <row r="7">
          <cell r="AI7">
            <v>10000</v>
          </cell>
        </row>
      </sheetData>
      <sheetData sheetId="3316">
        <row r="7">
          <cell r="AI7">
            <v>10000</v>
          </cell>
        </row>
      </sheetData>
      <sheetData sheetId="3317">
        <row r="7">
          <cell r="AI7">
            <v>10000</v>
          </cell>
        </row>
      </sheetData>
      <sheetData sheetId="3318">
        <row r="7">
          <cell r="AI7">
            <v>10000</v>
          </cell>
        </row>
      </sheetData>
      <sheetData sheetId="3319">
        <row r="7">
          <cell r="AI7">
            <v>10000</v>
          </cell>
        </row>
      </sheetData>
      <sheetData sheetId="3320">
        <row r="7">
          <cell r="AI7">
            <v>10000</v>
          </cell>
        </row>
      </sheetData>
      <sheetData sheetId="3321">
        <row r="7">
          <cell r="AI7">
            <v>10000</v>
          </cell>
        </row>
      </sheetData>
      <sheetData sheetId="3322">
        <row r="7">
          <cell r="AI7">
            <v>10000</v>
          </cell>
        </row>
      </sheetData>
      <sheetData sheetId="3323">
        <row r="7">
          <cell r="AI7">
            <v>10000</v>
          </cell>
        </row>
      </sheetData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 refreshError="1"/>
      <sheetData sheetId="3369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>
        <row r="7">
          <cell r="AI7">
            <v>10000</v>
          </cell>
        </row>
      </sheetData>
      <sheetData sheetId="3406">
        <row r="7">
          <cell r="AI7">
            <v>10000</v>
          </cell>
        </row>
      </sheetData>
      <sheetData sheetId="3407">
        <row r="7">
          <cell r="AI7">
            <v>10000</v>
          </cell>
        </row>
      </sheetData>
      <sheetData sheetId="3408">
        <row r="7">
          <cell r="AI7">
            <v>10000</v>
          </cell>
        </row>
      </sheetData>
      <sheetData sheetId="3409">
        <row r="7">
          <cell r="AI7">
            <v>10000</v>
          </cell>
        </row>
      </sheetData>
      <sheetData sheetId="3410">
        <row r="7">
          <cell r="AI7">
            <v>10000</v>
          </cell>
        </row>
      </sheetData>
      <sheetData sheetId="3411">
        <row r="7">
          <cell r="AI7">
            <v>10000</v>
          </cell>
        </row>
      </sheetData>
      <sheetData sheetId="3412">
        <row r="7">
          <cell r="AI7">
            <v>10000</v>
          </cell>
        </row>
      </sheetData>
      <sheetData sheetId="3413">
        <row r="7">
          <cell r="AI7">
            <v>10000</v>
          </cell>
        </row>
      </sheetData>
      <sheetData sheetId="3414">
        <row r="7">
          <cell r="AI7">
            <v>10000</v>
          </cell>
        </row>
      </sheetData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>
        <row r="7">
          <cell r="AI7">
            <v>10000</v>
          </cell>
        </row>
      </sheetData>
      <sheetData sheetId="3422">
        <row r="7">
          <cell r="AI7">
            <v>10000</v>
          </cell>
        </row>
      </sheetData>
      <sheetData sheetId="3423">
        <row r="7">
          <cell r="AI7">
            <v>10000</v>
          </cell>
        </row>
      </sheetData>
      <sheetData sheetId="3424">
        <row r="7">
          <cell r="AI7">
            <v>10000</v>
          </cell>
        </row>
      </sheetData>
      <sheetData sheetId="3425">
        <row r="7">
          <cell r="AI7">
            <v>10000</v>
          </cell>
        </row>
      </sheetData>
      <sheetData sheetId="3426">
        <row r="7">
          <cell r="AI7">
            <v>10000</v>
          </cell>
        </row>
      </sheetData>
      <sheetData sheetId="3427">
        <row r="7">
          <cell r="AI7">
            <v>10000</v>
          </cell>
        </row>
      </sheetData>
      <sheetData sheetId="3428">
        <row r="7">
          <cell r="AI7">
            <v>10000</v>
          </cell>
        </row>
      </sheetData>
      <sheetData sheetId="3429">
        <row r="7">
          <cell r="AI7">
            <v>10000</v>
          </cell>
        </row>
      </sheetData>
      <sheetData sheetId="3430">
        <row r="7">
          <cell r="AI7">
            <v>10000</v>
          </cell>
        </row>
      </sheetData>
      <sheetData sheetId="3431">
        <row r="7">
          <cell r="AI7">
            <v>10000</v>
          </cell>
        </row>
      </sheetData>
      <sheetData sheetId="3432">
        <row r="7">
          <cell r="AI7">
            <v>10000</v>
          </cell>
        </row>
      </sheetData>
      <sheetData sheetId="3433">
        <row r="7">
          <cell r="AI7">
            <v>10000</v>
          </cell>
        </row>
      </sheetData>
      <sheetData sheetId="3434" refreshError="1"/>
      <sheetData sheetId="3435" refreshError="1"/>
      <sheetData sheetId="3436" refreshError="1"/>
      <sheetData sheetId="3437">
        <row r="7">
          <cell r="AI7">
            <v>10000</v>
          </cell>
        </row>
      </sheetData>
      <sheetData sheetId="3438" refreshError="1"/>
      <sheetData sheetId="3439">
        <row r="7">
          <cell r="AI7">
            <v>10000</v>
          </cell>
        </row>
      </sheetData>
      <sheetData sheetId="3440">
        <row r="7">
          <cell r="AI7">
            <v>10000</v>
          </cell>
        </row>
      </sheetData>
      <sheetData sheetId="3441">
        <row r="7">
          <cell r="AI7">
            <v>10000</v>
          </cell>
        </row>
      </sheetData>
      <sheetData sheetId="3442">
        <row r="7">
          <cell r="AI7">
            <v>10000</v>
          </cell>
        </row>
      </sheetData>
      <sheetData sheetId="3443">
        <row r="7">
          <cell r="AI7">
            <v>10000</v>
          </cell>
        </row>
      </sheetData>
      <sheetData sheetId="3444">
        <row r="7">
          <cell r="AI7">
            <v>10000</v>
          </cell>
        </row>
      </sheetData>
      <sheetData sheetId="3445">
        <row r="7">
          <cell r="AI7">
            <v>10000</v>
          </cell>
        </row>
      </sheetData>
      <sheetData sheetId="3446">
        <row r="7">
          <cell r="AI7">
            <v>10000</v>
          </cell>
        </row>
      </sheetData>
      <sheetData sheetId="3447">
        <row r="7">
          <cell r="AI7">
            <v>10000</v>
          </cell>
        </row>
      </sheetData>
      <sheetData sheetId="3448">
        <row r="7">
          <cell r="AI7">
            <v>10000</v>
          </cell>
        </row>
      </sheetData>
      <sheetData sheetId="3449">
        <row r="7">
          <cell r="AI7">
            <v>10000</v>
          </cell>
        </row>
      </sheetData>
      <sheetData sheetId="3450">
        <row r="7">
          <cell r="AI7">
            <v>10000</v>
          </cell>
        </row>
      </sheetData>
      <sheetData sheetId="3451">
        <row r="7">
          <cell r="AI7">
            <v>10000</v>
          </cell>
        </row>
      </sheetData>
      <sheetData sheetId="3452">
        <row r="7">
          <cell r="AI7">
            <v>10000</v>
          </cell>
        </row>
      </sheetData>
      <sheetData sheetId="3453">
        <row r="7">
          <cell r="AI7">
            <v>10000</v>
          </cell>
        </row>
      </sheetData>
      <sheetData sheetId="3454">
        <row r="7">
          <cell r="AI7">
            <v>10000</v>
          </cell>
        </row>
      </sheetData>
      <sheetData sheetId="3455">
        <row r="7">
          <cell r="AI7">
            <v>10000</v>
          </cell>
        </row>
      </sheetData>
      <sheetData sheetId="3456">
        <row r="7">
          <cell r="AI7">
            <v>10000</v>
          </cell>
        </row>
      </sheetData>
      <sheetData sheetId="3457">
        <row r="7">
          <cell r="AI7">
            <v>10000</v>
          </cell>
        </row>
      </sheetData>
      <sheetData sheetId="3458">
        <row r="7">
          <cell r="AI7">
            <v>10000</v>
          </cell>
        </row>
      </sheetData>
      <sheetData sheetId="3459">
        <row r="7">
          <cell r="AI7">
            <v>10000</v>
          </cell>
        </row>
      </sheetData>
      <sheetData sheetId="3460">
        <row r="7">
          <cell r="AI7">
            <v>10000</v>
          </cell>
        </row>
      </sheetData>
      <sheetData sheetId="3461">
        <row r="7">
          <cell r="AI7">
            <v>10000</v>
          </cell>
        </row>
      </sheetData>
      <sheetData sheetId="3462">
        <row r="7">
          <cell r="AI7">
            <v>10000</v>
          </cell>
        </row>
      </sheetData>
      <sheetData sheetId="3463">
        <row r="7">
          <cell r="AI7">
            <v>10000</v>
          </cell>
        </row>
      </sheetData>
      <sheetData sheetId="3464">
        <row r="7">
          <cell r="AI7">
            <v>10000</v>
          </cell>
        </row>
      </sheetData>
      <sheetData sheetId="3465">
        <row r="7">
          <cell r="AI7">
            <v>10000</v>
          </cell>
        </row>
      </sheetData>
      <sheetData sheetId="3466">
        <row r="7">
          <cell r="AI7">
            <v>10000</v>
          </cell>
        </row>
      </sheetData>
      <sheetData sheetId="3467">
        <row r="7">
          <cell r="AI7">
            <v>10000</v>
          </cell>
        </row>
      </sheetData>
      <sheetData sheetId="3468">
        <row r="7">
          <cell r="AI7">
            <v>10000</v>
          </cell>
        </row>
      </sheetData>
      <sheetData sheetId="3469">
        <row r="7">
          <cell r="AI7">
            <v>10000</v>
          </cell>
        </row>
      </sheetData>
      <sheetData sheetId="3470">
        <row r="7">
          <cell r="AI7">
            <v>10000</v>
          </cell>
        </row>
      </sheetData>
      <sheetData sheetId="3471">
        <row r="7">
          <cell r="AI7">
            <v>10000</v>
          </cell>
        </row>
      </sheetData>
      <sheetData sheetId="3472">
        <row r="7">
          <cell r="AI7">
            <v>10000</v>
          </cell>
        </row>
      </sheetData>
      <sheetData sheetId="3473">
        <row r="7">
          <cell r="AI7">
            <v>10000</v>
          </cell>
        </row>
      </sheetData>
      <sheetData sheetId="3474">
        <row r="7">
          <cell r="AI7">
            <v>10000</v>
          </cell>
        </row>
      </sheetData>
      <sheetData sheetId="3475">
        <row r="7">
          <cell r="AI7">
            <v>10000</v>
          </cell>
        </row>
      </sheetData>
      <sheetData sheetId="3476">
        <row r="7">
          <cell r="AI7">
            <v>10000</v>
          </cell>
        </row>
      </sheetData>
      <sheetData sheetId="3477">
        <row r="7">
          <cell r="AI7">
            <v>10000</v>
          </cell>
        </row>
      </sheetData>
      <sheetData sheetId="3478">
        <row r="7">
          <cell r="AI7">
            <v>10000</v>
          </cell>
        </row>
      </sheetData>
      <sheetData sheetId="3479">
        <row r="7">
          <cell r="AI7">
            <v>10000</v>
          </cell>
        </row>
      </sheetData>
      <sheetData sheetId="3480">
        <row r="7">
          <cell r="AI7">
            <v>10000</v>
          </cell>
        </row>
      </sheetData>
      <sheetData sheetId="3481">
        <row r="7">
          <cell r="AI7">
            <v>10000</v>
          </cell>
        </row>
      </sheetData>
      <sheetData sheetId="3482">
        <row r="7">
          <cell r="AI7">
            <v>10000</v>
          </cell>
        </row>
      </sheetData>
      <sheetData sheetId="3483">
        <row r="7">
          <cell r="AI7">
            <v>10000</v>
          </cell>
        </row>
      </sheetData>
      <sheetData sheetId="3484">
        <row r="7">
          <cell r="AI7">
            <v>10000</v>
          </cell>
        </row>
      </sheetData>
      <sheetData sheetId="3485">
        <row r="7">
          <cell r="AI7">
            <v>10000</v>
          </cell>
        </row>
      </sheetData>
      <sheetData sheetId="3486">
        <row r="7">
          <cell r="AI7">
            <v>10000</v>
          </cell>
        </row>
      </sheetData>
      <sheetData sheetId="3487">
        <row r="7">
          <cell r="AI7">
            <v>10000</v>
          </cell>
        </row>
      </sheetData>
      <sheetData sheetId="3488">
        <row r="7">
          <cell r="AI7">
            <v>10000</v>
          </cell>
        </row>
      </sheetData>
      <sheetData sheetId="3489">
        <row r="7">
          <cell r="AI7">
            <v>10000</v>
          </cell>
        </row>
      </sheetData>
      <sheetData sheetId="3490">
        <row r="7">
          <cell r="AI7">
            <v>10000</v>
          </cell>
        </row>
      </sheetData>
      <sheetData sheetId="3491">
        <row r="7">
          <cell r="AI7">
            <v>10000</v>
          </cell>
        </row>
      </sheetData>
      <sheetData sheetId="3492">
        <row r="7">
          <cell r="AI7">
            <v>10000</v>
          </cell>
        </row>
      </sheetData>
      <sheetData sheetId="3493">
        <row r="7">
          <cell r="AI7">
            <v>10000</v>
          </cell>
        </row>
      </sheetData>
      <sheetData sheetId="3494">
        <row r="7">
          <cell r="AI7">
            <v>10000</v>
          </cell>
        </row>
      </sheetData>
      <sheetData sheetId="3495">
        <row r="7">
          <cell r="AI7">
            <v>10000</v>
          </cell>
        </row>
      </sheetData>
      <sheetData sheetId="3496">
        <row r="7">
          <cell r="AI7">
            <v>10000</v>
          </cell>
        </row>
      </sheetData>
      <sheetData sheetId="3497">
        <row r="7">
          <cell r="AI7">
            <v>10000</v>
          </cell>
        </row>
      </sheetData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>
        <row r="7">
          <cell r="AI7">
            <v>10000</v>
          </cell>
        </row>
      </sheetData>
      <sheetData sheetId="3511">
        <row r="7">
          <cell r="AI7">
            <v>10000</v>
          </cell>
        </row>
      </sheetData>
      <sheetData sheetId="3512">
        <row r="7">
          <cell r="AI7">
            <v>10000</v>
          </cell>
        </row>
      </sheetData>
      <sheetData sheetId="3513" refreshError="1"/>
      <sheetData sheetId="3514">
        <row r="7">
          <cell r="AI7">
            <v>10000</v>
          </cell>
        </row>
      </sheetData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>
        <row r="7">
          <cell r="AI7">
            <v>10000</v>
          </cell>
        </row>
      </sheetData>
      <sheetData sheetId="3522">
        <row r="7">
          <cell r="AI7">
            <v>10000</v>
          </cell>
        </row>
      </sheetData>
      <sheetData sheetId="3523">
        <row r="7">
          <cell r="AI7">
            <v>10000</v>
          </cell>
        </row>
      </sheetData>
      <sheetData sheetId="3524">
        <row r="7">
          <cell r="AI7">
            <v>10000</v>
          </cell>
        </row>
      </sheetData>
      <sheetData sheetId="3525">
        <row r="7">
          <cell r="AI7">
            <v>10000</v>
          </cell>
        </row>
      </sheetData>
      <sheetData sheetId="3526">
        <row r="7">
          <cell r="AI7">
            <v>10000</v>
          </cell>
        </row>
      </sheetData>
      <sheetData sheetId="3527">
        <row r="7">
          <cell r="AI7">
            <v>10000</v>
          </cell>
        </row>
      </sheetData>
      <sheetData sheetId="3528">
        <row r="7">
          <cell r="AI7">
            <v>10000</v>
          </cell>
        </row>
      </sheetData>
      <sheetData sheetId="3529">
        <row r="7">
          <cell r="AI7">
            <v>10000</v>
          </cell>
        </row>
      </sheetData>
      <sheetData sheetId="3530">
        <row r="7">
          <cell r="AI7">
            <v>10000</v>
          </cell>
        </row>
      </sheetData>
      <sheetData sheetId="3531">
        <row r="7">
          <cell r="AI7">
            <v>10000</v>
          </cell>
        </row>
      </sheetData>
      <sheetData sheetId="3532">
        <row r="7">
          <cell r="AI7">
            <v>10000</v>
          </cell>
        </row>
      </sheetData>
      <sheetData sheetId="3533">
        <row r="7">
          <cell r="AI7">
            <v>10000</v>
          </cell>
        </row>
      </sheetData>
      <sheetData sheetId="3534">
        <row r="7">
          <cell r="AI7">
            <v>10000</v>
          </cell>
        </row>
      </sheetData>
      <sheetData sheetId="3535">
        <row r="7">
          <cell r="AI7">
            <v>10000</v>
          </cell>
        </row>
      </sheetData>
      <sheetData sheetId="3536">
        <row r="7">
          <cell r="AI7">
            <v>10000</v>
          </cell>
        </row>
      </sheetData>
      <sheetData sheetId="3537">
        <row r="7">
          <cell r="AI7">
            <v>10000</v>
          </cell>
        </row>
      </sheetData>
      <sheetData sheetId="3538">
        <row r="7">
          <cell r="AI7">
            <v>10000</v>
          </cell>
        </row>
      </sheetData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>
        <row r="7">
          <cell r="AI7">
            <v>10000</v>
          </cell>
        </row>
      </sheetData>
      <sheetData sheetId="3553">
        <row r="7">
          <cell r="AI7">
            <v>10000</v>
          </cell>
        </row>
      </sheetData>
      <sheetData sheetId="3554">
        <row r="7">
          <cell r="AI7">
            <v>10000</v>
          </cell>
        </row>
      </sheetData>
      <sheetData sheetId="3555">
        <row r="7">
          <cell r="AI7">
            <v>10000</v>
          </cell>
        </row>
      </sheetData>
      <sheetData sheetId="3556" refreshError="1"/>
      <sheetData sheetId="3557" refreshError="1"/>
      <sheetData sheetId="3558" refreshError="1"/>
      <sheetData sheetId="3559" refreshError="1"/>
      <sheetData sheetId="3560">
        <row r="7">
          <cell r="AI7">
            <v>10000</v>
          </cell>
        </row>
      </sheetData>
      <sheetData sheetId="3561">
        <row r="7">
          <cell r="AI7">
            <v>10000</v>
          </cell>
        </row>
      </sheetData>
      <sheetData sheetId="3562">
        <row r="7">
          <cell r="AI7">
            <v>10000</v>
          </cell>
        </row>
      </sheetData>
      <sheetData sheetId="3563">
        <row r="7">
          <cell r="AI7">
            <v>10000</v>
          </cell>
        </row>
      </sheetData>
      <sheetData sheetId="3564">
        <row r="7">
          <cell r="AI7">
            <v>10000</v>
          </cell>
        </row>
      </sheetData>
      <sheetData sheetId="3565">
        <row r="7">
          <cell r="AI7">
            <v>10000</v>
          </cell>
        </row>
      </sheetData>
      <sheetData sheetId="3566">
        <row r="7">
          <cell r="AI7">
            <v>10000</v>
          </cell>
        </row>
      </sheetData>
      <sheetData sheetId="3567">
        <row r="7">
          <cell r="AI7">
            <v>10000</v>
          </cell>
        </row>
      </sheetData>
      <sheetData sheetId="3568">
        <row r="7">
          <cell r="AI7">
            <v>10000</v>
          </cell>
        </row>
      </sheetData>
      <sheetData sheetId="3569">
        <row r="7">
          <cell r="AI7">
            <v>10000</v>
          </cell>
        </row>
      </sheetData>
      <sheetData sheetId="3570">
        <row r="7">
          <cell r="AI7">
            <v>10000</v>
          </cell>
        </row>
      </sheetData>
      <sheetData sheetId="3571" refreshError="1"/>
      <sheetData sheetId="3572" refreshError="1"/>
      <sheetData sheetId="3573" refreshError="1"/>
      <sheetData sheetId="3574">
        <row r="7">
          <cell r="AI7">
            <v>10000</v>
          </cell>
        </row>
      </sheetData>
      <sheetData sheetId="3575">
        <row r="7">
          <cell r="AI7">
            <v>10000</v>
          </cell>
        </row>
      </sheetData>
      <sheetData sheetId="3576">
        <row r="7">
          <cell r="AI7">
            <v>10000</v>
          </cell>
        </row>
      </sheetData>
      <sheetData sheetId="3577">
        <row r="7">
          <cell r="AI7">
            <v>10000</v>
          </cell>
        </row>
      </sheetData>
      <sheetData sheetId="3578">
        <row r="7">
          <cell r="AI7">
            <v>10000</v>
          </cell>
        </row>
      </sheetData>
      <sheetData sheetId="3579">
        <row r="7">
          <cell r="AI7">
            <v>10000</v>
          </cell>
        </row>
      </sheetData>
      <sheetData sheetId="3580">
        <row r="7">
          <cell r="AI7">
            <v>10000</v>
          </cell>
        </row>
      </sheetData>
      <sheetData sheetId="3581">
        <row r="7">
          <cell r="AI7">
            <v>10000</v>
          </cell>
        </row>
      </sheetData>
      <sheetData sheetId="3582">
        <row r="7">
          <cell r="AI7">
            <v>10000</v>
          </cell>
        </row>
      </sheetData>
      <sheetData sheetId="3583">
        <row r="7">
          <cell r="AI7">
            <v>10000</v>
          </cell>
        </row>
      </sheetData>
      <sheetData sheetId="3584">
        <row r="7">
          <cell r="AI7">
            <v>10000</v>
          </cell>
        </row>
      </sheetData>
      <sheetData sheetId="3585">
        <row r="7">
          <cell r="AI7">
            <v>10000</v>
          </cell>
        </row>
      </sheetData>
      <sheetData sheetId="3586">
        <row r="7">
          <cell r="AI7">
            <v>10000</v>
          </cell>
        </row>
      </sheetData>
      <sheetData sheetId="3587">
        <row r="7">
          <cell r="AI7">
            <v>10000</v>
          </cell>
        </row>
      </sheetData>
      <sheetData sheetId="3588">
        <row r="7">
          <cell r="AI7">
            <v>10000</v>
          </cell>
        </row>
      </sheetData>
      <sheetData sheetId="3589">
        <row r="7">
          <cell r="AI7">
            <v>10000</v>
          </cell>
        </row>
      </sheetData>
      <sheetData sheetId="3590">
        <row r="7">
          <cell r="AI7">
            <v>10000</v>
          </cell>
        </row>
      </sheetData>
      <sheetData sheetId="3591">
        <row r="7">
          <cell r="AI7">
            <v>10000</v>
          </cell>
        </row>
      </sheetData>
      <sheetData sheetId="3592">
        <row r="7">
          <cell r="AI7">
            <v>10000</v>
          </cell>
        </row>
      </sheetData>
      <sheetData sheetId="3593">
        <row r="7">
          <cell r="AI7">
            <v>10000</v>
          </cell>
        </row>
      </sheetData>
      <sheetData sheetId="3594">
        <row r="7">
          <cell r="AI7">
            <v>10000</v>
          </cell>
        </row>
      </sheetData>
      <sheetData sheetId="3595">
        <row r="7">
          <cell r="AI7">
            <v>10000</v>
          </cell>
        </row>
      </sheetData>
      <sheetData sheetId="3596">
        <row r="7">
          <cell r="AI7">
            <v>10000</v>
          </cell>
        </row>
      </sheetData>
      <sheetData sheetId="3597">
        <row r="7">
          <cell r="AI7">
            <v>10000</v>
          </cell>
        </row>
      </sheetData>
      <sheetData sheetId="3598">
        <row r="7">
          <cell r="AI7">
            <v>10000</v>
          </cell>
        </row>
      </sheetData>
      <sheetData sheetId="3599">
        <row r="7">
          <cell r="AI7">
            <v>10000</v>
          </cell>
        </row>
      </sheetData>
      <sheetData sheetId="3600">
        <row r="7">
          <cell r="AI7">
            <v>10000</v>
          </cell>
        </row>
      </sheetData>
      <sheetData sheetId="3601">
        <row r="7">
          <cell r="AI7">
            <v>10000</v>
          </cell>
        </row>
      </sheetData>
      <sheetData sheetId="3602">
        <row r="7">
          <cell r="AI7">
            <v>10000</v>
          </cell>
        </row>
      </sheetData>
      <sheetData sheetId="3603">
        <row r="7">
          <cell r="AI7">
            <v>10000</v>
          </cell>
        </row>
      </sheetData>
      <sheetData sheetId="3604">
        <row r="7">
          <cell r="AI7">
            <v>10000</v>
          </cell>
        </row>
      </sheetData>
      <sheetData sheetId="3605" refreshError="1"/>
      <sheetData sheetId="3606">
        <row r="7">
          <cell r="AI7">
            <v>10000</v>
          </cell>
        </row>
      </sheetData>
      <sheetData sheetId="3607">
        <row r="7">
          <cell r="AI7">
            <v>10000</v>
          </cell>
        </row>
      </sheetData>
      <sheetData sheetId="3608">
        <row r="7">
          <cell r="AI7">
            <v>10000</v>
          </cell>
        </row>
      </sheetData>
      <sheetData sheetId="3609">
        <row r="7">
          <cell r="AI7">
            <v>10000</v>
          </cell>
        </row>
      </sheetData>
      <sheetData sheetId="3610">
        <row r="7">
          <cell r="AI7">
            <v>10000</v>
          </cell>
        </row>
      </sheetData>
      <sheetData sheetId="3611">
        <row r="7">
          <cell r="AI7">
            <v>10000</v>
          </cell>
        </row>
      </sheetData>
      <sheetData sheetId="3612">
        <row r="7">
          <cell r="AI7">
            <v>10000</v>
          </cell>
        </row>
      </sheetData>
      <sheetData sheetId="3613">
        <row r="7">
          <cell r="AI7">
            <v>10000</v>
          </cell>
        </row>
      </sheetData>
      <sheetData sheetId="3614">
        <row r="7">
          <cell r="AI7">
            <v>10000</v>
          </cell>
        </row>
      </sheetData>
      <sheetData sheetId="3615">
        <row r="7">
          <cell r="AI7">
            <v>10000</v>
          </cell>
        </row>
      </sheetData>
      <sheetData sheetId="3616">
        <row r="7">
          <cell r="AI7">
            <v>10000</v>
          </cell>
        </row>
      </sheetData>
      <sheetData sheetId="3617">
        <row r="7">
          <cell r="AI7">
            <v>10000</v>
          </cell>
        </row>
      </sheetData>
      <sheetData sheetId="3618">
        <row r="7">
          <cell r="AI7">
            <v>10000</v>
          </cell>
        </row>
      </sheetData>
      <sheetData sheetId="3619">
        <row r="7">
          <cell r="AI7">
            <v>10000</v>
          </cell>
        </row>
      </sheetData>
      <sheetData sheetId="3620">
        <row r="7">
          <cell r="AI7">
            <v>10000</v>
          </cell>
        </row>
      </sheetData>
      <sheetData sheetId="3621">
        <row r="7">
          <cell r="AI7">
            <v>10000</v>
          </cell>
        </row>
      </sheetData>
      <sheetData sheetId="3622">
        <row r="7">
          <cell r="AI7">
            <v>10000</v>
          </cell>
        </row>
      </sheetData>
      <sheetData sheetId="3623">
        <row r="7">
          <cell r="AI7">
            <v>10000</v>
          </cell>
        </row>
      </sheetData>
      <sheetData sheetId="3624">
        <row r="7">
          <cell r="AI7">
            <v>10000</v>
          </cell>
        </row>
      </sheetData>
      <sheetData sheetId="3625">
        <row r="7">
          <cell r="AI7">
            <v>10000</v>
          </cell>
        </row>
      </sheetData>
      <sheetData sheetId="3626">
        <row r="7">
          <cell r="AI7">
            <v>10000</v>
          </cell>
        </row>
      </sheetData>
      <sheetData sheetId="3627">
        <row r="7">
          <cell r="AI7">
            <v>10000</v>
          </cell>
        </row>
      </sheetData>
      <sheetData sheetId="3628">
        <row r="7">
          <cell r="AI7">
            <v>10000</v>
          </cell>
        </row>
      </sheetData>
      <sheetData sheetId="3629">
        <row r="7">
          <cell r="AI7">
            <v>10000</v>
          </cell>
        </row>
      </sheetData>
      <sheetData sheetId="3630">
        <row r="7">
          <cell r="AI7">
            <v>10000</v>
          </cell>
        </row>
      </sheetData>
      <sheetData sheetId="3631">
        <row r="7">
          <cell r="AI7">
            <v>10000</v>
          </cell>
        </row>
      </sheetData>
      <sheetData sheetId="3632">
        <row r="7">
          <cell r="AI7">
            <v>10000</v>
          </cell>
        </row>
      </sheetData>
      <sheetData sheetId="3633">
        <row r="7">
          <cell r="AI7">
            <v>10000</v>
          </cell>
        </row>
      </sheetData>
      <sheetData sheetId="3634">
        <row r="7">
          <cell r="AI7">
            <v>10000</v>
          </cell>
        </row>
      </sheetData>
      <sheetData sheetId="3635">
        <row r="7">
          <cell r="AI7">
            <v>10000</v>
          </cell>
        </row>
      </sheetData>
      <sheetData sheetId="3636">
        <row r="7">
          <cell r="AI7">
            <v>10000</v>
          </cell>
        </row>
      </sheetData>
      <sheetData sheetId="3637">
        <row r="7">
          <cell r="AI7">
            <v>10000</v>
          </cell>
        </row>
      </sheetData>
      <sheetData sheetId="3638">
        <row r="7">
          <cell r="AI7">
            <v>10000</v>
          </cell>
        </row>
      </sheetData>
      <sheetData sheetId="3639">
        <row r="7">
          <cell r="AI7">
            <v>10000</v>
          </cell>
        </row>
      </sheetData>
      <sheetData sheetId="3640">
        <row r="7">
          <cell r="AI7">
            <v>10000</v>
          </cell>
        </row>
      </sheetData>
      <sheetData sheetId="3641">
        <row r="7">
          <cell r="AI7">
            <v>10000</v>
          </cell>
        </row>
      </sheetData>
      <sheetData sheetId="3642">
        <row r="7">
          <cell r="AI7">
            <v>10000</v>
          </cell>
        </row>
      </sheetData>
      <sheetData sheetId="3643">
        <row r="7">
          <cell r="AI7">
            <v>10000</v>
          </cell>
        </row>
      </sheetData>
      <sheetData sheetId="3644">
        <row r="7">
          <cell r="AI7">
            <v>10000</v>
          </cell>
        </row>
      </sheetData>
      <sheetData sheetId="3645">
        <row r="7">
          <cell r="AI7">
            <v>10000</v>
          </cell>
        </row>
      </sheetData>
      <sheetData sheetId="3646">
        <row r="7">
          <cell r="AI7">
            <v>10000</v>
          </cell>
        </row>
      </sheetData>
      <sheetData sheetId="3647">
        <row r="7">
          <cell r="AI7">
            <v>10000</v>
          </cell>
        </row>
      </sheetData>
      <sheetData sheetId="3648">
        <row r="7">
          <cell r="AI7">
            <v>10000</v>
          </cell>
        </row>
      </sheetData>
      <sheetData sheetId="3649">
        <row r="7">
          <cell r="AI7">
            <v>10000</v>
          </cell>
        </row>
      </sheetData>
      <sheetData sheetId="3650">
        <row r="7">
          <cell r="AI7">
            <v>10000</v>
          </cell>
        </row>
      </sheetData>
      <sheetData sheetId="3651">
        <row r="7">
          <cell r="AI7">
            <v>10000</v>
          </cell>
        </row>
      </sheetData>
      <sheetData sheetId="3652">
        <row r="7">
          <cell r="AI7">
            <v>10000</v>
          </cell>
        </row>
      </sheetData>
      <sheetData sheetId="3653" refreshError="1"/>
      <sheetData sheetId="3654">
        <row r="7">
          <cell r="AI7">
            <v>10000</v>
          </cell>
        </row>
      </sheetData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>
        <row r="7">
          <cell r="AI7">
            <v>10000</v>
          </cell>
        </row>
      </sheetData>
      <sheetData sheetId="3661">
        <row r="7">
          <cell r="AI7">
            <v>10000</v>
          </cell>
        </row>
      </sheetData>
      <sheetData sheetId="3662">
        <row r="7">
          <cell r="AI7">
            <v>10000</v>
          </cell>
        </row>
      </sheetData>
      <sheetData sheetId="3663" refreshError="1"/>
      <sheetData sheetId="3664">
        <row r="7">
          <cell r="AI7">
            <v>10000</v>
          </cell>
        </row>
      </sheetData>
      <sheetData sheetId="3665">
        <row r="7">
          <cell r="AI7">
            <v>10000</v>
          </cell>
        </row>
      </sheetData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>
        <row r="7">
          <cell r="AI7">
            <v>10000</v>
          </cell>
        </row>
      </sheetData>
      <sheetData sheetId="3679" refreshError="1"/>
      <sheetData sheetId="3680" refreshError="1"/>
      <sheetData sheetId="3681" refreshError="1"/>
      <sheetData sheetId="3682">
        <row r="7">
          <cell r="AI7">
            <v>10000</v>
          </cell>
        </row>
      </sheetData>
      <sheetData sheetId="3683">
        <row r="7">
          <cell r="AI7">
            <v>10000</v>
          </cell>
        </row>
      </sheetData>
      <sheetData sheetId="3684" refreshError="1"/>
      <sheetData sheetId="3685">
        <row r="7">
          <cell r="AI7">
            <v>10000</v>
          </cell>
        </row>
      </sheetData>
      <sheetData sheetId="3686">
        <row r="7">
          <cell r="AI7">
            <v>10000</v>
          </cell>
        </row>
      </sheetData>
      <sheetData sheetId="3687">
        <row r="7">
          <cell r="AI7">
            <v>10000</v>
          </cell>
        </row>
      </sheetData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>
        <row r="7">
          <cell r="AI7">
            <v>10000</v>
          </cell>
        </row>
      </sheetData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>
        <row r="7">
          <cell r="AI7">
            <v>10000</v>
          </cell>
        </row>
      </sheetData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7">
          <cell r="AI7">
            <v>10000</v>
          </cell>
        </row>
      </sheetData>
      <sheetData sheetId="3738">
        <row r="7">
          <cell r="AI7">
            <v>10000</v>
          </cell>
        </row>
      </sheetData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>
        <row r="7">
          <cell r="AI7">
            <v>10000</v>
          </cell>
        </row>
      </sheetData>
      <sheetData sheetId="3781">
        <row r="7">
          <cell r="AI7">
            <v>10000</v>
          </cell>
        </row>
      </sheetData>
      <sheetData sheetId="3782" refreshError="1"/>
      <sheetData sheetId="3783">
        <row r="7">
          <cell r="AI7">
            <v>10000</v>
          </cell>
        </row>
      </sheetData>
      <sheetData sheetId="3784">
        <row r="7">
          <cell r="AI7">
            <v>10000</v>
          </cell>
        </row>
      </sheetData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>
        <row r="7">
          <cell r="AI7">
            <v>10000</v>
          </cell>
        </row>
      </sheetData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>
        <row r="7">
          <cell r="AI7">
            <v>10000</v>
          </cell>
        </row>
      </sheetData>
      <sheetData sheetId="3838">
        <row r="7">
          <cell r="AI7">
            <v>10000</v>
          </cell>
        </row>
      </sheetData>
      <sheetData sheetId="3839">
        <row r="7">
          <cell r="AI7">
            <v>10000</v>
          </cell>
        </row>
      </sheetData>
      <sheetData sheetId="3840">
        <row r="7">
          <cell r="AI7">
            <v>10000</v>
          </cell>
        </row>
      </sheetData>
      <sheetData sheetId="3841">
        <row r="7">
          <cell r="AI7">
            <v>10000</v>
          </cell>
        </row>
      </sheetData>
      <sheetData sheetId="3842">
        <row r="7">
          <cell r="AI7">
            <v>10000</v>
          </cell>
        </row>
      </sheetData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>
        <row r="7">
          <cell r="AI7">
            <v>10000</v>
          </cell>
        </row>
      </sheetData>
      <sheetData sheetId="3851">
        <row r="7">
          <cell r="AI7">
            <v>10000</v>
          </cell>
        </row>
      </sheetData>
      <sheetData sheetId="3852">
        <row r="7">
          <cell r="AI7">
            <v>10000</v>
          </cell>
        </row>
      </sheetData>
      <sheetData sheetId="3853">
        <row r="7">
          <cell r="AI7">
            <v>10000</v>
          </cell>
        </row>
      </sheetData>
      <sheetData sheetId="3854">
        <row r="7">
          <cell r="AI7">
            <v>10000</v>
          </cell>
        </row>
      </sheetData>
      <sheetData sheetId="3855">
        <row r="7">
          <cell r="AI7">
            <v>10000</v>
          </cell>
        </row>
      </sheetData>
      <sheetData sheetId="3856">
        <row r="7">
          <cell r="AI7">
            <v>10000</v>
          </cell>
        </row>
      </sheetData>
      <sheetData sheetId="3857">
        <row r="7">
          <cell r="AI7">
            <v>10000</v>
          </cell>
        </row>
      </sheetData>
      <sheetData sheetId="3858">
        <row r="7">
          <cell r="AI7">
            <v>10000</v>
          </cell>
        </row>
      </sheetData>
      <sheetData sheetId="3859">
        <row r="7">
          <cell r="AI7">
            <v>10000</v>
          </cell>
        </row>
      </sheetData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>
        <row r="7">
          <cell r="AI7">
            <v>10000</v>
          </cell>
        </row>
      </sheetData>
      <sheetData sheetId="3880">
        <row r="7">
          <cell r="AI7">
            <v>10000</v>
          </cell>
        </row>
      </sheetData>
      <sheetData sheetId="3881">
        <row r="7">
          <cell r="AI7">
            <v>10000</v>
          </cell>
        </row>
      </sheetData>
      <sheetData sheetId="3882">
        <row r="7">
          <cell r="AI7">
            <v>10000</v>
          </cell>
        </row>
      </sheetData>
      <sheetData sheetId="3883">
        <row r="7">
          <cell r="AI7">
            <v>10000</v>
          </cell>
        </row>
      </sheetData>
      <sheetData sheetId="3884">
        <row r="7">
          <cell r="AI7">
            <v>10000</v>
          </cell>
        </row>
      </sheetData>
      <sheetData sheetId="3885">
        <row r="7">
          <cell r="AI7">
            <v>10000</v>
          </cell>
        </row>
      </sheetData>
      <sheetData sheetId="3886">
        <row r="7">
          <cell r="AI7">
            <v>10000</v>
          </cell>
        </row>
      </sheetData>
      <sheetData sheetId="3887">
        <row r="7">
          <cell r="AI7">
            <v>10000</v>
          </cell>
        </row>
      </sheetData>
      <sheetData sheetId="3888">
        <row r="7">
          <cell r="AI7">
            <v>10000</v>
          </cell>
        </row>
      </sheetData>
      <sheetData sheetId="3889">
        <row r="7">
          <cell r="AI7">
            <v>10000</v>
          </cell>
        </row>
      </sheetData>
      <sheetData sheetId="3890">
        <row r="7">
          <cell r="AI7">
            <v>10000</v>
          </cell>
        </row>
      </sheetData>
      <sheetData sheetId="3891">
        <row r="7">
          <cell r="AI7">
            <v>10000</v>
          </cell>
        </row>
      </sheetData>
      <sheetData sheetId="3892">
        <row r="7">
          <cell r="AI7">
            <v>10000</v>
          </cell>
        </row>
      </sheetData>
      <sheetData sheetId="3893">
        <row r="7">
          <cell r="AI7">
            <v>10000</v>
          </cell>
        </row>
      </sheetData>
      <sheetData sheetId="3894">
        <row r="7">
          <cell r="AI7">
            <v>10000</v>
          </cell>
        </row>
      </sheetData>
      <sheetData sheetId="3895">
        <row r="7">
          <cell r="AI7">
            <v>10000</v>
          </cell>
        </row>
      </sheetData>
      <sheetData sheetId="3896">
        <row r="7">
          <cell r="AI7">
            <v>10000</v>
          </cell>
        </row>
      </sheetData>
      <sheetData sheetId="3897">
        <row r="7">
          <cell r="AI7">
            <v>10000</v>
          </cell>
        </row>
      </sheetData>
      <sheetData sheetId="3898">
        <row r="7">
          <cell r="AI7">
            <v>10000</v>
          </cell>
        </row>
      </sheetData>
      <sheetData sheetId="3899">
        <row r="7">
          <cell r="AI7">
            <v>10000</v>
          </cell>
        </row>
      </sheetData>
      <sheetData sheetId="3900">
        <row r="7">
          <cell r="AI7">
            <v>10000</v>
          </cell>
        </row>
      </sheetData>
      <sheetData sheetId="3901">
        <row r="7">
          <cell r="AI7">
            <v>10000</v>
          </cell>
        </row>
      </sheetData>
      <sheetData sheetId="3902">
        <row r="7">
          <cell r="AI7">
            <v>10000</v>
          </cell>
        </row>
      </sheetData>
      <sheetData sheetId="3903">
        <row r="7">
          <cell r="AI7">
            <v>10000</v>
          </cell>
        </row>
      </sheetData>
      <sheetData sheetId="3904">
        <row r="7">
          <cell r="AI7">
            <v>10000</v>
          </cell>
        </row>
      </sheetData>
      <sheetData sheetId="3905">
        <row r="7">
          <cell r="AI7">
            <v>10000</v>
          </cell>
        </row>
      </sheetData>
      <sheetData sheetId="3906">
        <row r="7">
          <cell r="AI7">
            <v>10000</v>
          </cell>
        </row>
      </sheetData>
      <sheetData sheetId="3907">
        <row r="7">
          <cell r="AI7">
            <v>10000</v>
          </cell>
        </row>
      </sheetData>
      <sheetData sheetId="3908">
        <row r="7">
          <cell r="AI7">
            <v>10000</v>
          </cell>
        </row>
      </sheetData>
      <sheetData sheetId="3909">
        <row r="7">
          <cell r="AI7">
            <v>10000</v>
          </cell>
        </row>
      </sheetData>
      <sheetData sheetId="3910">
        <row r="7">
          <cell r="AI7">
            <v>10000</v>
          </cell>
        </row>
      </sheetData>
      <sheetData sheetId="3911">
        <row r="7">
          <cell r="AI7">
            <v>10000</v>
          </cell>
        </row>
      </sheetData>
      <sheetData sheetId="3912">
        <row r="7">
          <cell r="AI7">
            <v>10000</v>
          </cell>
        </row>
      </sheetData>
      <sheetData sheetId="3913">
        <row r="7">
          <cell r="AI7">
            <v>10000</v>
          </cell>
        </row>
      </sheetData>
      <sheetData sheetId="3914">
        <row r="7">
          <cell r="AI7">
            <v>10000</v>
          </cell>
        </row>
      </sheetData>
      <sheetData sheetId="3915">
        <row r="7">
          <cell r="AI7">
            <v>10000</v>
          </cell>
        </row>
      </sheetData>
      <sheetData sheetId="3916">
        <row r="7">
          <cell r="AI7">
            <v>10000</v>
          </cell>
        </row>
      </sheetData>
      <sheetData sheetId="3917">
        <row r="7">
          <cell r="AI7">
            <v>10000</v>
          </cell>
        </row>
      </sheetData>
      <sheetData sheetId="3918">
        <row r="7">
          <cell r="AI7">
            <v>10000</v>
          </cell>
        </row>
      </sheetData>
      <sheetData sheetId="3919">
        <row r="7">
          <cell r="AI7">
            <v>10000</v>
          </cell>
        </row>
      </sheetData>
      <sheetData sheetId="3920">
        <row r="7">
          <cell r="AI7">
            <v>10000</v>
          </cell>
        </row>
      </sheetData>
      <sheetData sheetId="3921">
        <row r="7">
          <cell r="AI7">
            <v>10000</v>
          </cell>
        </row>
      </sheetData>
      <sheetData sheetId="3922">
        <row r="7">
          <cell r="AI7">
            <v>10000</v>
          </cell>
        </row>
      </sheetData>
      <sheetData sheetId="3923">
        <row r="7">
          <cell r="AI7">
            <v>10000</v>
          </cell>
        </row>
      </sheetData>
      <sheetData sheetId="3924">
        <row r="7">
          <cell r="AI7">
            <v>10000</v>
          </cell>
        </row>
      </sheetData>
      <sheetData sheetId="3925">
        <row r="7">
          <cell r="AI7">
            <v>10000</v>
          </cell>
        </row>
      </sheetData>
      <sheetData sheetId="3926">
        <row r="7">
          <cell r="AI7">
            <v>10000</v>
          </cell>
        </row>
      </sheetData>
      <sheetData sheetId="3927">
        <row r="7">
          <cell r="AI7">
            <v>10000</v>
          </cell>
        </row>
      </sheetData>
      <sheetData sheetId="3928">
        <row r="7">
          <cell r="AI7">
            <v>10000</v>
          </cell>
        </row>
      </sheetData>
      <sheetData sheetId="3929">
        <row r="7">
          <cell r="AI7">
            <v>10000</v>
          </cell>
        </row>
      </sheetData>
      <sheetData sheetId="3930">
        <row r="7">
          <cell r="AI7">
            <v>10000</v>
          </cell>
        </row>
      </sheetData>
      <sheetData sheetId="3931">
        <row r="7">
          <cell r="AI7">
            <v>10000</v>
          </cell>
        </row>
      </sheetData>
      <sheetData sheetId="3932">
        <row r="7">
          <cell r="AI7">
            <v>10000</v>
          </cell>
        </row>
      </sheetData>
      <sheetData sheetId="3933">
        <row r="7">
          <cell r="AI7">
            <v>10000</v>
          </cell>
        </row>
      </sheetData>
      <sheetData sheetId="3934">
        <row r="7">
          <cell r="AI7">
            <v>10000</v>
          </cell>
        </row>
      </sheetData>
      <sheetData sheetId="3935">
        <row r="7">
          <cell r="AI7">
            <v>10000</v>
          </cell>
        </row>
      </sheetData>
      <sheetData sheetId="3936">
        <row r="7">
          <cell r="AI7">
            <v>10000</v>
          </cell>
        </row>
      </sheetData>
      <sheetData sheetId="3937">
        <row r="7">
          <cell r="AI7">
            <v>10000</v>
          </cell>
        </row>
      </sheetData>
      <sheetData sheetId="3938">
        <row r="7">
          <cell r="AI7">
            <v>10000</v>
          </cell>
        </row>
      </sheetData>
      <sheetData sheetId="3939">
        <row r="7">
          <cell r="AI7">
            <v>10000</v>
          </cell>
        </row>
      </sheetData>
      <sheetData sheetId="3940">
        <row r="7">
          <cell r="AI7">
            <v>10000</v>
          </cell>
        </row>
      </sheetData>
      <sheetData sheetId="3941">
        <row r="7">
          <cell r="AI7">
            <v>10000</v>
          </cell>
        </row>
      </sheetData>
      <sheetData sheetId="3942">
        <row r="7">
          <cell r="AI7">
            <v>10000</v>
          </cell>
        </row>
      </sheetData>
      <sheetData sheetId="3943">
        <row r="7">
          <cell r="AI7">
            <v>10000</v>
          </cell>
        </row>
      </sheetData>
      <sheetData sheetId="3944">
        <row r="7">
          <cell r="AI7">
            <v>10000</v>
          </cell>
        </row>
      </sheetData>
      <sheetData sheetId="3945">
        <row r="7">
          <cell r="AI7">
            <v>10000</v>
          </cell>
        </row>
      </sheetData>
      <sheetData sheetId="3946">
        <row r="7">
          <cell r="AI7">
            <v>10000</v>
          </cell>
        </row>
      </sheetData>
      <sheetData sheetId="3947">
        <row r="7">
          <cell r="AI7">
            <v>10000</v>
          </cell>
        </row>
      </sheetData>
      <sheetData sheetId="3948">
        <row r="7">
          <cell r="AI7">
            <v>10000</v>
          </cell>
        </row>
      </sheetData>
      <sheetData sheetId="3949">
        <row r="7">
          <cell r="AI7">
            <v>10000</v>
          </cell>
        </row>
      </sheetData>
      <sheetData sheetId="3950">
        <row r="7">
          <cell r="AI7">
            <v>10000</v>
          </cell>
        </row>
      </sheetData>
      <sheetData sheetId="3951">
        <row r="7">
          <cell r="AI7">
            <v>10000</v>
          </cell>
        </row>
      </sheetData>
      <sheetData sheetId="3952">
        <row r="7">
          <cell r="AI7">
            <v>10000</v>
          </cell>
        </row>
      </sheetData>
      <sheetData sheetId="3953">
        <row r="7">
          <cell r="AI7">
            <v>10000</v>
          </cell>
        </row>
      </sheetData>
      <sheetData sheetId="3954">
        <row r="7">
          <cell r="AI7">
            <v>10000</v>
          </cell>
        </row>
      </sheetData>
      <sheetData sheetId="3955">
        <row r="7">
          <cell r="AI7">
            <v>10000</v>
          </cell>
        </row>
      </sheetData>
      <sheetData sheetId="3956">
        <row r="7">
          <cell r="AI7">
            <v>10000</v>
          </cell>
        </row>
      </sheetData>
      <sheetData sheetId="3957">
        <row r="7">
          <cell r="AI7">
            <v>10000</v>
          </cell>
        </row>
      </sheetData>
      <sheetData sheetId="3958">
        <row r="7">
          <cell r="AI7">
            <v>10000</v>
          </cell>
        </row>
      </sheetData>
      <sheetData sheetId="3959">
        <row r="7">
          <cell r="AI7">
            <v>10000</v>
          </cell>
        </row>
      </sheetData>
      <sheetData sheetId="3960">
        <row r="7">
          <cell r="AI7">
            <v>10000</v>
          </cell>
        </row>
      </sheetData>
      <sheetData sheetId="3961">
        <row r="7">
          <cell r="AI7">
            <v>10000</v>
          </cell>
        </row>
      </sheetData>
      <sheetData sheetId="3962">
        <row r="7">
          <cell r="AI7">
            <v>10000</v>
          </cell>
        </row>
      </sheetData>
      <sheetData sheetId="3963">
        <row r="7">
          <cell r="AI7">
            <v>10000</v>
          </cell>
        </row>
      </sheetData>
      <sheetData sheetId="3964">
        <row r="7">
          <cell r="AI7">
            <v>10000</v>
          </cell>
        </row>
      </sheetData>
      <sheetData sheetId="3965">
        <row r="7">
          <cell r="AI7">
            <v>10000</v>
          </cell>
        </row>
      </sheetData>
      <sheetData sheetId="3966">
        <row r="7">
          <cell r="AI7">
            <v>10000</v>
          </cell>
        </row>
      </sheetData>
      <sheetData sheetId="3967">
        <row r="7">
          <cell r="AI7">
            <v>10000</v>
          </cell>
        </row>
      </sheetData>
      <sheetData sheetId="3968">
        <row r="7">
          <cell r="AI7">
            <v>10000</v>
          </cell>
        </row>
      </sheetData>
      <sheetData sheetId="3969">
        <row r="7">
          <cell r="AI7">
            <v>10000</v>
          </cell>
        </row>
      </sheetData>
      <sheetData sheetId="3970">
        <row r="7">
          <cell r="AI7">
            <v>10000</v>
          </cell>
        </row>
      </sheetData>
      <sheetData sheetId="3971">
        <row r="7">
          <cell r="AI7">
            <v>10000</v>
          </cell>
        </row>
      </sheetData>
      <sheetData sheetId="3972">
        <row r="7">
          <cell r="AI7">
            <v>10000</v>
          </cell>
        </row>
      </sheetData>
      <sheetData sheetId="3973">
        <row r="7">
          <cell r="AI7">
            <v>10000</v>
          </cell>
        </row>
      </sheetData>
      <sheetData sheetId="3974">
        <row r="7">
          <cell r="AI7">
            <v>10000</v>
          </cell>
        </row>
      </sheetData>
      <sheetData sheetId="3975">
        <row r="7">
          <cell r="AI7">
            <v>10000</v>
          </cell>
        </row>
      </sheetData>
      <sheetData sheetId="3976">
        <row r="7">
          <cell r="AI7">
            <v>10000</v>
          </cell>
        </row>
      </sheetData>
      <sheetData sheetId="3977">
        <row r="7">
          <cell r="AI7">
            <v>10000</v>
          </cell>
        </row>
      </sheetData>
      <sheetData sheetId="3978">
        <row r="7">
          <cell r="AI7">
            <v>10000</v>
          </cell>
        </row>
      </sheetData>
      <sheetData sheetId="3979">
        <row r="7">
          <cell r="AI7">
            <v>10000</v>
          </cell>
        </row>
      </sheetData>
      <sheetData sheetId="3980">
        <row r="7">
          <cell r="AI7">
            <v>10000</v>
          </cell>
        </row>
      </sheetData>
      <sheetData sheetId="3981">
        <row r="7">
          <cell r="AI7">
            <v>10000</v>
          </cell>
        </row>
      </sheetData>
      <sheetData sheetId="3982">
        <row r="7">
          <cell r="AI7">
            <v>10000</v>
          </cell>
        </row>
      </sheetData>
      <sheetData sheetId="3983">
        <row r="7">
          <cell r="AI7">
            <v>10000</v>
          </cell>
        </row>
      </sheetData>
      <sheetData sheetId="3984">
        <row r="7">
          <cell r="AI7">
            <v>10000</v>
          </cell>
        </row>
      </sheetData>
      <sheetData sheetId="3985">
        <row r="7">
          <cell r="AI7">
            <v>10000</v>
          </cell>
        </row>
      </sheetData>
      <sheetData sheetId="3986">
        <row r="7">
          <cell r="AI7">
            <v>10000</v>
          </cell>
        </row>
      </sheetData>
      <sheetData sheetId="3987">
        <row r="7">
          <cell r="AI7">
            <v>10000</v>
          </cell>
        </row>
      </sheetData>
      <sheetData sheetId="3988">
        <row r="7">
          <cell r="AI7">
            <v>10000</v>
          </cell>
        </row>
      </sheetData>
      <sheetData sheetId="3989">
        <row r="7">
          <cell r="AI7">
            <v>10000</v>
          </cell>
        </row>
      </sheetData>
      <sheetData sheetId="3990">
        <row r="7">
          <cell r="AI7">
            <v>10000</v>
          </cell>
        </row>
      </sheetData>
      <sheetData sheetId="3991">
        <row r="7">
          <cell r="AI7">
            <v>10000</v>
          </cell>
        </row>
      </sheetData>
      <sheetData sheetId="3992">
        <row r="7">
          <cell r="AI7">
            <v>10000</v>
          </cell>
        </row>
      </sheetData>
      <sheetData sheetId="3993">
        <row r="7">
          <cell r="AI7">
            <v>10000</v>
          </cell>
        </row>
      </sheetData>
      <sheetData sheetId="3994">
        <row r="7">
          <cell r="AI7">
            <v>10000</v>
          </cell>
        </row>
      </sheetData>
      <sheetData sheetId="3995">
        <row r="7">
          <cell r="AI7">
            <v>10000</v>
          </cell>
        </row>
      </sheetData>
      <sheetData sheetId="3996">
        <row r="7">
          <cell r="AI7">
            <v>10000</v>
          </cell>
        </row>
      </sheetData>
      <sheetData sheetId="3997">
        <row r="7">
          <cell r="AI7">
            <v>10000</v>
          </cell>
        </row>
      </sheetData>
      <sheetData sheetId="3998">
        <row r="7">
          <cell r="AI7">
            <v>10000</v>
          </cell>
        </row>
      </sheetData>
      <sheetData sheetId="3999">
        <row r="7">
          <cell r="AI7">
            <v>10000</v>
          </cell>
        </row>
      </sheetData>
      <sheetData sheetId="4000">
        <row r="7">
          <cell r="AI7">
            <v>10000</v>
          </cell>
        </row>
      </sheetData>
      <sheetData sheetId="4001">
        <row r="7">
          <cell r="AI7">
            <v>10000</v>
          </cell>
        </row>
      </sheetData>
      <sheetData sheetId="4002">
        <row r="7">
          <cell r="AI7">
            <v>10000</v>
          </cell>
        </row>
      </sheetData>
      <sheetData sheetId="4003">
        <row r="7">
          <cell r="AI7">
            <v>10000</v>
          </cell>
        </row>
      </sheetData>
      <sheetData sheetId="4004">
        <row r="7">
          <cell r="AI7">
            <v>10000</v>
          </cell>
        </row>
      </sheetData>
      <sheetData sheetId="4005">
        <row r="7">
          <cell r="AI7">
            <v>10000</v>
          </cell>
        </row>
      </sheetData>
      <sheetData sheetId="4006">
        <row r="7">
          <cell r="AI7">
            <v>10000</v>
          </cell>
        </row>
      </sheetData>
      <sheetData sheetId="4007">
        <row r="7">
          <cell r="AI7">
            <v>10000</v>
          </cell>
        </row>
      </sheetData>
      <sheetData sheetId="4008">
        <row r="7">
          <cell r="AI7">
            <v>10000</v>
          </cell>
        </row>
      </sheetData>
      <sheetData sheetId="4009">
        <row r="7">
          <cell r="AI7">
            <v>10000</v>
          </cell>
        </row>
      </sheetData>
      <sheetData sheetId="4010">
        <row r="7">
          <cell r="AI7">
            <v>10000</v>
          </cell>
        </row>
      </sheetData>
      <sheetData sheetId="4011">
        <row r="7">
          <cell r="AI7">
            <v>10000</v>
          </cell>
        </row>
      </sheetData>
      <sheetData sheetId="4012">
        <row r="7">
          <cell r="AI7">
            <v>10000</v>
          </cell>
        </row>
      </sheetData>
      <sheetData sheetId="4013">
        <row r="7">
          <cell r="AI7">
            <v>10000</v>
          </cell>
        </row>
      </sheetData>
      <sheetData sheetId="4014">
        <row r="7">
          <cell r="AI7">
            <v>10000</v>
          </cell>
        </row>
      </sheetData>
      <sheetData sheetId="4015">
        <row r="7">
          <cell r="AI7">
            <v>10000</v>
          </cell>
        </row>
      </sheetData>
      <sheetData sheetId="4016">
        <row r="7">
          <cell r="AI7">
            <v>10000</v>
          </cell>
        </row>
      </sheetData>
      <sheetData sheetId="4017">
        <row r="7">
          <cell r="AI7">
            <v>10000</v>
          </cell>
        </row>
      </sheetData>
      <sheetData sheetId="4018">
        <row r="7">
          <cell r="AI7">
            <v>10000</v>
          </cell>
        </row>
      </sheetData>
      <sheetData sheetId="4019">
        <row r="7">
          <cell r="AI7">
            <v>10000</v>
          </cell>
        </row>
      </sheetData>
      <sheetData sheetId="4020">
        <row r="7">
          <cell r="AI7">
            <v>10000</v>
          </cell>
        </row>
      </sheetData>
      <sheetData sheetId="4021">
        <row r="7">
          <cell r="AI7">
            <v>10000</v>
          </cell>
        </row>
      </sheetData>
      <sheetData sheetId="4022">
        <row r="7">
          <cell r="AI7">
            <v>10000</v>
          </cell>
        </row>
      </sheetData>
      <sheetData sheetId="4023">
        <row r="7">
          <cell r="AI7">
            <v>10000</v>
          </cell>
        </row>
      </sheetData>
      <sheetData sheetId="4024">
        <row r="7">
          <cell r="AI7">
            <v>10000</v>
          </cell>
        </row>
      </sheetData>
      <sheetData sheetId="4025">
        <row r="7">
          <cell r="AI7">
            <v>10000</v>
          </cell>
        </row>
      </sheetData>
      <sheetData sheetId="4026">
        <row r="7">
          <cell r="AI7">
            <v>10000</v>
          </cell>
        </row>
      </sheetData>
      <sheetData sheetId="4027">
        <row r="7">
          <cell r="AI7">
            <v>10000</v>
          </cell>
        </row>
      </sheetData>
      <sheetData sheetId="4028">
        <row r="7">
          <cell r="AI7">
            <v>10000</v>
          </cell>
        </row>
      </sheetData>
      <sheetData sheetId="4029">
        <row r="7">
          <cell r="AI7">
            <v>10000</v>
          </cell>
        </row>
      </sheetData>
      <sheetData sheetId="4030">
        <row r="7">
          <cell r="AI7">
            <v>10000</v>
          </cell>
        </row>
      </sheetData>
      <sheetData sheetId="4031">
        <row r="7">
          <cell r="AI7">
            <v>10000</v>
          </cell>
        </row>
      </sheetData>
      <sheetData sheetId="4032">
        <row r="7">
          <cell r="AI7">
            <v>10000</v>
          </cell>
        </row>
      </sheetData>
      <sheetData sheetId="4033">
        <row r="7">
          <cell r="AI7">
            <v>10000</v>
          </cell>
        </row>
      </sheetData>
      <sheetData sheetId="4034">
        <row r="7">
          <cell r="AI7">
            <v>10000</v>
          </cell>
        </row>
      </sheetData>
      <sheetData sheetId="4035">
        <row r="7">
          <cell r="AI7">
            <v>10000</v>
          </cell>
        </row>
      </sheetData>
      <sheetData sheetId="4036">
        <row r="7">
          <cell r="AI7">
            <v>10000</v>
          </cell>
        </row>
      </sheetData>
      <sheetData sheetId="4037">
        <row r="7">
          <cell r="AI7">
            <v>10000</v>
          </cell>
        </row>
      </sheetData>
      <sheetData sheetId="4038">
        <row r="7">
          <cell r="AI7">
            <v>10000</v>
          </cell>
        </row>
      </sheetData>
      <sheetData sheetId="4039">
        <row r="7">
          <cell r="AI7">
            <v>10000</v>
          </cell>
        </row>
      </sheetData>
      <sheetData sheetId="4040">
        <row r="7">
          <cell r="AI7">
            <v>10000</v>
          </cell>
        </row>
      </sheetData>
      <sheetData sheetId="4041">
        <row r="7">
          <cell r="AI7">
            <v>10000</v>
          </cell>
        </row>
      </sheetData>
      <sheetData sheetId="4042">
        <row r="7">
          <cell r="AI7">
            <v>10000</v>
          </cell>
        </row>
      </sheetData>
      <sheetData sheetId="4043">
        <row r="7">
          <cell r="AI7">
            <v>10000</v>
          </cell>
        </row>
      </sheetData>
      <sheetData sheetId="4044">
        <row r="7">
          <cell r="AI7">
            <v>10000</v>
          </cell>
        </row>
      </sheetData>
      <sheetData sheetId="4045">
        <row r="7">
          <cell r="AI7">
            <v>10000</v>
          </cell>
        </row>
      </sheetData>
      <sheetData sheetId="4046">
        <row r="7">
          <cell r="AI7">
            <v>10000</v>
          </cell>
        </row>
      </sheetData>
      <sheetData sheetId="4047">
        <row r="7">
          <cell r="AI7">
            <v>10000</v>
          </cell>
        </row>
      </sheetData>
      <sheetData sheetId="4048">
        <row r="7">
          <cell r="AI7">
            <v>10000</v>
          </cell>
        </row>
      </sheetData>
      <sheetData sheetId="4049">
        <row r="7">
          <cell r="AI7">
            <v>10000</v>
          </cell>
        </row>
      </sheetData>
      <sheetData sheetId="4050">
        <row r="7">
          <cell r="AI7">
            <v>10000</v>
          </cell>
        </row>
      </sheetData>
      <sheetData sheetId="4051">
        <row r="7">
          <cell r="AI7">
            <v>10000</v>
          </cell>
        </row>
      </sheetData>
      <sheetData sheetId="4052">
        <row r="7">
          <cell r="AI7">
            <v>10000</v>
          </cell>
        </row>
      </sheetData>
      <sheetData sheetId="4053">
        <row r="7">
          <cell r="AI7">
            <v>10000</v>
          </cell>
        </row>
      </sheetData>
      <sheetData sheetId="4054">
        <row r="7">
          <cell r="AI7">
            <v>10000</v>
          </cell>
        </row>
      </sheetData>
      <sheetData sheetId="4055">
        <row r="7">
          <cell r="AI7">
            <v>10000</v>
          </cell>
        </row>
      </sheetData>
      <sheetData sheetId="4056">
        <row r="7">
          <cell r="AI7">
            <v>10000</v>
          </cell>
        </row>
      </sheetData>
      <sheetData sheetId="4057">
        <row r="7">
          <cell r="AI7">
            <v>10000</v>
          </cell>
        </row>
      </sheetData>
      <sheetData sheetId="4058">
        <row r="7">
          <cell r="AI7">
            <v>10000</v>
          </cell>
        </row>
      </sheetData>
      <sheetData sheetId="4059">
        <row r="7">
          <cell r="AI7">
            <v>10000</v>
          </cell>
        </row>
      </sheetData>
      <sheetData sheetId="4060">
        <row r="7">
          <cell r="AI7">
            <v>10000</v>
          </cell>
        </row>
      </sheetData>
      <sheetData sheetId="4061">
        <row r="7">
          <cell r="AI7">
            <v>10000</v>
          </cell>
        </row>
      </sheetData>
      <sheetData sheetId="4062">
        <row r="7">
          <cell r="AI7">
            <v>10000</v>
          </cell>
        </row>
      </sheetData>
      <sheetData sheetId="4063">
        <row r="7">
          <cell r="AI7">
            <v>10000</v>
          </cell>
        </row>
      </sheetData>
      <sheetData sheetId="4064">
        <row r="7">
          <cell r="AI7">
            <v>10000</v>
          </cell>
        </row>
      </sheetData>
      <sheetData sheetId="4065">
        <row r="7">
          <cell r="AI7">
            <v>10000</v>
          </cell>
        </row>
      </sheetData>
      <sheetData sheetId="4066">
        <row r="7">
          <cell r="AI7">
            <v>10000</v>
          </cell>
        </row>
      </sheetData>
      <sheetData sheetId="4067">
        <row r="7">
          <cell r="AI7">
            <v>10000</v>
          </cell>
        </row>
      </sheetData>
      <sheetData sheetId="4068">
        <row r="7">
          <cell r="AI7">
            <v>10000</v>
          </cell>
        </row>
      </sheetData>
      <sheetData sheetId="4069">
        <row r="7">
          <cell r="AI7">
            <v>10000</v>
          </cell>
        </row>
      </sheetData>
      <sheetData sheetId="4070">
        <row r="7">
          <cell r="AI7">
            <v>10000</v>
          </cell>
        </row>
      </sheetData>
      <sheetData sheetId="4071">
        <row r="7">
          <cell r="AI7">
            <v>10000</v>
          </cell>
        </row>
      </sheetData>
      <sheetData sheetId="4072">
        <row r="7">
          <cell r="AI7">
            <v>10000</v>
          </cell>
        </row>
      </sheetData>
      <sheetData sheetId="4073">
        <row r="7">
          <cell r="AI7">
            <v>10000</v>
          </cell>
        </row>
      </sheetData>
      <sheetData sheetId="4074">
        <row r="7">
          <cell r="AI7">
            <v>10000</v>
          </cell>
        </row>
      </sheetData>
      <sheetData sheetId="4075">
        <row r="7">
          <cell r="AI7">
            <v>10000</v>
          </cell>
        </row>
      </sheetData>
      <sheetData sheetId="4076">
        <row r="7">
          <cell r="AI7">
            <v>10000</v>
          </cell>
        </row>
      </sheetData>
      <sheetData sheetId="4077">
        <row r="7">
          <cell r="AI7">
            <v>10000</v>
          </cell>
        </row>
      </sheetData>
      <sheetData sheetId="4078">
        <row r="7">
          <cell r="AI7">
            <v>10000</v>
          </cell>
        </row>
      </sheetData>
      <sheetData sheetId="4079">
        <row r="7">
          <cell r="AI7">
            <v>10000</v>
          </cell>
        </row>
      </sheetData>
      <sheetData sheetId="4080">
        <row r="7">
          <cell r="AI7">
            <v>10000</v>
          </cell>
        </row>
      </sheetData>
      <sheetData sheetId="4081">
        <row r="7">
          <cell r="AI7">
            <v>10000</v>
          </cell>
        </row>
      </sheetData>
      <sheetData sheetId="4082">
        <row r="7">
          <cell r="AI7">
            <v>10000</v>
          </cell>
        </row>
      </sheetData>
      <sheetData sheetId="4083">
        <row r="7">
          <cell r="AI7">
            <v>10000</v>
          </cell>
        </row>
      </sheetData>
      <sheetData sheetId="4084">
        <row r="7">
          <cell r="AI7">
            <v>10000</v>
          </cell>
        </row>
      </sheetData>
      <sheetData sheetId="4085">
        <row r="7">
          <cell r="AI7">
            <v>10000</v>
          </cell>
        </row>
      </sheetData>
      <sheetData sheetId="4086">
        <row r="7">
          <cell r="AI7">
            <v>10000</v>
          </cell>
        </row>
      </sheetData>
      <sheetData sheetId="4087">
        <row r="7">
          <cell r="AI7">
            <v>10000</v>
          </cell>
        </row>
      </sheetData>
      <sheetData sheetId="4088">
        <row r="7">
          <cell r="AI7">
            <v>10000</v>
          </cell>
        </row>
      </sheetData>
      <sheetData sheetId="4089">
        <row r="7">
          <cell r="AI7">
            <v>10000</v>
          </cell>
        </row>
      </sheetData>
      <sheetData sheetId="4090">
        <row r="7">
          <cell r="AI7">
            <v>10000</v>
          </cell>
        </row>
      </sheetData>
      <sheetData sheetId="4091">
        <row r="7">
          <cell r="AI7">
            <v>10000</v>
          </cell>
        </row>
      </sheetData>
      <sheetData sheetId="4092">
        <row r="7">
          <cell r="AI7">
            <v>10000</v>
          </cell>
        </row>
      </sheetData>
      <sheetData sheetId="4093">
        <row r="7">
          <cell r="AI7">
            <v>10000</v>
          </cell>
        </row>
      </sheetData>
      <sheetData sheetId="4094">
        <row r="7">
          <cell r="AI7">
            <v>10000</v>
          </cell>
        </row>
      </sheetData>
      <sheetData sheetId="4095">
        <row r="7">
          <cell r="AI7">
            <v>10000</v>
          </cell>
        </row>
      </sheetData>
      <sheetData sheetId="4096">
        <row r="7">
          <cell r="AI7">
            <v>10000</v>
          </cell>
        </row>
      </sheetData>
      <sheetData sheetId="4097">
        <row r="7">
          <cell r="AI7">
            <v>10000</v>
          </cell>
        </row>
      </sheetData>
      <sheetData sheetId="4098">
        <row r="7">
          <cell r="AI7">
            <v>10000</v>
          </cell>
        </row>
      </sheetData>
      <sheetData sheetId="4099">
        <row r="7">
          <cell r="AI7">
            <v>10000</v>
          </cell>
        </row>
      </sheetData>
      <sheetData sheetId="4100">
        <row r="7">
          <cell r="AI7">
            <v>10000</v>
          </cell>
        </row>
      </sheetData>
      <sheetData sheetId="4101">
        <row r="7">
          <cell r="AI7">
            <v>10000</v>
          </cell>
        </row>
      </sheetData>
      <sheetData sheetId="4102">
        <row r="7">
          <cell r="AI7">
            <v>10000</v>
          </cell>
        </row>
      </sheetData>
      <sheetData sheetId="4103">
        <row r="7">
          <cell r="AI7">
            <v>10000</v>
          </cell>
        </row>
      </sheetData>
      <sheetData sheetId="4104">
        <row r="7">
          <cell r="AI7">
            <v>10000</v>
          </cell>
        </row>
      </sheetData>
      <sheetData sheetId="4105">
        <row r="7">
          <cell r="AI7">
            <v>10000</v>
          </cell>
        </row>
      </sheetData>
      <sheetData sheetId="4106">
        <row r="7">
          <cell r="AI7">
            <v>10000</v>
          </cell>
        </row>
      </sheetData>
      <sheetData sheetId="4107">
        <row r="7">
          <cell r="AI7">
            <v>10000</v>
          </cell>
        </row>
      </sheetData>
      <sheetData sheetId="4108">
        <row r="7">
          <cell r="AI7">
            <v>10000</v>
          </cell>
        </row>
      </sheetData>
      <sheetData sheetId="4109">
        <row r="7">
          <cell r="AI7">
            <v>10000</v>
          </cell>
        </row>
      </sheetData>
      <sheetData sheetId="4110">
        <row r="7">
          <cell r="AI7">
            <v>10000</v>
          </cell>
        </row>
      </sheetData>
      <sheetData sheetId="4111">
        <row r="7">
          <cell r="AI7">
            <v>10000</v>
          </cell>
        </row>
      </sheetData>
      <sheetData sheetId="4112">
        <row r="7">
          <cell r="AI7">
            <v>10000</v>
          </cell>
        </row>
      </sheetData>
      <sheetData sheetId="4113">
        <row r="7">
          <cell r="AI7">
            <v>10000</v>
          </cell>
        </row>
      </sheetData>
      <sheetData sheetId="4114">
        <row r="7">
          <cell r="AI7">
            <v>10000</v>
          </cell>
        </row>
      </sheetData>
      <sheetData sheetId="4115">
        <row r="7">
          <cell r="AI7">
            <v>10000</v>
          </cell>
        </row>
      </sheetData>
      <sheetData sheetId="4116">
        <row r="7">
          <cell r="AI7">
            <v>10000</v>
          </cell>
        </row>
      </sheetData>
      <sheetData sheetId="4117">
        <row r="7">
          <cell r="AI7">
            <v>10000</v>
          </cell>
        </row>
      </sheetData>
      <sheetData sheetId="4118">
        <row r="7">
          <cell r="AI7">
            <v>10000</v>
          </cell>
        </row>
      </sheetData>
      <sheetData sheetId="4119">
        <row r="7">
          <cell r="AI7">
            <v>10000</v>
          </cell>
        </row>
      </sheetData>
      <sheetData sheetId="4120">
        <row r="7">
          <cell r="AI7">
            <v>10000</v>
          </cell>
        </row>
      </sheetData>
      <sheetData sheetId="4121">
        <row r="7">
          <cell r="AI7">
            <v>10000</v>
          </cell>
        </row>
      </sheetData>
      <sheetData sheetId="4122">
        <row r="7">
          <cell r="AI7">
            <v>10000</v>
          </cell>
        </row>
      </sheetData>
      <sheetData sheetId="4123">
        <row r="7">
          <cell r="AI7">
            <v>10000</v>
          </cell>
        </row>
      </sheetData>
      <sheetData sheetId="4124">
        <row r="7">
          <cell r="AI7">
            <v>10000</v>
          </cell>
        </row>
      </sheetData>
      <sheetData sheetId="4125">
        <row r="7">
          <cell r="AI7">
            <v>10000</v>
          </cell>
        </row>
      </sheetData>
      <sheetData sheetId="4126">
        <row r="7">
          <cell r="AI7">
            <v>10000</v>
          </cell>
        </row>
      </sheetData>
      <sheetData sheetId="4127">
        <row r="7">
          <cell r="AI7">
            <v>10000</v>
          </cell>
        </row>
      </sheetData>
      <sheetData sheetId="4128">
        <row r="7">
          <cell r="AI7">
            <v>10000</v>
          </cell>
        </row>
      </sheetData>
      <sheetData sheetId="4129">
        <row r="7">
          <cell r="AI7">
            <v>10000</v>
          </cell>
        </row>
      </sheetData>
      <sheetData sheetId="4130">
        <row r="7">
          <cell r="AI7">
            <v>10000</v>
          </cell>
        </row>
      </sheetData>
      <sheetData sheetId="4131">
        <row r="7">
          <cell r="AI7">
            <v>10000</v>
          </cell>
        </row>
      </sheetData>
      <sheetData sheetId="4132">
        <row r="7">
          <cell r="AI7">
            <v>10000</v>
          </cell>
        </row>
      </sheetData>
      <sheetData sheetId="4133">
        <row r="7">
          <cell r="AI7">
            <v>10000</v>
          </cell>
        </row>
      </sheetData>
      <sheetData sheetId="4134">
        <row r="7">
          <cell r="AI7">
            <v>10000</v>
          </cell>
        </row>
      </sheetData>
      <sheetData sheetId="4135">
        <row r="7">
          <cell r="AI7">
            <v>10000</v>
          </cell>
        </row>
      </sheetData>
      <sheetData sheetId="4136">
        <row r="7">
          <cell r="AI7">
            <v>10000</v>
          </cell>
        </row>
      </sheetData>
      <sheetData sheetId="4137">
        <row r="7">
          <cell r="AI7">
            <v>10000</v>
          </cell>
        </row>
      </sheetData>
      <sheetData sheetId="4138">
        <row r="7">
          <cell r="AI7">
            <v>10000</v>
          </cell>
        </row>
      </sheetData>
      <sheetData sheetId="4139">
        <row r="7">
          <cell r="AI7">
            <v>10000</v>
          </cell>
        </row>
      </sheetData>
      <sheetData sheetId="4140">
        <row r="7">
          <cell r="AI7">
            <v>10000</v>
          </cell>
        </row>
      </sheetData>
      <sheetData sheetId="4141">
        <row r="7">
          <cell r="AI7">
            <v>10000</v>
          </cell>
        </row>
      </sheetData>
      <sheetData sheetId="4142">
        <row r="7">
          <cell r="AI7">
            <v>10000</v>
          </cell>
        </row>
      </sheetData>
      <sheetData sheetId="4143">
        <row r="7">
          <cell r="AI7">
            <v>10000</v>
          </cell>
        </row>
      </sheetData>
      <sheetData sheetId="4144">
        <row r="7">
          <cell r="AI7">
            <v>10000</v>
          </cell>
        </row>
      </sheetData>
      <sheetData sheetId="4145">
        <row r="7">
          <cell r="AI7">
            <v>10000</v>
          </cell>
        </row>
      </sheetData>
      <sheetData sheetId="4146">
        <row r="7">
          <cell r="AI7">
            <v>10000</v>
          </cell>
        </row>
      </sheetData>
      <sheetData sheetId="4147">
        <row r="7">
          <cell r="AI7">
            <v>10000</v>
          </cell>
        </row>
      </sheetData>
      <sheetData sheetId="4148">
        <row r="7">
          <cell r="AI7">
            <v>10000</v>
          </cell>
        </row>
      </sheetData>
      <sheetData sheetId="4149">
        <row r="7">
          <cell r="AI7">
            <v>10000</v>
          </cell>
        </row>
      </sheetData>
      <sheetData sheetId="4150">
        <row r="7">
          <cell r="AI7">
            <v>10000</v>
          </cell>
        </row>
      </sheetData>
      <sheetData sheetId="4151">
        <row r="7">
          <cell r="AI7">
            <v>10000</v>
          </cell>
        </row>
      </sheetData>
      <sheetData sheetId="4152">
        <row r="7">
          <cell r="AI7">
            <v>10000</v>
          </cell>
        </row>
      </sheetData>
      <sheetData sheetId="4153">
        <row r="7">
          <cell r="AI7">
            <v>10000</v>
          </cell>
        </row>
      </sheetData>
      <sheetData sheetId="4154">
        <row r="7">
          <cell r="AI7">
            <v>10000</v>
          </cell>
        </row>
      </sheetData>
      <sheetData sheetId="4155">
        <row r="7">
          <cell r="AI7">
            <v>10000</v>
          </cell>
        </row>
      </sheetData>
      <sheetData sheetId="4156">
        <row r="7">
          <cell r="AI7">
            <v>10000</v>
          </cell>
        </row>
      </sheetData>
      <sheetData sheetId="4157">
        <row r="7">
          <cell r="AI7">
            <v>10000</v>
          </cell>
        </row>
      </sheetData>
      <sheetData sheetId="4158">
        <row r="7">
          <cell r="AI7">
            <v>10000</v>
          </cell>
        </row>
      </sheetData>
      <sheetData sheetId="4159">
        <row r="7">
          <cell r="AI7">
            <v>10000</v>
          </cell>
        </row>
      </sheetData>
      <sheetData sheetId="4160">
        <row r="7">
          <cell r="AI7">
            <v>10000</v>
          </cell>
        </row>
      </sheetData>
      <sheetData sheetId="4161">
        <row r="7">
          <cell r="AI7">
            <v>10000</v>
          </cell>
        </row>
      </sheetData>
      <sheetData sheetId="4162">
        <row r="7">
          <cell r="AI7">
            <v>10000</v>
          </cell>
        </row>
      </sheetData>
      <sheetData sheetId="4163">
        <row r="7">
          <cell r="AI7">
            <v>10000</v>
          </cell>
        </row>
      </sheetData>
      <sheetData sheetId="4164">
        <row r="7">
          <cell r="AI7">
            <v>10000</v>
          </cell>
        </row>
      </sheetData>
      <sheetData sheetId="4165">
        <row r="7">
          <cell r="AI7">
            <v>10000</v>
          </cell>
        </row>
      </sheetData>
      <sheetData sheetId="4166">
        <row r="7">
          <cell r="AI7">
            <v>10000</v>
          </cell>
        </row>
      </sheetData>
      <sheetData sheetId="4167">
        <row r="7">
          <cell r="AI7">
            <v>10000</v>
          </cell>
        </row>
      </sheetData>
      <sheetData sheetId="4168">
        <row r="7">
          <cell r="AI7">
            <v>10000</v>
          </cell>
        </row>
      </sheetData>
      <sheetData sheetId="4169">
        <row r="7">
          <cell r="AI7">
            <v>10000</v>
          </cell>
        </row>
      </sheetData>
      <sheetData sheetId="4170">
        <row r="7">
          <cell r="AI7">
            <v>10000</v>
          </cell>
        </row>
      </sheetData>
      <sheetData sheetId="4171">
        <row r="7">
          <cell r="AI7">
            <v>10000</v>
          </cell>
        </row>
      </sheetData>
      <sheetData sheetId="4172">
        <row r="7">
          <cell r="AI7">
            <v>10000</v>
          </cell>
        </row>
      </sheetData>
      <sheetData sheetId="4173">
        <row r="7">
          <cell r="AI7">
            <v>10000</v>
          </cell>
        </row>
      </sheetData>
      <sheetData sheetId="4174">
        <row r="7">
          <cell r="AI7">
            <v>10000</v>
          </cell>
        </row>
      </sheetData>
      <sheetData sheetId="4175">
        <row r="7">
          <cell r="AI7">
            <v>10000</v>
          </cell>
        </row>
      </sheetData>
      <sheetData sheetId="4176">
        <row r="7">
          <cell r="AI7">
            <v>10000</v>
          </cell>
        </row>
      </sheetData>
      <sheetData sheetId="4177">
        <row r="7">
          <cell r="AI7">
            <v>10000</v>
          </cell>
        </row>
      </sheetData>
      <sheetData sheetId="4178">
        <row r="7">
          <cell r="AI7">
            <v>10000</v>
          </cell>
        </row>
      </sheetData>
      <sheetData sheetId="4179">
        <row r="7">
          <cell r="AI7">
            <v>10000</v>
          </cell>
        </row>
      </sheetData>
      <sheetData sheetId="4180">
        <row r="7">
          <cell r="AI7">
            <v>10000</v>
          </cell>
        </row>
      </sheetData>
      <sheetData sheetId="4181">
        <row r="7">
          <cell r="AI7">
            <v>10000</v>
          </cell>
        </row>
      </sheetData>
      <sheetData sheetId="4182">
        <row r="7">
          <cell r="AI7">
            <v>10000</v>
          </cell>
        </row>
      </sheetData>
      <sheetData sheetId="4183">
        <row r="7">
          <cell r="AI7">
            <v>10000</v>
          </cell>
        </row>
      </sheetData>
      <sheetData sheetId="4184">
        <row r="7">
          <cell r="AI7">
            <v>10000</v>
          </cell>
        </row>
      </sheetData>
      <sheetData sheetId="4185">
        <row r="7">
          <cell r="AI7">
            <v>10000</v>
          </cell>
        </row>
      </sheetData>
      <sheetData sheetId="4186">
        <row r="7">
          <cell r="AI7">
            <v>10000</v>
          </cell>
        </row>
      </sheetData>
      <sheetData sheetId="4187">
        <row r="7">
          <cell r="AI7">
            <v>10000</v>
          </cell>
        </row>
      </sheetData>
      <sheetData sheetId="4188">
        <row r="7">
          <cell r="AI7">
            <v>10000</v>
          </cell>
        </row>
      </sheetData>
      <sheetData sheetId="4189">
        <row r="7">
          <cell r="AI7">
            <v>10000</v>
          </cell>
        </row>
      </sheetData>
      <sheetData sheetId="4190">
        <row r="7">
          <cell r="AI7">
            <v>10000</v>
          </cell>
        </row>
      </sheetData>
      <sheetData sheetId="4191">
        <row r="7">
          <cell r="AI7">
            <v>10000</v>
          </cell>
        </row>
      </sheetData>
      <sheetData sheetId="4192">
        <row r="7">
          <cell r="AI7">
            <v>10000</v>
          </cell>
        </row>
      </sheetData>
      <sheetData sheetId="4193">
        <row r="7">
          <cell r="AI7">
            <v>10000</v>
          </cell>
        </row>
      </sheetData>
      <sheetData sheetId="4194">
        <row r="7">
          <cell r="AI7">
            <v>10000</v>
          </cell>
        </row>
      </sheetData>
      <sheetData sheetId="4195">
        <row r="7">
          <cell r="AI7">
            <v>10000</v>
          </cell>
        </row>
      </sheetData>
      <sheetData sheetId="4196">
        <row r="7">
          <cell r="AI7">
            <v>10000</v>
          </cell>
        </row>
      </sheetData>
      <sheetData sheetId="4197">
        <row r="7">
          <cell r="AI7">
            <v>10000</v>
          </cell>
        </row>
      </sheetData>
      <sheetData sheetId="4198">
        <row r="7">
          <cell r="AI7">
            <v>10000</v>
          </cell>
        </row>
      </sheetData>
      <sheetData sheetId="4199">
        <row r="7">
          <cell r="AI7">
            <v>10000</v>
          </cell>
        </row>
      </sheetData>
      <sheetData sheetId="4200">
        <row r="7">
          <cell r="AI7">
            <v>10000</v>
          </cell>
        </row>
      </sheetData>
      <sheetData sheetId="4201">
        <row r="7">
          <cell r="AI7">
            <v>10000</v>
          </cell>
        </row>
      </sheetData>
      <sheetData sheetId="4202">
        <row r="7">
          <cell r="AI7">
            <v>10000</v>
          </cell>
        </row>
      </sheetData>
      <sheetData sheetId="4203">
        <row r="7">
          <cell r="AI7">
            <v>10000</v>
          </cell>
        </row>
      </sheetData>
      <sheetData sheetId="4204">
        <row r="7">
          <cell r="AI7">
            <v>10000</v>
          </cell>
        </row>
      </sheetData>
      <sheetData sheetId="4205">
        <row r="7">
          <cell r="AI7">
            <v>10000</v>
          </cell>
        </row>
      </sheetData>
      <sheetData sheetId="4206">
        <row r="7">
          <cell r="AI7">
            <v>10000</v>
          </cell>
        </row>
      </sheetData>
      <sheetData sheetId="4207">
        <row r="7">
          <cell r="AI7">
            <v>10000</v>
          </cell>
        </row>
      </sheetData>
      <sheetData sheetId="4208">
        <row r="7">
          <cell r="AI7">
            <v>10000</v>
          </cell>
        </row>
      </sheetData>
      <sheetData sheetId="4209">
        <row r="7">
          <cell r="AI7">
            <v>10000</v>
          </cell>
        </row>
      </sheetData>
      <sheetData sheetId="4210">
        <row r="7">
          <cell r="AI7">
            <v>10000</v>
          </cell>
        </row>
      </sheetData>
      <sheetData sheetId="4211">
        <row r="7">
          <cell r="AI7">
            <v>10000</v>
          </cell>
        </row>
      </sheetData>
      <sheetData sheetId="4212">
        <row r="7">
          <cell r="AI7">
            <v>10000</v>
          </cell>
        </row>
      </sheetData>
      <sheetData sheetId="4213">
        <row r="7">
          <cell r="AI7">
            <v>10000</v>
          </cell>
        </row>
      </sheetData>
      <sheetData sheetId="4214">
        <row r="7">
          <cell r="AI7">
            <v>10000</v>
          </cell>
        </row>
      </sheetData>
      <sheetData sheetId="4215">
        <row r="7">
          <cell r="AI7">
            <v>10000</v>
          </cell>
        </row>
      </sheetData>
      <sheetData sheetId="4216">
        <row r="7">
          <cell r="AI7">
            <v>10000</v>
          </cell>
        </row>
      </sheetData>
      <sheetData sheetId="4217">
        <row r="7">
          <cell r="AI7">
            <v>10000</v>
          </cell>
        </row>
      </sheetData>
      <sheetData sheetId="4218">
        <row r="7">
          <cell r="AI7">
            <v>10000</v>
          </cell>
        </row>
      </sheetData>
      <sheetData sheetId="4219">
        <row r="7">
          <cell r="AI7">
            <v>10000</v>
          </cell>
        </row>
      </sheetData>
      <sheetData sheetId="4220">
        <row r="7">
          <cell r="AI7">
            <v>10000</v>
          </cell>
        </row>
      </sheetData>
      <sheetData sheetId="4221">
        <row r="7">
          <cell r="AI7">
            <v>10000</v>
          </cell>
        </row>
      </sheetData>
      <sheetData sheetId="4222">
        <row r="7">
          <cell r="AI7">
            <v>10000</v>
          </cell>
        </row>
      </sheetData>
      <sheetData sheetId="4223">
        <row r="7">
          <cell r="AI7">
            <v>10000</v>
          </cell>
        </row>
      </sheetData>
      <sheetData sheetId="4224">
        <row r="7">
          <cell r="AI7">
            <v>10000</v>
          </cell>
        </row>
      </sheetData>
      <sheetData sheetId="4225">
        <row r="7">
          <cell r="AI7">
            <v>10000</v>
          </cell>
        </row>
      </sheetData>
      <sheetData sheetId="4226">
        <row r="7">
          <cell r="AI7">
            <v>10000</v>
          </cell>
        </row>
      </sheetData>
      <sheetData sheetId="4227">
        <row r="7">
          <cell r="AI7">
            <v>10000</v>
          </cell>
        </row>
      </sheetData>
      <sheetData sheetId="4228">
        <row r="7">
          <cell r="AI7">
            <v>10000</v>
          </cell>
        </row>
      </sheetData>
      <sheetData sheetId="4229">
        <row r="7">
          <cell r="AI7">
            <v>10000</v>
          </cell>
        </row>
      </sheetData>
      <sheetData sheetId="4230">
        <row r="7">
          <cell r="AI7">
            <v>10000</v>
          </cell>
        </row>
      </sheetData>
      <sheetData sheetId="4231">
        <row r="7">
          <cell r="AI7">
            <v>10000</v>
          </cell>
        </row>
      </sheetData>
      <sheetData sheetId="4232">
        <row r="7">
          <cell r="AI7">
            <v>10000</v>
          </cell>
        </row>
      </sheetData>
      <sheetData sheetId="4233">
        <row r="7">
          <cell r="AI7">
            <v>10000</v>
          </cell>
        </row>
      </sheetData>
      <sheetData sheetId="4234">
        <row r="7">
          <cell r="AI7">
            <v>10000</v>
          </cell>
        </row>
      </sheetData>
      <sheetData sheetId="4235">
        <row r="7">
          <cell r="AI7">
            <v>10000</v>
          </cell>
        </row>
      </sheetData>
      <sheetData sheetId="4236">
        <row r="7">
          <cell r="AI7">
            <v>10000</v>
          </cell>
        </row>
      </sheetData>
      <sheetData sheetId="4237">
        <row r="7">
          <cell r="AI7">
            <v>10000</v>
          </cell>
        </row>
      </sheetData>
      <sheetData sheetId="4238">
        <row r="7">
          <cell r="AI7">
            <v>10000</v>
          </cell>
        </row>
      </sheetData>
      <sheetData sheetId="4239">
        <row r="7">
          <cell r="AI7">
            <v>10000</v>
          </cell>
        </row>
      </sheetData>
      <sheetData sheetId="4240">
        <row r="7">
          <cell r="AI7">
            <v>10000</v>
          </cell>
        </row>
      </sheetData>
      <sheetData sheetId="4241">
        <row r="7">
          <cell r="AI7">
            <v>10000</v>
          </cell>
        </row>
      </sheetData>
      <sheetData sheetId="4242">
        <row r="7">
          <cell r="AI7">
            <v>10000</v>
          </cell>
        </row>
      </sheetData>
      <sheetData sheetId="4243">
        <row r="7">
          <cell r="AI7">
            <v>10000</v>
          </cell>
        </row>
      </sheetData>
      <sheetData sheetId="4244">
        <row r="7">
          <cell r="AI7">
            <v>10000</v>
          </cell>
        </row>
      </sheetData>
      <sheetData sheetId="4245">
        <row r="7">
          <cell r="AI7">
            <v>10000</v>
          </cell>
        </row>
      </sheetData>
      <sheetData sheetId="4246">
        <row r="7">
          <cell r="AI7">
            <v>10000</v>
          </cell>
        </row>
      </sheetData>
      <sheetData sheetId="4247">
        <row r="7">
          <cell r="AI7">
            <v>10000</v>
          </cell>
        </row>
      </sheetData>
      <sheetData sheetId="4248">
        <row r="7">
          <cell r="AI7">
            <v>10000</v>
          </cell>
        </row>
      </sheetData>
      <sheetData sheetId="4249">
        <row r="7">
          <cell r="AI7">
            <v>10000</v>
          </cell>
        </row>
      </sheetData>
      <sheetData sheetId="4250">
        <row r="7">
          <cell r="AI7">
            <v>10000</v>
          </cell>
        </row>
      </sheetData>
      <sheetData sheetId="4251">
        <row r="7">
          <cell r="AI7">
            <v>10000</v>
          </cell>
        </row>
      </sheetData>
      <sheetData sheetId="4252">
        <row r="7">
          <cell r="AI7">
            <v>10000</v>
          </cell>
        </row>
      </sheetData>
      <sheetData sheetId="4253">
        <row r="7">
          <cell r="AI7">
            <v>10000</v>
          </cell>
        </row>
      </sheetData>
      <sheetData sheetId="4254">
        <row r="7">
          <cell r="AI7">
            <v>10000</v>
          </cell>
        </row>
      </sheetData>
      <sheetData sheetId="4255">
        <row r="7">
          <cell r="AI7">
            <v>10000</v>
          </cell>
        </row>
      </sheetData>
      <sheetData sheetId="4256">
        <row r="7">
          <cell r="AI7">
            <v>10000</v>
          </cell>
        </row>
      </sheetData>
      <sheetData sheetId="4257">
        <row r="7">
          <cell r="AI7">
            <v>10000</v>
          </cell>
        </row>
      </sheetData>
      <sheetData sheetId="4258">
        <row r="7">
          <cell r="AI7">
            <v>10000</v>
          </cell>
        </row>
      </sheetData>
      <sheetData sheetId="4259">
        <row r="7">
          <cell r="AI7">
            <v>10000</v>
          </cell>
        </row>
      </sheetData>
      <sheetData sheetId="4260">
        <row r="7">
          <cell r="AI7">
            <v>10000</v>
          </cell>
        </row>
      </sheetData>
      <sheetData sheetId="4261">
        <row r="7">
          <cell r="AI7">
            <v>10000</v>
          </cell>
        </row>
      </sheetData>
      <sheetData sheetId="4262">
        <row r="7">
          <cell r="AI7">
            <v>10000</v>
          </cell>
        </row>
      </sheetData>
      <sheetData sheetId="4263">
        <row r="7">
          <cell r="AI7">
            <v>10000</v>
          </cell>
        </row>
      </sheetData>
      <sheetData sheetId="4264">
        <row r="7">
          <cell r="AI7">
            <v>10000</v>
          </cell>
        </row>
      </sheetData>
      <sheetData sheetId="4265">
        <row r="7">
          <cell r="AI7">
            <v>10000</v>
          </cell>
        </row>
      </sheetData>
      <sheetData sheetId="4266">
        <row r="7">
          <cell r="AI7">
            <v>10000</v>
          </cell>
        </row>
      </sheetData>
      <sheetData sheetId="4267">
        <row r="7">
          <cell r="AI7">
            <v>10000</v>
          </cell>
        </row>
      </sheetData>
      <sheetData sheetId="4268">
        <row r="7">
          <cell r="AI7">
            <v>10000</v>
          </cell>
        </row>
      </sheetData>
      <sheetData sheetId="4269">
        <row r="7">
          <cell r="AI7">
            <v>10000</v>
          </cell>
        </row>
      </sheetData>
      <sheetData sheetId="4270">
        <row r="7">
          <cell r="AI7">
            <v>10000</v>
          </cell>
        </row>
      </sheetData>
      <sheetData sheetId="4271">
        <row r="7">
          <cell r="AI7">
            <v>10000</v>
          </cell>
        </row>
      </sheetData>
      <sheetData sheetId="4272">
        <row r="7">
          <cell r="AI7">
            <v>10000</v>
          </cell>
        </row>
      </sheetData>
      <sheetData sheetId="4273">
        <row r="7">
          <cell r="AI7">
            <v>10000</v>
          </cell>
        </row>
      </sheetData>
      <sheetData sheetId="4274">
        <row r="7">
          <cell r="AI7">
            <v>10000</v>
          </cell>
        </row>
      </sheetData>
      <sheetData sheetId="4275">
        <row r="7">
          <cell r="AI7">
            <v>10000</v>
          </cell>
        </row>
      </sheetData>
      <sheetData sheetId="4276">
        <row r="7">
          <cell r="AI7">
            <v>10000</v>
          </cell>
        </row>
      </sheetData>
      <sheetData sheetId="4277">
        <row r="7">
          <cell r="AI7">
            <v>10000</v>
          </cell>
        </row>
      </sheetData>
      <sheetData sheetId="4278">
        <row r="7">
          <cell r="AI7">
            <v>10000</v>
          </cell>
        </row>
      </sheetData>
      <sheetData sheetId="4279">
        <row r="7">
          <cell r="AI7">
            <v>10000</v>
          </cell>
        </row>
      </sheetData>
      <sheetData sheetId="4280">
        <row r="7">
          <cell r="AI7">
            <v>10000</v>
          </cell>
        </row>
      </sheetData>
      <sheetData sheetId="4281">
        <row r="7">
          <cell r="AI7">
            <v>10000</v>
          </cell>
        </row>
      </sheetData>
      <sheetData sheetId="4282">
        <row r="7">
          <cell r="AI7">
            <v>10000</v>
          </cell>
        </row>
      </sheetData>
      <sheetData sheetId="4283">
        <row r="7">
          <cell r="AI7">
            <v>10000</v>
          </cell>
        </row>
      </sheetData>
      <sheetData sheetId="4284">
        <row r="7">
          <cell r="AI7">
            <v>10000</v>
          </cell>
        </row>
      </sheetData>
      <sheetData sheetId="4285">
        <row r="7">
          <cell r="AI7">
            <v>10000</v>
          </cell>
        </row>
      </sheetData>
      <sheetData sheetId="4286">
        <row r="7">
          <cell r="AI7">
            <v>10000</v>
          </cell>
        </row>
      </sheetData>
      <sheetData sheetId="4287">
        <row r="7">
          <cell r="AI7">
            <v>10000</v>
          </cell>
        </row>
      </sheetData>
      <sheetData sheetId="4288">
        <row r="7">
          <cell r="AI7">
            <v>10000</v>
          </cell>
        </row>
      </sheetData>
      <sheetData sheetId="4289">
        <row r="7">
          <cell r="AI7">
            <v>10000</v>
          </cell>
        </row>
      </sheetData>
      <sheetData sheetId="4290">
        <row r="7">
          <cell r="AI7">
            <v>10000</v>
          </cell>
        </row>
      </sheetData>
      <sheetData sheetId="4291">
        <row r="7">
          <cell r="AI7">
            <v>10000</v>
          </cell>
        </row>
      </sheetData>
      <sheetData sheetId="4292">
        <row r="7">
          <cell r="AI7">
            <v>10000</v>
          </cell>
        </row>
      </sheetData>
      <sheetData sheetId="4293">
        <row r="7">
          <cell r="AI7">
            <v>10000</v>
          </cell>
        </row>
      </sheetData>
      <sheetData sheetId="4294">
        <row r="7">
          <cell r="AI7">
            <v>10000</v>
          </cell>
        </row>
      </sheetData>
      <sheetData sheetId="4295">
        <row r="7">
          <cell r="AI7">
            <v>10000</v>
          </cell>
        </row>
      </sheetData>
      <sheetData sheetId="4296">
        <row r="7">
          <cell r="AI7">
            <v>10000</v>
          </cell>
        </row>
      </sheetData>
      <sheetData sheetId="4297">
        <row r="7">
          <cell r="AI7">
            <v>10000</v>
          </cell>
        </row>
      </sheetData>
      <sheetData sheetId="4298">
        <row r="7">
          <cell r="AI7">
            <v>10000</v>
          </cell>
        </row>
      </sheetData>
      <sheetData sheetId="4299">
        <row r="7">
          <cell r="AI7">
            <v>10000</v>
          </cell>
        </row>
      </sheetData>
      <sheetData sheetId="4300">
        <row r="7">
          <cell r="AI7">
            <v>10000</v>
          </cell>
        </row>
      </sheetData>
      <sheetData sheetId="4301">
        <row r="7">
          <cell r="AI7">
            <v>10000</v>
          </cell>
        </row>
      </sheetData>
      <sheetData sheetId="4302">
        <row r="7">
          <cell r="AI7">
            <v>10000</v>
          </cell>
        </row>
      </sheetData>
      <sheetData sheetId="4303">
        <row r="7">
          <cell r="AI7">
            <v>10000</v>
          </cell>
        </row>
      </sheetData>
      <sheetData sheetId="4304">
        <row r="7">
          <cell r="AI7">
            <v>10000</v>
          </cell>
        </row>
      </sheetData>
      <sheetData sheetId="4305">
        <row r="7">
          <cell r="AI7">
            <v>10000</v>
          </cell>
        </row>
      </sheetData>
      <sheetData sheetId="4306">
        <row r="7">
          <cell r="AI7">
            <v>10000</v>
          </cell>
        </row>
      </sheetData>
      <sheetData sheetId="4307">
        <row r="7">
          <cell r="AI7">
            <v>10000</v>
          </cell>
        </row>
      </sheetData>
      <sheetData sheetId="4308">
        <row r="7">
          <cell r="AI7">
            <v>10000</v>
          </cell>
        </row>
      </sheetData>
      <sheetData sheetId="4309">
        <row r="7">
          <cell r="AI7">
            <v>10000</v>
          </cell>
        </row>
      </sheetData>
      <sheetData sheetId="4310">
        <row r="7">
          <cell r="AI7">
            <v>10000</v>
          </cell>
        </row>
      </sheetData>
      <sheetData sheetId="4311">
        <row r="7">
          <cell r="AI7">
            <v>10000</v>
          </cell>
        </row>
      </sheetData>
      <sheetData sheetId="4312">
        <row r="7">
          <cell r="AI7">
            <v>10000</v>
          </cell>
        </row>
      </sheetData>
      <sheetData sheetId="4313">
        <row r="7">
          <cell r="AI7">
            <v>10000</v>
          </cell>
        </row>
      </sheetData>
      <sheetData sheetId="4314">
        <row r="7">
          <cell r="AI7">
            <v>10000</v>
          </cell>
        </row>
      </sheetData>
      <sheetData sheetId="4315">
        <row r="7">
          <cell r="AI7">
            <v>10000</v>
          </cell>
        </row>
      </sheetData>
      <sheetData sheetId="4316">
        <row r="7">
          <cell r="AI7">
            <v>10000</v>
          </cell>
        </row>
      </sheetData>
      <sheetData sheetId="4317">
        <row r="7">
          <cell r="AI7">
            <v>10000</v>
          </cell>
        </row>
      </sheetData>
      <sheetData sheetId="4318">
        <row r="7">
          <cell r="AI7">
            <v>10000</v>
          </cell>
        </row>
      </sheetData>
      <sheetData sheetId="4319">
        <row r="7">
          <cell r="AI7">
            <v>10000</v>
          </cell>
        </row>
      </sheetData>
      <sheetData sheetId="4320">
        <row r="7">
          <cell r="AI7">
            <v>10000</v>
          </cell>
        </row>
      </sheetData>
      <sheetData sheetId="4321">
        <row r="7">
          <cell r="AI7">
            <v>10000</v>
          </cell>
        </row>
      </sheetData>
      <sheetData sheetId="4322">
        <row r="7">
          <cell r="AI7">
            <v>10000</v>
          </cell>
        </row>
      </sheetData>
      <sheetData sheetId="4323">
        <row r="7">
          <cell r="AI7">
            <v>10000</v>
          </cell>
        </row>
      </sheetData>
      <sheetData sheetId="4324">
        <row r="7">
          <cell r="AI7">
            <v>10000</v>
          </cell>
        </row>
      </sheetData>
      <sheetData sheetId="4325">
        <row r="7">
          <cell r="AI7">
            <v>10000</v>
          </cell>
        </row>
      </sheetData>
      <sheetData sheetId="4326">
        <row r="7">
          <cell r="AI7">
            <v>10000</v>
          </cell>
        </row>
      </sheetData>
      <sheetData sheetId="4327">
        <row r="7">
          <cell r="AI7">
            <v>10000</v>
          </cell>
        </row>
      </sheetData>
      <sheetData sheetId="4328">
        <row r="7">
          <cell r="AI7">
            <v>10000</v>
          </cell>
        </row>
      </sheetData>
      <sheetData sheetId="4329">
        <row r="7">
          <cell r="AI7">
            <v>10000</v>
          </cell>
        </row>
      </sheetData>
      <sheetData sheetId="4330">
        <row r="7">
          <cell r="AI7">
            <v>10000</v>
          </cell>
        </row>
      </sheetData>
      <sheetData sheetId="4331">
        <row r="7">
          <cell r="AI7">
            <v>10000</v>
          </cell>
        </row>
      </sheetData>
      <sheetData sheetId="4332">
        <row r="7">
          <cell r="AI7">
            <v>10000</v>
          </cell>
        </row>
      </sheetData>
      <sheetData sheetId="4333">
        <row r="7">
          <cell r="AI7">
            <v>10000</v>
          </cell>
        </row>
      </sheetData>
      <sheetData sheetId="4334">
        <row r="7">
          <cell r="AI7">
            <v>10000</v>
          </cell>
        </row>
      </sheetData>
      <sheetData sheetId="4335">
        <row r="7">
          <cell r="AI7">
            <v>10000</v>
          </cell>
        </row>
      </sheetData>
      <sheetData sheetId="4336">
        <row r="7">
          <cell r="AI7">
            <v>10000</v>
          </cell>
        </row>
      </sheetData>
      <sheetData sheetId="4337">
        <row r="7">
          <cell r="AI7">
            <v>10000</v>
          </cell>
        </row>
      </sheetData>
      <sheetData sheetId="4338">
        <row r="7">
          <cell r="AI7">
            <v>10000</v>
          </cell>
        </row>
      </sheetData>
      <sheetData sheetId="4339">
        <row r="7">
          <cell r="AI7">
            <v>10000</v>
          </cell>
        </row>
      </sheetData>
      <sheetData sheetId="4340">
        <row r="7">
          <cell r="AI7">
            <v>10000</v>
          </cell>
        </row>
      </sheetData>
      <sheetData sheetId="4341">
        <row r="7">
          <cell r="AI7">
            <v>10000</v>
          </cell>
        </row>
      </sheetData>
      <sheetData sheetId="4342">
        <row r="7">
          <cell r="AI7">
            <v>10000</v>
          </cell>
        </row>
      </sheetData>
      <sheetData sheetId="4343">
        <row r="7">
          <cell r="AI7">
            <v>10000</v>
          </cell>
        </row>
      </sheetData>
      <sheetData sheetId="4344">
        <row r="7">
          <cell r="AI7">
            <v>10000</v>
          </cell>
        </row>
      </sheetData>
      <sheetData sheetId="4345">
        <row r="7">
          <cell r="AI7">
            <v>10000</v>
          </cell>
        </row>
      </sheetData>
      <sheetData sheetId="4346">
        <row r="7">
          <cell r="AI7">
            <v>10000</v>
          </cell>
        </row>
      </sheetData>
      <sheetData sheetId="4347">
        <row r="7">
          <cell r="AI7">
            <v>10000</v>
          </cell>
        </row>
      </sheetData>
      <sheetData sheetId="4348">
        <row r="7">
          <cell r="AI7">
            <v>10000</v>
          </cell>
        </row>
      </sheetData>
      <sheetData sheetId="4349">
        <row r="7">
          <cell r="AI7">
            <v>10000</v>
          </cell>
        </row>
      </sheetData>
      <sheetData sheetId="4350">
        <row r="7">
          <cell r="AI7">
            <v>10000</v>
          </cell>
        </row>
      </sheetData>
      <sheetData sheetId="4351">
        <row r="7">
          <cell r="AI7">
            <v>10000</v>
          </cell>
        </row>
      </sheetData>
      <sheetData sheetId="4352">
        <row r="7">
          <cell r="AI7">
            <v>10000</v>
          </cell>
        </row>
      </sheetData>
      <sheetData sheetId="4353">
        <row r="7">
          <cell r="AI7">
            <v>10000</v>
          </cell>
        </row>
      </sheetData>
      <sheetData sheetId="4354">
        <row r="7">
          <cell r="AI7">
            <v>10000</v>
          </cell>
        </row>
      </sheetData>
      <sheetData sheetId="4355">
        <row r="7">
          <cell r="AI7">
            <v>10000</v>
          </cell>
        </row>
      </sheetData>
      <sheetData sheetId="4356">
        <row r="7">
          <cell r="AI7">
            <v>10000</v>
          </cell>
        </row>
      </sheetData>
      <sheetData sheetId="4357">
        <row r="7">
          <cell r="AI7">
            <v>10000</v>
          </cell>
        </row>
      </sheetData>
      <sheetData sheetId="4358">
        <row r="7">
          <cell r="AI7">
            <v>10000</v>
          </cell>
        </row>
      </sheetData>
      <sheetData sheetId="4359">
        <row r="7">
          <cell r="AI7">
            <v>10000</v>
          </cell>
        </row>
      </sheetData>
      <sheetData sheetId="4360">
        <row r="7">
          <cell r="AI7">
            <v>10000</v>
          </cell>
        </row>
      </sheetData>
      <sheetData sheetId="4361">
        <row r="7">
          <cell r="AI7">
            <v>10000</v>
          </cell>
        </row>
      </sheetData>
      <sheetData sheetId="4362">
        <row r="7">
          <cell r="AI7">
            <v>10000</v>
          </cell>
        </row>
      </sheetData>
      <sheetData sheetId="4363">
        <row r="7">
          <cell r="AI7">
            <v>10000</v>
          </cell>
        </row>
      </sheetData>
      <sheetData sheetId="4364">
        <row r="7">
          <cell r="AI7">
            <v>10000</v>
          </cell>
        </row>
      </sheetData>
      <sheetData sheetId="4365">
        <row r="7">
          <cell r="AI7">
            <v>10000</v>
          </cell>
        </row>
      </sheetData>
      <sheetData sheetId="4366">
        <row r="7">
          <cell r="AI7">
            <v>10000</v>
          </cell>
        </row>
      </sheetData>
      <sheetData sheetId="4367">
        <row r="7">
          <cell r="AI7">
            <v>10000</v>
          </cell>
        </row>
      </sheetData>
      <sheetData sheetId="4368">
        <row r="7">
          <cell r="AI7">
            <v>10000</v>
          </cell>
        </row>
      </sheetData>
      <sheetData sheetId="4369">
        <row r="7">
          <cell r="AI7">
            <v>10000</v>
          </cell>
        </row>
      </sheetData>
      <sheetData sheetId="4370">
        <row r="7">
          <cell r="AI7">
            <v>10000</v>
          </cell>
        </row>
      </sheetData>
      <sheetData sheetId="4371">
        <row r="7">
          <cell r="AI7">
            <v>10000</v>
          </cell>
        </row>
      </sheetData>
      <sheetData sheetId="4372">
        <row r="7">
          <cell r="AI7">
            <v>10000</v>
          </cell>
        </row>
      </sheetData>
      <sheetData sheetId="4373">
        <row r="7">
          <cell r="AI7">
            <v>10000</v>
          </cell>
        </row>
      </sheetData>
      <sheetData sheetId="4374">
        <row r="7">
          <cell r="AI7">
            <v>10000</v>
          </cell>
        </row>
      </sheetData>
      <sheetData sheetId="4375">
        <row r="7">
          <cell r="AI7">
            <v>10000</v>
          </cell>
        </row>
      </sheetData>
      <sheetData sheetId="4376">
        <row r="7">
          <cell r="AI7">
            <v>10000</v>
          </cell>
        </row>
      </sheetData>
      <sheetData sheetId="4377">
        <row r="7">
          <cell r="AI7">
            <v>10000</v>
          </cell>
        </row>
      </sheetData>
      <sheetData sheetId="4378">
        <row r="7">
          <cell r="AI7">
            <v>10000</v>
          </cell>
        </row>
      </sheetData>
      <sheetData sheetId="4379">
        <row r="7">
          <cell r="AI7">
            <v>10000</v>
          </cell>
        </row>
      </sheetData>
      <sheetData sheetId="4380">
        <row r="7">
          <cell r="AI7">
            <v>10000</v>
          </cell>
        </row>
      </sheetData>
      <sheetData sheetId="4381">
        <row r="7">
          <cell r="AI7">
            <v>10000</v>
          </cell>
        </row>
      </sheetData>
      <sheetData sheetId="4382">
        <row r="7">
          <cell r="AI7">
            <v>10000</v>
          </cell>
        </row>
      </sheetData>
      <sheetData sheetId="4383">
        <row r="7">
          <cell r="AI7">
            <v>10000</v>
          </cell>
        </row>
      </sheetData>
      <sheetData sheetId="4384">
        <row r="7">
          <cell r="AI7">
            <v>10000</v>
          </cell>
        </row>
      </sheetData>
      <sheetData sheetId="4385">
        <row r="7">
          <cell r="AI7">
            <v>10000</v>
          </cell>
        </row>
      </sheetData>
      <sheetData sheetId="4386">
        <row r="7">
          <cell r="AI7">
            <v>10000</v>
          </cell>
        </row>
      </sheetData>
      <sheetData sheetId="4387">
        <row r="7">
          <cell r="AI7">
            <v>10000</v>
          </cell>
        </row>
      </sheetData>
      <sheetData sheetId="4388">
        <row r="7">
          <cell r="AI7">
            <v>10000</v>
          </cell>
        </row>
      </sheetData>
      <sheetData sheetId="4389">
        <row r="7">
          <cell r="AI7">
            <v>10000</v>
          </cell>
        </row>
      </sheetData>
      <sheetData sheetId="4390">
        <row r="7">
          <cell r="AI7">
            <v>10000</v>
          </cell>
        </row>
      </sheetData>
      <sheetData sheetId="4391">
        <row r="7">
          <cell r="AI7">
            <v>10000</v>
          </cell>
        </row>
      </sheetData>
      <sheetData sheetId="4392">
        <row r="7">
          <cell r="AI7">
            <v>10000</v>
          </cell>
        </row>
      </sheetData>
      <sheetData sheetId="4393">
        <row r="7">
          <cell r="AI7">
            <v>10000</v>
          </cell>
        </row>
      </sheetData>
      <sheetData sheetId="4394">
        <row r="7">
          <cell r="AI7">
            <v>10000</v>
          </cell>
        </row>
      </sheetData>
      <sheetData sheetId="4395">
        <row r="7">
          <cell r="AI7">
            <v>10000</v>
          </cell>
        </row>
      </sheetData>
      <sheetData sheetId="4396">
        <row r="7">
          <cell r="AI7">
            <v>10000</v>
          </cell>
        </row>
      </sheetData>
      <sheetData sheetId="4397">
        <row r="7">
          <cell r="AI7">
            <v>10000</v>
          </cell>
        </row>
      </sheetData>
      <sheetData sheetId="4398">
        <row r="7">
          <cell r="AI7">
            <v>10000</v>
          </cell>
        </row>
      </sheetData>
      <sheetData sheetId="4399">
        <row r="7">
          <cell r="AI7">
            <v>10000</v>
          </cell>
        </row>
      </sheetData>
      <sheetData sheetId="4400">
        <row r="7">
          <cell r="AI7">
            <v>10000</v>
          </cell>
        </row>
      </sheetData>
      <sheetData sheetId="4401">
        <row r="7">
          <cell r="AI7">
            <v>10000</v>
          </cell>
        </row>
      </sheetData>
      <sheetData sheetId="4402">
        <row r="7">
          <cell r="AI7">
            <v>10000</v>
          </cell>
        </row>
      </sheetData>
      <sheetData sheetId="4403">
        <row r="7">
          <cell r="AI7">
            <v>10000</v>
          </cell>
        </row>
      </sheetData>
      <sheetData sheetId="4404">
        <row r="7">
          <cell r="AI7">
            <v>10000</v>
          </cell>
        </row>
      </sheetData>
      <sheetData sheetId="4405">
        <row r="7">
          <cell r="AI7">
            <v>10000</v>
          </cell>
        </row>
      </sheetData>
      <sheetData sheetId="4406">
        <row r="7">
          <cell r="AI7">
            <v>10000</v>
          </cell>
        </row>
      </sheetData>
      <sheetData sheetId="4407">
        <row r="7">
          <cell r="AI7">
            <v>10000</v>
          </cell>
        </row>
      </sheetData>
      <sheetData sheetId="4408">
        <row r="7">
          <cell r="AI7">
            <v>10000</v>
          </cell>
        </row>
      </sheetData>
      <sheetData sheetId="4409">
        <row r="7">
          <cell r="AI7">
            <v>10000</v>
          </cell>
        </row>
      </sheetData>
      <sheetData sheetId="4410">
        <row r="7">
          <cell r="AI7">
            <v>10000</v>
          </cell>
        </row>
      </sheetData>
      <sheetData sheetId="4411">
        <row r="7">
          <cell r="AI7">
            <v>10000</v>
          </cell>
        </row>
      </sheetData>
      <sheetData sheetId="4412">
        <row r="7">
          <cell r="AI7">
            <v>10000</v>
          </cell>
        </row>
      </sheetData>
      <sheetData sheetId="4413">
        <row r="7">
          <cell r="AI7">
            <v>10000</v>
          </cell>
        </row>
      </sheetData>
      <sheetData sheetId="4414">
        <row r="7">
          <cell r="AI7">
            <v>10000</v>
          </cell>
        </row>
      </sheetData>
      <sheetData sheetId="4415">
        <row r="7">
          <cell r="AI7">
            <v>10000</v>
          </cell>
        </row>
      </sheetData>
      <sheetData sheetId="4416">
        <row r="7">
          <cell r="AI7">
            <v>10000</v>
          </cell>
        </row>
      </sheetData>
      <sheetData sheetId="4417">
        <row r="7">
          <cell r="AI7">
            <v>10000</v>
          </cell>
        </row>
      </sheetData>
      <sheetData sheetId="4418">
        <row r="7">
          <cell r="AI7">
            <v>10000</v>
          </cell>
        </row>
      </sheetData>
      <sheetData sheetId="4419">
        <row r="7">
          <cell r="AI7">
            <v>10000</v>
          </cell>
        </row>
      </sheetData>
      <sheetData sheetId="4420">
        <row r="7">
          <cell r="AI7">
            <v>10000</v>
          </cell>
        </row>
      </sheetData>
      <sheetData sheetId="4421">
        <row r="7">
          <cell r="AI7">
            <v>10000</v>
          </cell>
        </row>
      </sheetData>
      <sheetData sheetId="4422">
        <row r="7">
          <cell r="AI7">
            <v>10000</v>
          </cell>
        </row>
      </sheetData>
      <sheetData sheetId="4423">
        <row r="7">
          <cell r="AI7">
            <v>10000</v>
          </cell>
        </row>
      </sheetData>
      <sheetData sheetId="4424">
        <row r="7">
          <cell r="AI7">
            <v>10000</v>
          </cell>
        </row>
      </sheetData>
      <sheetData sheetId="4425">
        <row r="7">
          <cell r="AI7">
            <v>10000</v>
          </cell>
        </row>
      </sheetData>
      <sheetData sheetId="4426">
        <row r="7">
          <cell r="AI7">
            <v>10000</v>
          </cell>
        </row>
      </sheetData>
      <sheetData sheetId="4427">
        <row r="7">
          <cell r="AI7">
            <v>10000</v>
          </cell>
        </row>
      </sheetData>
      <sheetData sheetId="4428">
        <row r="7">
          <cell r="AI7">
            <v>10000</v>
          </cell>
        </row>
      </sheetData>
      <sheetData sheetId="4429">
        <row r="7">
          <cell r="AI7">
            <v>10000</v>
          </cell>
        </row>
      </sheetData>
      <sheetData sheetId="4430">
        <row r="7">
          <cell r="AI7">
            <v>10000</v>
          </cell>
        </row>
      </sheetData>
      <sheetData sheetId="4431">
        <row r="7">
          <cell r="AI7">
            <v>10000</v>
          </cell>
        </row>
      </sheetData>
      <sheetData sheetId="4432">
        <row r="7">
          <cell r="AI7">
            <v>10000</v>
          </cell>
        </row>
      </sheetData>
      <sheetData sheetId="4433">
        <row r="7">
          <cell r="AI7">
            <v>10000</v>
          </cell>
        </row>
      </sheetData>
      <sheetData sheetId="4434">
        <row r="7">
          <cell r="AI7">
            <v>10000</v>
          </cell>
        </row>
      </sheetData>
      <sheetData sheetId="4435">
        <row r="7">
          <cell r="AI7">
            <v>10000</v>
          </cell>
        </row>
      </sheetData>
      <sheetData sheetId="4436">
        <row r="7">
          <cell r="AI7">
            <v>10000</v>
          </cell>
        </row>
      </sheetData>
      <sheetData sheetId="4437">
        <row r="7">
          <cell r="AI7">
            <v>10000</v>
          </cell>
        </row>
      </sheetData>
      <sheetData sheetId="4438">
        <row r="7">
          <cell r="AI7">
            <v>10000</v>
          </cell>
        </row>
      </sheetData>
      <sheetData sheetId="4439">
        <row r="7">
          <cell r="AI7">
            <v>10000</v>
          </cell>
        </row>
      </sheetData>
      <sheetData sheetId="4440">
        <row r="7">
          <cell r="AI7">
            <v>10000</v>
          </cell>
        </row>
      </sheetData>
      <sheetData sheetId="4441">
        <row r="7">
          <cell r="AI7">
            <v>10000</v>
          </cell>
        </row>
      </sheetData>
      <sheetData sheetId="4442">
        <row r="7">
          <cell r="AI7">
            <v>10000</v>
          </cell>
        </row>
      </sheetData>
      <sheetData sheetId="4443">
        <row r="7">
          <cell r="AI7">
            <v>10000</v>
          </cell>
        </row>
      </sheetData>
      <sheetData sheetId="4444">
        <row r="7">
          <cell r="AI7">
            <v>10000</v>
          </cell>
        </row>
      </sheetData>
      <sheetData sheetId="4445">
        <row r="7">
          <cell r="AI7">
            <v>10000</v>
          </cell>
        </row>
      </sheetData>
      <sheetData sheetId="4446">
        <row r="7">
          <cell r="AI7">
            <v>10000</v>
          </cell>
        </row>
      </sheetData>
      <sheetData sheetId="4447">
        <row r="7">
          <cell r="AI7">
            <v>10000</v>
          </cell>
        </row>
      </sheetData>
      <sheetData sheetId="4448">
        <row r="7">
          <cell r="AI7">
            <v>10000</v>
          </cell>
        </row>
      </sheetData>
      <sheetData sheetId="4449">
        <row r="7">
          <cell r="AI7">
            <v>10000</v>
          </cell>
        </row>
      </sheetData>
      <sheetData sheetId="4450">
        <row r="7">
          <cell r="AI7">
            <v>10000</v>
          </cell>
        </row>
      </sheetData>
      <sheetData sheetId="4451">
        <row r="7">
          <cell r="AI7">
            <v>10000</v>
          </cell>
        </row>
      </sheetData>
      <sheetData sheetId="4452">
        <row r="7">
          <cell r="AI7">
            <v>10000</v>
          </cell>
        </row>
      </sheetData>
      <sheetData sheetId="4453">
        <row r="7">
          <cell r="AI7">
            <v>10000</v>
          </cell>
        </row>
      </sheetData>
      <sheetData sheetId="4454">
        <row r="7">
          <cell r="AI7">
            <v>10000</v>
          </cell>
        </row>
      </sheetData>
      <sheetData sheetId="4455">
        <row r="7">
          <cell r="AI7">
            <v>10000</v>
          </cell>
        </row>
      </sheetData>
      <sheetData sheetId="4456">
        <row r="7">
          <cell r="AI7">
            <v>10000</v>
          </cell>
        </row>
      </sheetData>
      <sheetData sheetId="4457">
        <row r="7">
          <cell r="AI7">
            <v>10000</v>
          </cell>
        </row>
      </sheetData>
      <sheetData sheetId="4458">
        <row r="7">
          <cell r="AI7">
            <v>10000</v>
          </cell>
        </row>
      </sheetData>
      <sheetData sheetId="4459">
        <row r="7">
          <cell r="AI7">
            <v>10000</v>
          </cell>
        </row>
      </sheetData>
      <sheetData sheetId="4460">
        <row r="7">
          <cell r="AI7">
            <v>10000</v>
          </cell>
        </row>
      </sheetData>
      <sheetData sheetId="4461">
        <row r="7">
          <cell r="AI7">
            <v>10000</v>
          </cell>
        </row>
      </sheetData>
      <sheetData sheetId="4462">
        <row r="7">
          <cell r="AI7">
            <v>10000</v>
          </cell>
        </row>
      </sheetData>
      <sheetData sheetId="4463">
        <row r="7">
          <cell r="AI7">
            <v>10000</v>
          </cell>
        </row>
      </sheetData>
      <sheetData sheetId="4464">
        <row r="7">
          <cell r="AI7">
            <v>10000</v>
          </cell>
        </row>
      </sheetData>
      <sheetData sheetId="4465">
        <row r="7">
          <cell r="AI7">
            <v>10000</v>
          </cell>
        </row>
      </sheetData>
      <sheetData sheetId="4466">
        <row r="7">
          <cell r="AI7">
            <v>10000</v>
          </cell>
        </row>
      </sheetData>
      <sheetData sheetId="4467">
        <row r="7">
          <cell r="AI7">
            <v>10000</v>
          </cell>
        </row>
      </sheetData>
      <sheetData sheetId="4468">
        <row r="7">
          <cell r="AI7">
            <v>10000</v>
          </cell>
        </row>
      </sheetData>
      <sheetData sheetId="4469">
        <row r="7">
          <cell r="AI7">
            <v>10000</v>
          </cell>
        </row>
      </sheetData>
      <sheetData sheetId="4470">
        <row r="7">
          <cell r="AI7">
            <v>10000</v>
          </cell>
        </row>
      </sheetData>
      <sheetData sheetId="4471">
        <row r="7">
          <cell r="AI7">
            <v>10000</v>
          </cell>
        </row>
      </sheetData>
      <sheetData sheetId="4472">
        <row r="7">
          <cell r="AI7">
            <v>10000</v>
          </cell>
        </row>
      </sheetData>
      <sheetData sheetId="4473">
        <row r="7">
          <cell r="AI7">
            <v>10000</v>
          </cell>
        </row>
      </sheetData>
      <sheetData sheetId="4474">
        <row r="7">
          <cell r="AI7">
            <v>10000</v>
          </cell>
        </row>
      </sheetData>
      <sheetData sheetId="4475">
        <row r="7">
          <cell r="AI7">
            <v>10000</v>
          </cell>
        </row>
      </sheetData>
      <sheetData sheetId="4476">
        <row r="7">
          <cell r="AI7">
            <v>10000</v>
          </cell>
        </row>
      </sheetData>
      <sheetData sheetId="4477">
        <row r="7">
          <cell r="AI7">
            <v>10000</v>
          </cell>
        </row>
      </sheetData>
      <sheetData sheetId="4478">
        <row r="7">
          <cell r="AI7">
            <v>10000</v>
          </cell>
        </row>
      </sheetData>
      <sheetData sheetId="4479">
        <row r="7">
          <cell r="AI7">
            <v>10000</v>
          </cell>
        </row>
      </sheetData>
      <sheetData sheetId="4480">
        <row r="7">
          <cell r="AI7">
            <v>10000</v>
          </cell>
        </row>
      </sheetData>
      <sheetData sheetId="4481">
        <row r="7">
          <cell r="AI7">
            <v>10000</v>
          </cell>
        </row>
      </sheetData>
      <sheetData sheetId="4482">
        <row r="7">
          <cell r="AI7">
            <v>10000</v>
          </cell>
        </row>
      </sheetData>
      <sheetData sheetId="4483">
        <row r="7">
          <cell r="AI7">
            <v>10000</v>
          </cell>
        </row>
      </sheetData>
      <sheetData sheetId="4484">
        <row r="7">
          <cell r="AI7">
            <v>10000</v>
          </cell>
        </row>
      </sheetData>
      <sheetData sheetId="4485">
        <row r="7">
          <cell r="AI7">
            <v>10000</v>
          </cell>
        </row>
      </sheetData>
      <sheetData sheetId="4486">
        <row r="7">
          <cell r="AI7">
            <v>10000</v>
          </cell>
        </row>
      </sheetData>
      <sheetData sheetId="4487">
        <row r="7">
          <cell r="AI7">
            <v>10000</v>
          </cell>
        </row>
      </sheetData>
      <sheetData sheetId="4488">
        <row r="7">
          <cell r="AI7">
            <v>10000</v>
          </cell>
        </row>
      </sheetData>
      <sheetData sheetId="4489">
        <row r="7">
          <cell r="AI7">
            <v>10000</v>
          </cell>
        </row>
      </sheetData>
      <sheetData sheetId="4490">
        <row r="7">
          <cell r="AI7">
            <v>10000</v>
          </cell>
        </row>
      </sheetData>
      <sheetData sheetId="4491">
        <row r="7">
          <cell r="AI7">
            <v>10000</v>
          </cell>
        </row>
      </sheetData>
      <sheetData sheetId="4492">
        <row r="7">
          <cell r="AI7">
            <v>10000</v>
          </cell>
        </row>
      </sheetData>
      <sheetData sheetId="4493">
        <row r="7">
          <cell r="AI7">
            <v>10000</v>
          </cell>
        </row>
      </sheetData>
      <sheetData sheetId="4494">
        <row r="7">
          <cell r="AI7">
            <v>10000</v>
          </cell>
        </row>
      </sheetData>
      <sheetData sheetId="4495">
        <row r="7">
          <cell r="AI7">
            <v>10000</v>
          </cell>
        </row>
      </sheetData>
      <sheetData sheetId="4496">
        <row r="7">
          <cell r="AI7">
            <v>10000</v>
          </cell>
        </row>
      </sheetData>
      <sheetData sheetId="4497">
        <row r="7">
          <cell r="AI7">
            <v>10000</v>
          </cell>
        </row>
      </sheetData>
      <sheetData sheetId="4498">
        <row r="7">
          <cell r="AI7">
            <v>10000</v>
          </cell>
        </row>
      </sheetData>
      <sheetData sheetId="4499">
        <row r="7">
          <cell r="AI7">
            <v>10000</v>
          </cell>
        </row>
      </sheetData>
      <sheetData sheetId="4500">
        <row r="7">
          <cell r="AI7">
            <v>10000</v>
          </cell>
        </row>
      </sheetData>
      <sheetData sheetId="4501">
        <row r="7">
          <cell r="AI7">
            <v>10000</v>
          </cell>
        </row>
      </sheetData>
      <sheetData sheetId="4502">
        <row r="7">
          <cell r="AI7">
            <v>10000</v>
          </cell>
        </row>
      </sheetData>
      <sheetData sheetId="4503">
        <row r="7">
          <cell r="AI7">
            <v>10000</v>
          </cell>
        </row>
      </sheetData>
      <sheetData sheetId="4504">
        <row r="7">
          <cell r="AI7">
            <v>10000</v>
          </cell>
        </row>
      </sheetData>
      <sheetData sheetId="4505">
        <row r="7">
          <cell r="AI7">
            <v>10000</v>
          </cell>
        </row>
      </sheetData>
      <sheetData sheetId="4506">
        <row r="7">
          <cell r="AI7">
            <v>10000</v>
          </cell>
        </row>
      </sheetData>
      <sheetData sheetId="4507">
        <row r="7">
          <cell r="AI7">
            <v>10000</v>
          </cell>
        </row>
      </sheetData>
      <sheetData sheetId="4508">
        <row r="7">
          <cell r="AI7">
            <v>10000</v>
          </cell>
        </row>
      </sheetData>
      <sheetData sheetId="4509">
        <row r="7">
          <cell r="AI7">
            <v>10000</v>
          </cell>
        </row>
      </sheetData>
      <sheetData sheetId="4510">
        <row r="7">
          <cell r="AI7">
            <v>10000</v>
          </cell>
        </row>
      </sheetData>
      <sheetData sheetId="4511">
        <row r="7">
          <cell r="AI7">
            <v>10000</v>
          </cell>
        </row>
      </sheetData>
      <sheetData sheetId="4512">
        <row r="7">
          <cell r="AI7">
            <v>10000</v>
          </cell>
        </row>
      </sheetData>
      <sheetData sheetId="4513">
        <row r="7">
          <cell r="AI7">
            <v>10000</v>
          </cell>
        </row>
      </sheetData>
      <sheetData sheetId="4514">
        <row r="7">
          <cell r="AI7">
            <v>10000</v>
          </cell>
        </row>
      </sheetData>
      <sheetData sheetId="4515">
        <row r="7">
          <cell r="AI7">
            <v>10000</v>
          </cell>
        </row>
      </sheetData>
      <sheetData sheetId="4516">
        <row r="7">
          <cell r="AI7">
            <v>10000</v>
          </cell>
        </row>
      </sheetData>
      <sheetData sheetId="4517">
        <row r="7">
          <cell r="AI7">
            <v>10000</v>
          </cell>
        </row>
      </sheetData>
      <sheetData sheetId="4518">
        <row r="7">
          <cell r="AI7">
            <v>10000</v>
          </cell>
        </row>
      </sheetData>
      <sheetData sheetId="4519">
        <row r="7">
          <cell r="AI7">
            <v>10000</v>
          </cell>
        </row>
      </sheetData>
      <sheetData sheetId="4520">
        <row r="7">
          <cell r="AI7">
            <v>10000</v>
          </cell>
        </row>
      </sheetData>
      <sheetData sheetId="4521">
        <row r="7">
          <cell r="AI7">
            <v>10000</v>
          </cell>
        </row>
      </sheetData>
      <sheetData sheetId="4522">
        <row r="7">
          <cell r="AI7">
            <v>10000</v>
          </cell>
        </row>
      </sheetData>
      <sheetData sheetId="4523">
        <row r="7">
          <cell r="AI7">
            <v>10000</v>
          </cell>
        </row>
      </sheetData>
      <sheetData sheetId="4524">
        <row r="7">
          <cell r="AI7">
            <v>10000</v>
          </cell>
        </row>
      </sheetData>
      <sheetData sheetId="4525">
        <row r="7">
          <cell r="AI7">
            <v>10000</v>
          </cell>
        </row>
      </sheetData>
      <sheetData sheetId="4526">
        <row r="7">
          <cell r="AI7">
            <v>10000</v>
          </cell>
        </row>
      </sheetData>
      <sheetData sheetId="4527">
        <row r="7">
          <cell r="AI7">
            <v>10000</v>
          </cell>
        </row>
      </sheetData>
      <sheetData sheetId="4528">
        <row r="7">
          <cell r="AI7">
            <v>10000</v>
          </cell>
        </row>
      </sheetData>
      <sheetData sheetId="4529">
        <row r="7">
          <cell r="AI7">
            <v>10000</v>
          </cell>
        </row>
      </sheetData>
      <sheetData sheetId="4530">
        <row r="7">
          <cell r="AI7">
            <v>10000</v>
          </cell>
        </row>
      </sheetData>
      <sheetData sheetId="4531">
        <row r="7">
          <cell r="AI7">
            <v>10000</v>
          </cell>
        </row>
      </sheetData>
      <sheetData sheetId="4532">
        <row r="7">
          <cell r="AI7">
            <v>10000</v>
          </cell>
        </row>
      </sheetData>
      <sheetData sheetId="4533">
        <row r="7">
          <cell r="AI7">
            <v>10000</v>
          </cell>
        </row>
      </sheetData>
      <sheetData sheetId="4534">
        <row r="7">
          <cell r="AI7">
            <v>10000</v>
          </cell>
        </row>
      </sheetData>
      <sheetData sheetId="4535">
        <row r="7">
          <cell r="AI7">
            <v>10000</v>
          </cell>
        </row>
      </sheetData>
      <sheetData sheetId="4536">
        <row r="7">
          <cell r="AI7">
            <v>10000</v>
          </cell>
        </row>
      </sheetData>
      <sheetData sheetId="4537">
        <row r="7">
          <cell r="AI7">
            <v>10000</v>
          </cell>
        </row>
      </sheetData>
      <sheetData sheetId="4538">
        <row r="7">
          <cell r="AI7">
            <v>10000</v>
          </cell>
        </row>
      </sheetData>
      <sheetData sheetId="4539">
        <row r="7">
          <cell r="AI7">
            <v>10000</v>
          </cell>
        </row>
      </sheetData>
      <sheetData sheetId="4540">
        <row r="7">
          <cell r="AI7">
            <v>10000</v>
          </cell>
        </row>
      </sheetData>
      <sheetData sheetId="4541">
        <row r="7">
          <cell r="AI7">
            <v>10000</v>
          </cell>
        </row>
      </sheetData>
      <sheetData sheetId="4542">
        <row r="7">
          <cell r="AI7">
            <v>10000</v>
          </cell>
        </row>
      </sheetData>
      <sheetData sheetId="4543">
        <row r="7">
          <cell r="AI7">
            <v>10000</v>
          </cell>
        </row>
      </sheetData>
      <sheetData sheetId="4544">
        <row r="7">
          <cell r="AI7">
            <v>10000</v>
          </cell>
        </row>
      </sheetData>
      <sheetData sheetId="4545">
        <row r="7">
          <cell r="AI7">
            <v>10000</v>
          </cell>
        </row>
      </sheetData>
      <sheetData sheetId="4546">
        <row r="7">
          <cell r="AI7">
            <v>10000</v>
          </cell>
        </row>
      </sheetData>
      <sheetData sheetId="4547">
        <row r="7">
          <cell r="AI7">
            <v>10000</v>
          </cell>
        </row>
      </sheetData>
      <sheetData sheetId="4548">
        <row r="7">
          <cell r="AI7">
            <v>10000</v>
          </cell>
        </row>
      </sheetData>
      <sheetData sheetId="4549">
        <row r="7">
          <cell r="AI7">
            <v>10000</v>
          </cell>
        </row>
      </sheetData>
      <sheetData sheetId="4550">
        <row r="7">
          <cell r="AI7">
            <v>10000</v>
          </cell>
        </row>
      </sheetData>
      <sheetData sheetId="4551">
        <row r="7">
          <cell r="AI7">
            <v>10000</v>
          </cell>
        </row>
      </sheetData>
      <sheetData sheetId="4552">
        <row r="7">
          <cell r="AI7">
            <v>10000</v>
          </cell>
        </row>
      </sheetData>
      <sheetData sheetId="4553">
        <row r="7">
          <cell r="AI7">
            <v>10000</v>
          </cell>
        </row>
      </sheetData>
      <sheetData sheetId="4554">
        <row r="7">
          <cell r="AI7">
            <v>10000</v>
          </cell>
        </row>
      </sheetData>
      <sheetData sheetId="4555">
        <row r="7">
          <cell r="AI7">
            <v>10000</v>
          </cell>
        </row>
      </sheetData>
      <sheetData sheetId="4556">
        <row r="7">
          <cell r="AI7">
            <v>10000</v>
          </cell>
        </row>
      </sheetData>
      <sheetData sheetId="4557">
        <row r="7">
          <cell r="AI7">
            <v>10000</v>
          </cell>
        </row>
      </sheetData>
      <sheetData sheetId="4558">
        <row r="7">
          <cell r="AI7">
            <v>10000</v>
          </cell>
        </row>
      </sheetData>
      <sheetData sheetId="4559">
        <row r="7">
          <cell r="AI7">
            <v>10000</v>
          </cell>
        </row>
      </sheetData>
      <sheetData sheetId="4560">
        <row r="7">
          <cell r="AI7">
            <v>10000</v>
          </cell>
        </row>
      </sheetData>
      <sheetData sheetId="4561">
        <row r="7">
          <cell r="AI7">
            <v>10000</v>
          </cell>
        </row>
      </sheetData>
      <sheetData sheetId="4562">
        <row r="7">
          <cell r="AI7">
            <v>10000</v>
          </cell>
        </row>
      </sheetData>
      <sheetData sheetId="4563">
        <row r="7">
          <cell r="AI7">
            <v>10000</v>
          </cell>
        </row>
      </sheetData>
      <sheetData sheetId="4564">
        <row r="7">
          <cell r="AI7">
            <v>10000</v>
          </cell>
        </row>
      </sheetData>
      <sheetData sheetId="4565">
        <row r="7">
          <cell r="AI7">
            <v>10000</v>
          </cell>
        </row>
      </sheetData>
      <sheetData sheetId="4566">
        <row r="7">
          <cell r="AI7">
            <v>10000</v>
          </cell>
        </row>
      </sheetData>
      <sheetData sheetId="4567">
        <row r="7">
          <cell r="AI7">
            <v>10000</v>
          </cell>
        </row>
      </sheetData>
      <sheetData sheetId="4568">
        <row r="7">
          <cell r="AI7">
            <v>10000</v>
          </cell>
        </row>
      </sheetData>
      <sheetData sheetId="4569">
        <row r="7">
          <cell r="AI7">
            <v>10000</v>
          </cell>
        </row>
      </sheetData>
      <sheetData sheetId="4570">
        <row r="7">
          <cell r="AI7">
            <v>10000</v>
          </cell>
        </row>
      </sheetData>
      <sheetData sheetId="4571">
        <row r="7">
          <cell r="AI7">
            <v>10000</v>
          </cell>
        </row>
      </sheetData>
      <sheetData sheetId="4572">
        <row r="7">
          <cell r="AI7">
            <v>10000</v>
          </cell>
        </row>
      </sheetData>
      <sheetData sheetId="4573">
        <row r="7">
          <cell r="AI7">
            <v>10000</v>
          </cell>
        </row>
      </sheetData>
      <sheetData sheetId="4574">
        <row r="7">
          <cell r="AI7">
            <v>10000</v>
          </cell>
        </row>
      </sheetData>
      <sheetData sheetId="4575">
        <row r="7">
          <cell r="AI7">
            <v>10000</v>
          </cell>
        </row>
      </sheetData>
      <sheetData sheetId="4576">
        <row r="7">
          <cell r="AI7">
            <v>10000</v>
          </cell>
        </row>
      </sheetData>
      <sheetData sheetId="4577">
        <row r="7">
          <cell r="AI7">
            <v>10000</v>
          </cell>
        </row>
      </sheetData>
      <sheetData sheetId="4578">
        <row r="7">
          <cell r="AI7">
            <v>10000</v>
          </cell>
        </row>
      </sheetData>
      <sheetData sheetId="4579">
        <row r="7">
          <cell r="AI7">
            <v>10000</v>
          </cell>
        </row>
      </sheetData>
      <sheetData sheetId="4580">
        <row r="7">
          <cell r="AI7">
            <v>10000</v>
          </cell>
        </row>
      </sheetData>
      <sheetData sheetId="4581">
        <row r="7">
          <cell r="AI7">
            <v>10000</v>
          </cell>
        </row>
      </sheetData>
      <sheetData sheetId="4582">
        <row r="7">
          <cell r="AI7">
            <v>10000</v>
          </cell>
        </row>
      </sheetData>
      <sheetData sheetId="4583">
        <row r="7">
          <cell r="AI7">
            <v>10000</v>
          </cell>
        </row>
      </sheetData>
      <sheetData sheetId="4584">
        <row r="7">
          <cell r="AI7">
            <v>10000</v>
          </cell>
        </row>
      </sheetData>
      <sheetData sheetId="4585">
        <row r="7">
          <cell r="AI7">
            <v>10000</v>
          </cell>
        </row>
      </sheetData>
      <sheetData sheetId="4586">
        <row r="7">
          <cell r="AI7">
            <v>10000</v>
          </cell>
        </row>
      </sheetData>
      <sheetData sheetId="4587">
        <row r="7">
          <cell r="AI7">
            <v>10000</v>
          </cell>
        </row>
      </sheetData>
      <sheetData sheetId="4588">
        <row r="7">
          <cell r="AI7">
            <v>10000</v>
          </cell>
        </row>
      </sheetData>
      <sheetData sheetId="4589">
        <row r="7">
          <cell r="AI7">
            <v>10000</v>
          </cell>
        </row>
      </sheetData>
      <sheetData sheetId="4590">
        <row r="7">
          <cell r="AI7">
            <v>10000</v>
          </cell>
        </row>
      </sheetData>
      <sheetData sheetId="4591">
        <row r="7">
          <cell r="AI7">
            <v>10000</v>
          </cell>
        </row>
      </sheetData>
      <sheetData sheetId="4592">
        <row r="7">
          <cell r="AI7">
            <v>10000</v>
          </cell>
        </row>
      </sheetData>
      <sheetData sheetId="4593">
        <row r="7">
          <cell r="AI7">
            <v>10000</v>
          </cell>
        </row>
      </sheetData>
      <sheetData sheetId="4594">
        <row r="7">
          <cell r="AI7">
            <v>10000</v>
          </cell>
        </row>
      </sheetData>
      <sheetData sheetId="4595">
        <row r="7">
          <cell r="AI7">
            <v>10000</v>
          </cell>
        </row>
      </sheetData>
      <sheetData sheetId="4596">
        <row r="7">
          <cell r="AI7">
            <v>10000</v>
          </cell>
        </row>
      </sheetData>
      <sheetData sheetId="4597">
        <row r="7">
          <cell r="AI7">
            <v>10000</v>
          </cell>
        </row>
      </sheetData>
      <sheetData sheetId="4598">
        <row r="7">
          <cell r="AI7">
            <v>10000</v>
          </cell>
        </row>
      </sheetData>
      <sheetData sheetId="4599">
        <row r="7">
          <cell r="AI7">
            <v>10000</v>
          </cell>
        </row>
      </sheetData>
      <sheetData sheetId="4600">
        <row r="7">
          <cell r="AI7">
            <v>10000</v>
          </cell>
        </row>
      </sheetData>
      <sheetData sheetId="4601">
        <row r="7">
          <cell r="AI7">
            <v>10000</v>
          </cell>
        </row>
      </sheetData>
      <sheetData sheetId="4602">
        <row r="7">
          <cell r="AI7">
            <v>10000</v>
          </cell>
        </row>
      </sheetData>
      <sheetData sheetId="4603">
        <row r="7">
          <cell r="AI7">
            <v>10000</v>
          </cell>
        </row>
      </sheetData>
      <sheetData sheetId="4604">
        <row r="7">
          <cell r="AI7">
            <v>10000</v>
          </cell>
        </row>
      </sheetData>
      <sheetData sheetId="4605">
        <row r="7">
          <cell r="AI7">
            <v>10000</v>
          </cell>
        </row>
      </sheetData>
      <sheetData sheetId="4606">
        <row r="7">
          <cell r="AI7">
            <v>10000</v>
          </cell>
        </row>
      </sheetData>
      <sheetData sheetId="4607">
        <row r="7">
          <cell r="AI7">
            <v>10000</v>
          </cell>
        </row>
      </sheetData>
      <sheetData sheetId="4608">
        <row r="7">
          <cell r="AI7">
            <v>10000</v>
          </cell>
        </row>
      </sheetData>
      <sheetData sheetId="4609">
        <row r="7">
          <cell r="AI7">
            <v>10000</v>
          </cell>
        </row>
      </sheetData>
      <sheetData sheetId="4610">
        <row r="7">
          <cell r="AI7">
            <v>10000</v>
          </cell>
        </row>
      </sheetData>
      <sheetData sheetId="4611">
        <row r="7">
          <cell r="AI7">
            <v>10000</v>
          </cell>
        </row>
      </sheetData>
      <sheetData sheetId="4612">
        <row r="7">
          <cell r="AI7">
            <v>10000</v>
          </cell>
        </row>
      </sheetData>
      <sheetData sheetId="4613">
        <row r="7">
          <cell r="AI7">
            <v>10000</v>
          </cell>
        </row>
      </sheetData>
      <sheetData sheetId="4614">
        <row r="7">
          <cell r="AI7">
            <v>10000</v>
          </cell>
        </row>
      </sheetData>
      <sheetData sheetId="4615">
        <row r="7">
          <cell r="AI7">
            <v>10000</v>
          </cell>
        </row>
      </sheetData>
      <sheetData sheetId="4616">
        <row r="7">
          <cell r="AI7">
            <v>10000</v>
          </cell>
        </row>
      </sheetData>
      <sheetData sheetId="4617">
        <row r="7">
          <cell r="AI7">
            <v>10000</v>
          </cell>
        </row>
      </sheetData>
      <sheetData sheetId="4618">
        <row r="7">
          <cell r="AI7">
            <v>10000</v>
          </cell>
        </row>
      </sheetData>
      <sheetData sheetId="4619">
        <row r="7">
          <cell r="AI7">
            <v>10000</v>
          </cell>
        </row>
      </sheetData>
      <sheetData sheetId="4620">
        <row r="7">
          <cell r="AI7">
            <v>10000</v>
          </cell>
        </row>
      </sheetData>
      <sheetData sheetId="4621">
        <row r="7">
          <cell r="AI7">
            <v>10000</v>
          </cell>
        </row>
      </sheetData>
      <sheetData sheetId="4622">
        <row r="7">
          <cell r="AI7">
            <v>10000</v>
          </cell>
        </row>
      </sheetData>
      <sheetData sheetId="4623">
        <row r="7">
          <cell r="AI7">
            <v>10000</v>
          </cell>
        </row>
      </sheetData>
      <sheetData sheetId="4624">
        <row r="7">
          <cell r="AI7">
            <v>10000</v>
          </cell>
        </row>
      </sheetData>
      <sheetData sheetId="4625">
        <row r="7">
          <cell r="AI7">
            <v>10000</v>
          </cell>
        </row>
      </sheetData>
      <sheetData sheetId="4626">
        <row r="7">
          <cell r="AI7">
            <v>10000</v>
          </cell>
        </row>
      </sheetData>
      <sheetData sheetId="4627">
        <row r="7">
          <cell r="AI7">
            <v>10000</v>
          </cell>
        </row>
      </sheetData>
      <sheetData sheetId="4628">
        <row r="7">
          <cell r="AI7">
            <v>10000</v>
          </cell>
        </row>
      </sheetData>
      <sheetData sheetId="4629">
        <row r="7">
          <cell r="AI7">
            <v>10000</v>
          </cell>
        </row>
      </sheetData>
      <sheetData sheetId="4630">
        <row r="7">
          <cell r="AI7">
            <v>10000</v>
          </cell>
        </row>
      </sheetData>
      <sheetData sheetId="4631">
        <row r="7">
          <cell r="AI7">
            <v>10000</v>
          </cell>
        </row>
      </sheetData>
      <sheetData sheetId="4632">
        <row r="7">
          <cell r="AI7">
            <v>10000</v>
          </cell>
        </row>
      </sheetData>
      <sheetData sheetId="4633">
        <row r="7">
          <cell r="AI7">
            <v>10000</v>
          </cell>
        </row>
      </sheetData>
      <sheetData sheetId="4634">
        <row r="7">
          <cell r="AI7">
            <v>10000</v>
          </cell>
        </row>
      </sheetData>
      <sheetData sheetId="4635">
        <row r="7">
          <cell r="AI7">
            <v>10000</v>
          </cell>
        </row>
      </sheetData>
      <sheetData sheetId="4636">
        <row r="7">
          <cell r="AI7">
            <v>10000</v>
          </cell>
        </row>
      </sheetData>
      <sheetData sheetId="4637">
        <row r="7">
          <cell r="AI7">
            <v>10000</v>
          </cell>
        </row>
      </sheetData>
      <sheetData sheetId="4638">
        <row r="7">
          <cell r="AI7">
            <v>10000</v>
          </cell>
        </row>
      </sheetData>
      <sheetData sheetId="4639">
        <row r="7">
          <cell r="AI7">
            <v>10000</v>
          </cell>
        </row>
      </sheetData>
      <sheetData sheetId="4640">
        <row r="7">
          <cell r="AI7">
            <v>10000</v>
          </cell>
        </row>
      </sheetData>
      <sheetData sheetId="4641">
        <row r="7">
          <cell r="AI7">
            <v>10000</v>
          </cell>
        </row>
      </sheetData>
      <sheetData sheetId="4642">
        <row r="7">
          <cell r="AI7">
            <v>10000</v>
          </cell>
        </row>
      </sheetData>
      <sheetData sheetId="4643">
        <row r="7">
          <cell r="AI7">
            <v>10000</v>
          </cell>
        </row>
      </sheetData>
      <sheetData sheetId="4644">
        <row r="7">
          <cell r="AI7">
            <v>10000</v>
          </cell>
        </row>
      </sheetData>
      <sheetData sheetId="4645">
        <row r="7">
          <cell r="AI7">
            <v>10000</v>
          </cell>
        </row>
      </sheetData>
      <sheetData sheetId="4646">
        <row r="7">
          <cell r="AI7">
            <v>10000</v>
          </cell>
        </row>
      </sheetData>
      <sheetData sheetId="4647">
        <row r="7">
          <cell r="AI7">
            <v>10000</v>
          </cell>
        </row>
      </sheetData>
      <sheetData sheetId="4648">
        <row r="7">
          <cell r="AI7">
            <v>10000</v>
          </cell>
        </row>
      </sheetData>
      <sheetData sheetId="4649">
        <row r="7">
          <cell r="AI7">
            <v>10000</v>
          </cell>
        </row>
      </sheetData>
      <sheetData sheetId="4650">
        <row r="7">
          <cell r="AI7">
            <v>10000</v>
          </cell>
        </row>
      </sheetData>
      <sheetData sheetId="4651">
        <row r="7">
          <cell r="AI7">
            <v>10000</v>
          </cell>
        </row>
      </sheetData>
      <sheetData sheetId="4652">
        <row r="7">
          <cell r="AI7">
            <v>10000</v>
          </cell>
        </row>
      </sheetData>
      <sheetData sheetId="4653">
        <row r="7">
          <cell r="AI7">
            <v>10000</v>
          </cell>
        </row>
      </sheetData>
      <sheetData sheetId="4654">
        <row r="7">
          <cell r="AI7">
            <v>10000</v>
          </cell>
        </row>
      </sheetData>
      <sheetData sheetId="4655">
        <row r="7">
          <cell r="AI7">
            <v>10000</v>
          </cell>
        </row>
      </sheetData>
      <sheetData sheetId="4656">
        <row r="7">
          <cell r="AI7">
            <v>10000</v>
          </cell>
        </row>
      </sheetData>
      <sheetData sheetId="4657">
        <row r="7">
          <cell r="AI7">
            <v>10000</v>
          </cell>
        </row>
      </sheetData>
      <sheetData sheetId="4658">
        <row r="7">
          <cell r="AI7">
            <v>10000</v>
          </cell>
        </row>
      </sheetData>
      <sheetData sheetId="4659">
        <row r="7">
          <cell r="AI7">
            <v>10000</v>
          </cell>
        </row>
      </sheetData>
      <sheetData sheetId="4660">
        <row r="7">
          <cell r="AI7">
            <v>10000</v>
          </cell>
        </row>
      </sheetData>
      <sheetData sheetId="4661">
        <row r="7">
          <cell r="AI7">
            <v>10000</v>
          </cell>
        </row>
      </sheetData>
      <sheetData sheetId="4662">
        <row r="7">
          <cell r="AI7">
            <v>10000</v>
          </cell>
        </row>
      </sheetData>
      <sheetData sheetId="4663">
        <row r="7">
          <cell r="AI7">
            <v>10000</v>
          </cell>
        </row>
      </sheetData>
      <sheetData sheetId="4664">
        <row r="7">
          <cell r="AI7">
            <v>10000</v>
          </cell>
        </row>
      </sheetData>
      <sheetData sheetId="4665">
        <row r="7">
          <cell r="AI7">
            <v>10000</v>
          </cell>
        </row>
      </sheetData>
      <sheetData sheetId="4666">
        <row r="7">
          <cell r="AI7">
            <v>10000</v>
          </cell>
        </row>
      </sheetData>
      <sheetData sheetId="4667">
        <row r="7">
          <cell r="AI7">
            <v>10000</v>
          </cell>
        </row>
      </sheetData>
      <sheetData sheetId="4668">
        <row r="7">
          <cell r="AI7">
            <v>10000</v>
          </cell>
        </row>
      </sheetData>
      <sheetData sheetId="4669">
        <row r="7">
          <cell r="AI7">
            <v>10000</v>
          </cell>
        </row>
      </sheetData>
      <sheetData sheetId="4670">
        <row r="7">
          <cell r="AI7">
            <v>10000</v>
          </cell>
        </row>
      </sheetData>
      <sheetData sheetId="4671">
        <row r="7">
          <cell r="AI7">
            <v>10000</v>
          </cell>
        </row>
      </sheetData>
      <sheetData sheetId="4672">
        <row r="7">
          <cell r="AI7">
            <v>10000</v>
          </cell>
        </row>
      </sheetData>
      <sheetData sheetId="4673">
        <row r="7">
          <cell r="AI7">
            <v>10000</v>
          </cell>
        </row>
      </sheetData>
      <sheetData sheetId="4674">
        <row r="7">
          <cell r="AI7">
            <v>10000</v>
          </cell>
        </row>
      </sheetData>
      <sheetData sheetId="4675">
        <row r="7">
          <cell r="AI7">
            <v>10000</v>
          </cell>
        </row>
      </sheetData>
      <sheetData sheetId="4676">
        <row r="7">
          <cell r="AI7">
            <v>10000</v>
          </cell>
        </row>
      </sheetData>
      <sheetData sheetId="4677">
        <row r="7">
          <cell r="AI7">
            <v>10000</v>
          </cell>
        </row>
      </sheetData>
      <sheetData sheetId="4678">
        <row r="7">
          <cell r="AI7">
            <v>10000</v>
          </cell>
        </row>
      </sheetData>
      <sheetData sheetId="4679">
        <row r="7">
          <cell r="AI7">
            <v>10000</v>
          </cell>
        </row>
      </sheetData>
      <sheetData sheetId="4680">
        <row r="7">
          <cell r="AI7">
            <v>10000</v>
          </cell>
        </row>
      </sheetData>
      <sheetData sheetId="4681">
        <row r="7">
          <cell r="AI7">
            <v>10000</v>
          </cell>
        </row>
      </sheetData>
      <sheetData sheetId="4682">
        <row r="7">
          <cell r="AI7">
            <v>10000</v>
          </cell>
        </row>
      </sheetData>
      <sheetData sheetId="4683">
        <row r="7">
          <cell r="AI7">
            <v>10000</v>
          </cell>
        </row>
      </sheetData>
      <sheetData sheetId="4684">
        <row r="7">
          <cell r="AI7">
            <v>10000</v>
          </cell>
        </row>
      </sheetData>
      <sheetData sheetId="4685">
        <row r="7">
          <cell r="AI7">
            <v>10000</v>
          </cell>
        </row>
      </sheetData>
      <sheetData sheetId="4686">
        <row r="7">
          <cell r="AI7">
            <v>10000</v>
          </cell>
        </row>
      </sheetData>
      <sheetData sheetId="4687">
        <row r="7">
          <cell r="AI7">
            <v>10000</v>
          </cell>
        </row>
      </sheetData>
      <sheetData sheetId="4688">
        <row r="7">
          <cell r="AI7">
            <v>10000</v>
          </cell>
        </row>
      </sheetData>
      <sheetData sheetId="4689">
        <row r="7">
          <cell r="AI7">
            <v>10000</v>
          </cell>
        </row>
      </sheetData>
      <sheetData sheetId="4690">
        <row r="7">
          <cell r="AI7">
            <v>10000</v>
          </cell>
        </row>
      </sheetData>
      <sheetData sheetId="4691">
        <row r="7">
          <cell r="AI7">
            <v>10000</v>
          </cell>
        </row>
      </sheetData>
      <sheetData sheetId="4692">
        <row r="7">
          <cell r="AI7">
            <v>10000</v>
          </cell>
        </row>
      </sheetData>
      <sheetData sheetId="4693">
        <row r="7">
          <cell r="AI7">
            <v>10000</v>
          </cell>
        </row>
      </sheetData>
      <sheetData sheetId="4694">
        <row r="7">
          <cell r="AI7">
            <v>10000</v>
          </cell>
        </row>
      </sheetData>
      <sheetData sheetId="4695">
        <row r="7">
          <cell r="AI7">
            <v>10000</v>
          </cell>
        </row>
      </sheetData>
      <sheetData sheetId="4696">
        <row r="7">
          <cell r="AI7">
            <v>10000</v>
          </cell>
        </row>
      </sheetData>
      <sheetData sheetId="4697">
        <row r="7">
          <cell r="AI7">
            <v>10000</v>
          </cell>
        </row>
      </sheetData>
      <sheetData sheetId="4698">
        <row r="7">
          <cell r="AI7">
            <v>10000</v>
          </cell>
        </row>
      </sheetData>
      <sheetData sheetId="4699">
        <row r="7">
          <cell r="AI7">
            <v>10000</v>
          </cell>
        </row>
      </sheetData>
      <sheetData sheetId="4700">
        <row r="7">
          <cell r="AI7">
            <v>10000</v>
          </cell>
        </row>
      </sheetData>
      <sheetData sheetId="4701">
        <row r="7">
          <cell r="AI7">
            <v>10000</v>
          </cell>
        </row>
      </sheetData>
      <sheetData sheetId="4702">
        <row r="7">
          <cell r="AI7">
            <v>10000</v>
          </cell>
        </row>
      </sheetData>
      <sheetData sheetId="4703">
        <row r="7">
          <cell r="AI7">
            <v>10000</v>
          </cell>
        </row>
      </sheetData>
      <sheetData sheetId="4704">
        <row r="7">
          <cell r="AI7">
            <v>10000</v>
          </cell>
        </row>
      </sheetData>
      <sheetData sheetId="4705">
        <row r="7">
          <cell r="AI7">
            <v>10000</v>
          </cell>
        </row>
      </sheetData>
      <sheetData sheetId="4706">
        <row r="7">
          <cell r="AI7">
            <v>10000</v>
          </cell>
        </row>
      </sheetData>
      <sheetData sheetId="4707">
        <row r="7">
          <cell r="AI7">
            <v>10000</v>
          </cell>
        </row>
      </sheetData>
      <sheetData sheetId="4708">
        <row r="7">
          <cell r="AI7">
            <v>10000</v>
          </cell>
        </row>
      </sheetData>
      <sheetData sheetId="4709">
        <row r="7">
          <cell r="AI7">
            <v>10000</v>
          </cell>
        </row>
      </sheetData>
      <sheetData sheetId="4710">
        <row r="7">
          <cell r="AI7">
            <v>10000</v>
          </cell>
        </row>
      </sheetData>
      <sheetData sheetId="4711">
        <row r="7">
          <cell r="AI7">
            <v>10000</v>
          </cell>
        </row>
      </sheetData>
      <sheetData sheetId="4712">
        <row r="7">
          <cell r="AI7">
            <v>10000</v>
          </cell>
        </row>
      </sheetData>
      <sheetData sheetId="4713">
        <row r="7">
          <cell r="AI7">
            <v>10000</v>
          </cell>
        </row>
      </sheetData>
      <sheetData sheetId="4714">
        <row r="7">
          <cell r="AI7">
            <v>10000</v>
          </cell>
        </row>
      </sheetData>
      <sheetData sheetId="4715">
        <row r="7">
          <cell r="AI7">
            <v>10000</v>
          </cell>
        </row>
      </sheetData>
      <sheetData sheetId="4716">
        <row r="7">
          <cell r="AI7">
            <v>10000</v>
          </cell>
        </row>
      </sheetData>
      <sheetData sheetId="4717">
        <row r="7">
          <cell r="AI7">
            <v>10000</v>
          </cell>
        </row>
      </sheetData>
      <sheetData sheetId="4718">
        <row r="7">
          <cell r="AI7">
            <v>10000</v>
          </cell>
        </row>
      </sheetData>
      <sheetData sheetId="4719">
        <row r="7">
          <cell r="AI7">
            <v>10000</v>
          </cell>
        </row>
      </sheetData>
      <sheetData sheetId="4720">
        <row r="7">
          <cell r="AI7">
            <v>10000</v>
          </cell>
        </row>
      </sheetData>
      <sheetData sheetId="4721">
        <row r="7">
          <cell r="AI7">
            <v>10000</v>
          </cell>
        </row>
      </sheetData>
      <sheetData sheetId="4722">
        <row r="7">
          <cell r="AI7">
            <v>10000</v>
          </cell>
        </row>
      </sheetData>
      <sheetData sheetId="4723">
        <row r="7">
          <cell r="AI7">
            <v>10000</v>
          </cell>
        </row>
      </sheetData>
      <sheetData sheetId="4724">
        <row r="7">
          <cell r="AI7">
            <v>10000</v>
          </cell>
        </row>
      </sheetData>
      <sheetData sheetId="4725">
        <row r="7">
          <cell r="AI7">
            <v>10000</v>
          </cell>
        </row>
      </sheetData>
      <sheetData sheetId="4726">
        <row r="7">
          <cell r="AI7">
            <v>10000</v>
          </cell>
        </row>
      </sheetData>
      <sheetData sheetId="4727">
        <row r="7">
          <cell r="AI7">
            <v>10000</v>
          </cell>
        </row>
      </sheetData>
      <sheetData sheetId="4728">
        <row r="7">
          <cell r="AI7">
            <v>10000</v>
          </cell>
        </row>
      </sheetData>
      <sheetData sheetId="4729">
        <row r="7">
          <cell r="AI7">
            <v>10000</v>
          </cell>
        </row>
      </sheetData>
      <sheetData sheetId="4730">
        <row r="7">
          <cell r="AI7">
            <v>10000</v>
          </cell>
        </row>
      </sheetData>
      <sheetData sheetId="4731">
        <row r="7">
          <cell r="AI7">
            <v>10000</v>
          </cell>
        </row>
      </sheetData>
      <sheetData sheetId="4732">
        <row r="7">
          <cell r="AI7">
            <v>10000</v>
          </cell>
        </row>
      </sheetData>
      <sheetData sheetId="4733">
        <row r="7">
          <cell r="AI7">
            <v>10000</v>
          </cell>
        </row>
      </sheetData>
      <sheetData sheetId="4734">
        <row r="7">
          <cell r="AI7">
            <v>10000</v>
          </cell>
        </row>
      </sheetData>
      <sheetData sheetId="4735">
        <row r="7">
          <cell r="AI7">
            <v>10000</v>
          </cell>
        </row>
      </sheetData>
      <sheetData sheetId="4736">
        <row r="7">
          <cell r="AI7">
            <v>10000</v>
          </cell>
        </row>
      </sheetData>
      <sheetData sheetId="4737">
        <row r="7">
          <cell r="AI7">
            <v>10000</v>
          </cell>
        </row>
      </sheetData>
      <sheetData sheetId="4738">
        <row r="7">
          <cell r="AI7">
            <v>10000</v>
          </cell>
        </row>
      </sheetData>
      <sheetData sheetId="4739">
        <row r="7">
          <cell r="AI7">
            <v>10000</v>
          </cell>
        </row>
      </sheetData>
      <sheetData sheetId="4740">
        <row r="7">
          <cell r="AI7">
            <v>10000</v>
          </cell>
        </row>
      </sheetData>
      <sheetData sheetId="4741">
        <row r="7">
          <cell r="AI7">
            <v>10000</v>
          </cell>
        </row>
      </sheetData>
      <sheetData sheetId="4742">
        <row r="7">
          <cell r="AI7">
            <v>10000</v>
          </cell>
        </row>
      </sheetData>
      <sheetData sheetId="4743">
        <row r="7">
          <cell r="AI7">
            <v>10000</v>
          </cell>
        </row>
      </sheetData>
      <sheetData sheetId="4744">
        <row r="7">
          <cell r="AI7">
            <v>10000</v>
          </cell>
        </row>
      </sheetData>
      <sheetData sheetId="4745">
        <row r="7">
          <cell r="AI7">
            <v>10000</v>
          </cell>
        </row>
      </sheetData>
      <sheetData sheetId="4746">
        <row r="7">
          <cell r="AI7">
            <v>10000</v>
          </cell>
        </row>
      </sheetData>
      <sheetData sheetId="4747">
        <row r="7">
          <cell r="AI7">
            <v>10000</v>
          </cell>
        </row>
      </sheetData>
      <sheetData sheetId="4748">
        <row r="7">
          <cell r="AI7">
            <v>10000</v>
          </cell>
        </row>
      </sheetData>
      <sheetData sheetId="4749">
        <row r="7">
          <cell r="AI7">
            <v>10000</v>
          </cell>
        </row>
      </sheetData>
      <sheetData sheetId="4750">
        <row r="7">
          <cell r="AI7">
            <v>10000</v>
          </cell>
        </row>
      </sheetData>
      <sheetData sheetId="4751">
        <row r="7">
          <cell r="AI7">
            <v>10000</v>
          </cell>
        </row>
      </sheetData>
      <sheetData sheetId="4752">
        <row r="7">
          <cell r="AI7">
            <v>10000</v>
          </cell>
        </row>
      </sheetData>
      <sheetData sheetId="4753">
        <row r="7">
          <cell r="AI7">
            <v>10000</v>
          </cell>
        </row>
      </sheetData>
      <sheetData sheetId="4754">
        <row r="7">
          <cell r="AI7">
            <v>10000</v>
          </cell>
        </row>
      </sheetData>
      <sheetData sheetId="4755">
        <row r="7">
          <cell r="AI7">
            <v>10000</v>
          </cell>
        </row>
      </sheetData>
      <sheetData sheetId="4756">
        <row r="7">
          <cell r="AI7">
            <v>10000</v>
          </cell>
        </row>
      </sheetData>
      <sheetData sheetId="4757">
        <row r="7">
          <cell r="AI7">
            <v>10000</v>
          </cell>
        </row>
      </sheetData>
      <sheetData sheetId="4758">
        <row r="7">
          <cell r="AI7">
            <v>10000</v>
          </cell>
        </row>
      </sheetData>
      <sheetData sheetId="4759">
        <row r="7">
          <cell r="AI7">
            <v>10000</v>
          </cell>
        </row>
      </sheetData>
      <sheetData sheetId="4760">
        <row r="7">
          <cell r="AI7">
            <v>10000</v>
          </cell>
        </row>
      </sheetData>
      <sheetData sheetId="4761">
        <row r="7">
          <cell r="AI7">
            <v>10000</v>
          </cell>
        </row>
      </sheetData>
      <sheetData sheetId="4762">
        <row r="7">
          <cell r="AI7">
            <v>10000</v>
          </cell>
        </row>
      </sheetData>
      <sheetData sheetId="4763">
        <row r="7">
          <cell r="AI7">
            <v>10000</v>
          </cell>
        </row>
      </sheetData>
      <sheetData sheetId="4764">
        <row r="7">
          <cell r="AI7">
            <v>10000</v>
          </cell>
        </row>
      </sheetData>
      <sheetData sheetId="4765">
        <row r="7">
          <cell r="AI7">
            <v>10000</v>
          </cell>
        </row>
      </sheetData>
      <sheetData sheetId="4766">
        <row r="7">
          <cell r="AI7">
            <v>10000</v>
          </cell>
        </row>
      </sheetData>
      <sheetData sheetId="4767">
        <row r="7">
          <cell r="AI7">
            <v>10000</v>
          </cell>
        </row>
      </sheetData>
      <sheetData sheetId="4768">
        <row r="7">
          <cell r="AI7">
            <v>10000</v>
          </cell>
        </row>
      </sheetData>
      <sheetData sheetId="4769">
        <row r="7">
          <cell r="AI7">
            <v>10000</v>
          </cell>
        </row>
      </sheetData>
      <sheetData sheetId="4770">
        <row r="7">
          <cell r="AI7">
            <v>10000</v>
          </cell>
        </row>
      </sheetData>
      <sheetData sheetId="4771">
        <row r="7">
          <cell r="AI7">
            <v>10000</v>
          </cell>
        </row>
      </sheetData>
      <sheetData sheetId="4772">
        <row r="7">
          <cell r="AI7">
            <v>10000</v>
          </cell>
        </row>
      </sheetData>
      <sheetData sheetId="4773">
        <row r="7">
          <cell r="AI7">
            <v>10000</v>
          </cell>
        </row>
      </sheetData>
      <sheetData sheetId="4774">
        <row r="7">
          <cell r="AI7">
            <v>10000</v>
          </cell>
        </row>
      </sheetData>
      <sheetData sheetId="4775">
        <row r="7">
          <cell r="AI7">
            <v>10000</v>
          </cell>
        </row>
      </sheetData>
      <sheetData sheetId="4776">
        <row r="7">
          <cell r="AI7">
            <v>10000</v>
          </cell>
        </row>
      </sheetData>
      <sheetData sheetId="4777">
        <row r="7">
          <cell r="AI7">
            <v>10000</v>
          </cell>
        </row>
      </sheetData>
      <sheetData sheetId="4778">
        <row r="7">
          <cell r="AI7">
            <v>10000</v>
          </cell>
        </row>
      </sheetData>
      <sheetData sheetId="4779">
        <row r="7">
          <cell r="AI7">
            <v>10000</v>
          </cell>
        </row>
      </sheetData>
      <sheetData sheetId="4780">
        <row r="7">
          <cell r="AI7">
            <v>10000</v>
          </cell>
        </row>
      </sheetData>
      <sheetData sheetId="4781">
        <row r="7">
          <cell r="AI7">
            <v>10000</v>
          </cell>
        </row>
      </sheetData>
      <sheetData sheetId="4782">
        <row r="7">
          <cell r="AI7">
            <v>10000</v>
          </cell>
        </row>
      </sheetData>
      <sheetData sheetId="4783">
        <row r="7">
          <cell r="AI7">
            <v>10000</v>
          </cell>
        </row>
      </sheetData>
      <sheetData sheetId="4784">
        <row r="7">
          <cell r="AI7">
            <v>10000</v>
          </cell>
        </row>
      </sheetData>
      <sheetData sheetId="4785">
        <row r="7">
          <cell r="AI7">
            <v>10000</v>
          </cell>
        </row>
      </sheetData>
      <sheetData sheetId="4786">
        <row r="7">
          <cell r="AI7">
            <v>10000</v>
          </cell>
        </row>
      </sheetData>
      <sheetData sheetId="4787">
        <row r="7">
          <cell r="AI7">
            <v>10000</v>
          </cell>
        </row>
      </sheetData>
      <sheetData sheetId="4788">
        <row r="7">
          <cell r="AI7">
            <v>10000</v>
          </cell>
        </row>
      </sheetData>
      <sheetData sheetId="4789">
        <row r="7">
          <cell r="AI7">
            <v>10000</v>
          </cell>
        </row>
      </sheetData>
      <sheetData sheetId="4790">
        <row r="7">
          <cell r="AI7">
            <v>10000</v>
          </cell>
        </row>
      </sheetData>
      <sheetData sheetId="4791">
        <row r="7">
          <cell r="AI7">
            <v>10000</v>
          </cell>
        </row>
      </sheetData>
      <sheetData sheetId="4792">
        <row r="7">
          <cell r="AI7">
            <v>10000</v>
          </cell>
        </row>
      </sheetData>
      <sheetData sheetId="4793">
        <row r="7">
          <cell r="AI7">
            <v>10000</v>
          </cell>
        </row>
      </sheetData>
      <sheetData sheetId="4794">
        <row r="7">
          <cell r="AI7">
            <v>10000</v>
          </cell>
        </row>
      </sheetData>
      <sheetData sheetId="4795">
        <row r="7">
          <cell r="AI7">
            <v>10000</v>
          </cell>
        </row>
      </sheetData>
      <sheetData sheetId="4796">
        <row r="7">
          <cell r="AI7">
            <v>10000</v>
          </cell>
        </row>
      </sheetData>
      <sheetData sheetId="4797">
        <row r="7">
          <cell r="AI7">
            <v>10000</v>
          </cell>
        </row>
      </sheetData>
      <sheetData sheetId="4798">
        <row r="7">
          <cell r="AI7">
            <v>10000</v>
          </cell>
        </row>
      </sheetData>
      <sheetData sheetId="4799">
        <row r="7">
          <cell r="AI7">
            <v>10000</v>
          </cell>
        </row>
      </sheetData>
      <sheetData sheetId="4800">
        <row r="7">
          <cell r="AI7">
            <v>10000</v>
          </cell>
        </row>
      </sheetData>
      <sheetData sheetId="4801">
        <row r="7">
          <cell r="AI7">
            <v>10000</v>
          </cell>
        </row>
      </sheetData>
      <sheetData sheetId="4802">
        <row r="7">
          <cell r="AI7">
            <v>10000</v>
          </cell>
        </row>
      </sheetData>
      <sheetData sheetId="4803">
        <row r="7">
          <cell r="AI7">
            <v>10000</v>
          </cell>
        </row>
      </sheetData>
      <sheetData sheetId="4804">
        <row r="7">
          <cell r="AI7">
            <v>10000</v>
          </cell>
        </row>
      </sheetData>
      <sheetData sheetId="4805">
        <row r="7">
          <cell r="AI7">
            <v>10000</v>
          </cell>
        </row>
      </sheetData>
      <sheetData sheetId="4806">
        <row r="7">
          <cell r="AI7">
            <v>10000</v>
          </cell>
        </row>
      </sheetData>
      <sheetData sheetId="4807">
        <row r="7">
          <cell r="AI7">
            <v>10000</v>
          </cell>
        </row>
      </sheetData>
      <sheetData sheetId="4808">
        <row r="7">
          <cell r="AI7">
            <v>10000</v>
          </cell>
        </row>
      </sheetData>
      <sheetData sheetId="4809">
        <row r="7">
          <cell r="AI7">
            <v>10000</v>
          </cell>
        </row>
      </sheetData>
      <sheetData sheetId="4810">
        <row r="7">
          <cell r="AI7">
            <v>10000</v>
          </cell>
        </row>
      </sheetData>
      <sheetData sheetId="4811">
        <row r="7">
          <cell r="AI7">
            <v>10000</v>
          </cell>
        </row>
      </sheetData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>
        <row r="7">
          <cell r="AI7">
            <v>10000</v>
          </cell>
        </row>
      </sheetData>
      <sheetData sheetId="4830" refreshError="1"/>
      <sheetData sheetId="4831" refreshError="1"/>
      <sheetData sheetId="4832">
        <row r="7">
          <cell r="AI7">
            <v>10000</v>
          </cell>
        </row>
      </sheetData>
      <sheetData sheetId="4833">
        <row r="7">
          <cell r="AI7">
            <v>10000</v>
          </cell>
        </row>
      </sheetData>
      <sheetData sheetId="4834">
        <row r="7">
          <cell r="AI7">
            <v>10000</v>
          </cell>
        </row>
      </sheetData>
      <sheetData sheetId="4835">
        <row r="7">
          <cell r="AI7">
            <v>10000</v>
          </cell>
        </row>
      </sheetData>
      <sheetData sheetId="4836">
        <row r="7">
          <cell r="AI7">
            <v>10000</v>
          </cell>
        </row>
      </sheetData>
      <sheetData sheetId="4837">
        <row r="7">
          <cell r="AI7">
            <v>10000</v>
          </cell>
        </row>
      </sheetData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>
        <row r="7">
          <cell r="AI7">
            <v>10000</v>
          </cell>
        </row>
      </sheetData>
      <sheetData sheetId="4845" refreshError="1"/>
      <sheetData sheetId="4846">
        <row r="7">
          <cell r="AI7">
            <v>10000</v>
          </cell>
        </row>
      </sheetData>
      <sheetData sheetId="4847">
        <row r="7">
          <cell r="AI7">
            <v>10000</v>
          </cell>
        </row>
      </sheetData>
      <sheetData sheetId="4848">
        <row r="7">
          <cell r="AI7">
            <v>10000</v>
          </cell>
        </row>
      </sheetData>
      <sheetData sheetId="4849">
        <row r="7">
          <cell r="AI7">
            <v>10000</v>
          </cell>
        </row>
      </sheetData>
      <sheetData sheetId="4850">
        <row r="7">
          <cell r="AI7">
            <v>10000</v>
          </cell>
        </row>
      </sheetData>
      <sheetData sheetId="4851">
        <row r="7">
          <cell r="AI7">
            <v>10000</v>
          </cell>
        </row>
      </sheetData>
      <sheetData sheetId="4852">
        <row r="7">
          <cell r="AI7">
            <v>10000</v>
          </cell>
        </row>
      </sheetData>
      <sheetData sheetId="4853">
        <row r="7">
          <cell r="AI7">
            <v>10000</v>
          </cell>
        </row>
      </sheetData>
      <sheetData sheetId="4854">
        <row r="7">
          <cell r="AI7">
            <v>10000</v>
          </cell>
        </row>
      </sheetData>
      <sheetData sheetId="4855" refreshError="1"/>
      <sheetData sheetId="4856">
        <row r="7">
          <cell r="AI7">
            <v>10000</v>
          </cell>
        </row>
      </sheetData>
      <sheetData sheetId="4857">
        <row r="7">
          <cell r="AI7">
            <v>10000</v>
          </cell>
        </row>
      </sheetData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>
        <row r="7">
          <cell r="AI7">
            <v>10000</v>
          </cell>
        </row>
      </sheetData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>
        <row r="7">
          <cell r="AI7">
            <v>10000</v>
          </cell>
        </row>
      </sheetData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>
        <row r="7">
          <cell r="AI7">
            <v>10000</v>
          </cell>
        </row>
      </sheetData>
      <sheetData sheetId="4893">
        <row r="7">
          <cell r="AI7">
            <v>10000</v>
          </cell>
        </row>
      </sheetData>
      <sheetData sheetId="4894" refreshError="1"/>
      <sheetData sheetId="4895" refreshError="1"/>
      <sheetData sheetId="4896">
        <row r="7">
          <cell r="AI7">
            <v>10000</v>
          </cell>
        </row>
      </sheetData>
      <sheetData sheetId="4897">
        <row r="7">
          <cell r="AI7">
            <v>10000</v>
          </cell>
        </row>
      </sheetData>
      <sheetData sheetId="4898">
        <row r="7">
          <cell r="AI7">
            <v>10000</v>
          </cell>
        </row>
      </sheetData>
      <sheetData sheetId="4899">
        <row r="7">
          <cell r="AI7">
            <v>10000</v>
          </cell>
        </row>
      </sheetData>
      <sheetData sheetId="4900">
        <row r="7">
          <cell r="AI7">
            <v>10000</v>
          </cell>
        </row>
      </sheetData>
      <sheetData sheetId="4901">
        <row r="7">
          <cell r="AI7">
            <v>10000</v>
          </cell>
        </row>
      </sheetData>
      <sheetData sheetId="4902">
        <row r="7">
          <cell r="AI7">
            <v>10000</v>
          </cell>
        </row>
      </sheetData>
      <sheetData sheetId="4903">
        <row r="7">
          <cell r="AI7">
            <v>10000</v>
          </cell>
        </row>
      </sheetData>
      <sheetData sheetId="4904">
        <row r="7">
          <cell r="AI7">
            <v>10000</v>
          </cell>
        </row>
      </sheetData>
      <sheetData sheetId="4905">
        <row r="7">
          <cell r="AI7">
            <v>10000</v>
          </cell>
        </row>
      </sheetData>
      <sheetData sheetId="4906">
        <row r="7">
          <cell r="AI7">
            <v>10000</v>
          </cell>
        </row>
      </sheetData>
      <sheetData sheetId="4907">
        <row r="7">
          <cell r="AI7">
            <v>10000</v>
          </cell>
        </row>
      </sheetData>
      <sheetData sheetId="4908">
        <row r="7">
          <cell r="AI7">
            <v>10000</v>
          </cell>
        </row>
      </sheetData>
      <sheetData sheetId="4909">
        <row r="7">
          <cell r="AI7">
            <v>10000</v>
          </cell>
        </row>
      </sheetData>
      <sheetData sheetId="4910">
        <row r="7">
          <cell r="AI7">
            <v>10000</v>
          </cell>
        </row>
      </sheetData>
      <sheetData sheetId="4911">
        <row r="7">
          <cell r="AI7">
            <v>10000</v>
          </cell>
        </row>
      </sheetData>
      <sheetData sheetId="4912">
        <row r="7">
          <cell r="AI7">
            <v>10000</v>
          </cell>
        </row>
      </sheetData>
      <sheetData sheetId="4913">
        <row r="7">
          <cell r="AI7">
            <v>10000</v>
          </cell>
        </row>
      </sheetData>
      <sheetData sheetId="4914">
        <row r="7">
          <cell r="AI7">
            <v>10000</v>
          </cell>
        </row>
      </sheetData>
      <sheetData sheetId="4915">
        <row r="7">
          <cell r="AI7">
            <v>10000</v>
          </cell>
        </row>
      </sheetData>
      <sheetData sheetId="4916">
        <row r="7">
          <cell r="AI7">
            <v>10000</v>
          </cell>
        </row>
      </sheetData>
      <sheetData sheetId="4917">
        <row r="7">
          <cell r="AI7">
            <v>10000</v>
          </cell>
        </row>
      </sheetData>
      <sheetData sheetId="4918">
        <row r="7">
          <cell r="AI7">
            <v>10000</v>
          </cell>
        </row>
      </sheetData>
      <sheetData sheetId="4919">
        <row r="7">
          <cell r="AI7">
            <v>10000</v>
          </cell>
        </row>
      </sheetData>
      <sheetData sheetId="4920">
        <row r="7">
          <cell r="AI7">
            <v>10000</v>
          </cell>
        </row>
      </sheetData>
      <sheetData sheetId="4921">
        <row r="7">
          <cell r="AI7">
            <v>10000</v>
          </cell>
        </row>
      </sheetData>
      <sheetData sheetId="4922">
        <row r="7">
          <cell r="AI7">
            <v>10000</v>
          </cell>
        </row>
      </sheetData>
      <sheetData sheetId="4923">
        <row r="7">
          <cell r="AI7">
            <v>10000</v>
          </cell>
        </row>
      </sheetData>
      <sheetData sheetId="4924">
        <row r="7">
          <cell r="AI7">
            <v>10000</v>
          </cell>
        </row>
      </sheetData>
      <sheetData sheetId="4925">
        <row r="7">
          <cell r="AI7">
            <v>10000</v>
          </cell>
        </row>
      </sheetData>
      <sheetData sheetId="4926">
        <row r="7">
          <cell r="AI7">
            <v>10000</v>
          </cell>
        </row>
      </sheetData>
      <sheetData sheetId="4927">
        <row r="7">
          <cell r="AI7">
            <v>10000</v>
          </cell>
        </row>
      </sheetData>
      <sheetData sheetId="4928">
        <row r="7">
          <cell r="AI7">
            <v>10000</v>
          </cell>
        </row>
      </sheetData>
      <sheetData sheetId="4929">
        <row r="7">
          <cell r="AI7">
            <v>10000</v>
          </cell>
        </row>
      </sheetData>
      <sheetData sheetId="4930">
        <row r="7">
          <cell r="AI7">
            <v>10000</v>
          </cell>
        </row>
      </sheetData>
      <sheetData sheetId="4931">
        <row r="7">
          <cell r="AI7">
            <v>10000</v>
          </cell>
        </row>
      </sheetData>
      <sheetData sheetId="4932">
        <row r="7">
          <cell r="AI7">
            <v>10000</v>
          </cell>
        </row>
      </sheetData>
      <sheetData sheetId="4933">
        <row r="7">
          <cell r="AI7">
            <v>10000</v>
          </cell>
        </row>
      </sheetData>
      <sheetData sheetId="4934">
        <row r="7">
          <cell r="AI7">
            <v>10000</v>
          </cell>
        </row>
      </sheetData>
      <sheetData sheetId="4935">
        <row r="7">
          <cell r="AI7">
            <v>10000</v>
          </cell>
        </row>
      </sheetData>
      <sheetData sheetId="4936">
        <row r="7">
          <cell r="AI7">
            <v>10000</v>
          </cell>
        </row>
      </sheetData>
      <sheetData sheetId="4937">
        <row r="7">
          <cell r="AI7">
            <v>10000</v>
          </cell>
        </row>
      </sheetData>
      <sheetData sheetId="4938">
        <row r="7">
          <cell r="AI7">
            <v>10000</v>
          </cell>
        </row>
      </sheetData>
      <sheetData sheetId="4939">
        <row r="7">
          <cell r="AI7">
            <v>10000</v>
          </cell>
        </row>
      </sheetData>
      <sheetData sheetId="4940">
        <row r="7">
          <cell r="AI7">
            <v>10000</v>
          </cell>
        </row>
      </sheetData>
      <sheetData sheetId="4941">
        <row r="7">
          <cell r="AI7">
            <v>10000</v>
          </cell>
        </row>
      </sheetData>
      <sheetData sheetId="4942">
        <row r="7">
          <cell r="AI7">
            <v>10000</v>
          </cell>
        </row>
      </sheetData>
      <sheetData sheetId="4943">
        <row r="7">
          <cell r="AI7">
            <v>10000</v>
          </cell>
        </row>
      </sheetData>
      <sheetData sheetId="4944">
        <row r="7">
          <cell r="AI7">
            <v>10000</v>
          </cell>
        </row>
      </sheetData>
      <sheetData sheetId="4945">
        <row r="7">
          <cell r="AI7">
            <v>10000</v>
          </cell>
        </row>
      </sheetData>
      <sheetData sheetId="4946">
        <row r="7">
          <cell r="AI7">
            <v>10000</v>
          </cell>
        </row>
      </sheetData>
      <sheetData sheetId="4947">
        <row r="7">
          <cell r="AI7">
            <v>10000</v>
          </cell>
        </row>
      </sheetData>
      <sheetData sheetId="4948">
        <row r="7">
          <cell r="AI7">
            <v>10000</v>
          </cell>
        </row>
      </sheetData>
      <sheetData sheetId="4949">
        <row r="7">
          <cell r="AI7">
            <v>10000</v>
          </cell>
        </row>
      </sheetData>
      <sheetData sheetId="4950">
        <row r="7">
          <cell r="AI7">
            <v>10000</v>
          </cell>
        </row>
      </sheetData>
      <sheetData sheetId="4951">
        <row r="7">
          <cell r="AI7">
            <v>10000</v>
          </cell>
        </row>
      </sheetData>
      <sheetData sheetId="4952">
        <row r="7">
          <cell r="AI7">
            <v>10000</v>
          </cell>
        </row>
      </sheetData>
      <sheetData sheetId="4953">
        <row r="7">
          <cell r="AI7">
            <v>10000</v>
          </cell>
        </row>
      </sheetData>
      <sheetData sheetId="4954">
        <row r="7">
          <cell r="AI7">
            <v>10000</v>
          </cell>
        </row>
      </sheetData>
      <sheetData sheetId="4955">
        <row r="7">
          <cell r="AI7">
            <v>10000</v>
          </cell>
        </row>
      </sheetData>
      <sheetData sheetId="4956">
        <row r="7">
          <cell r="AI7">
            <v>10000</v>
          </cell>
        </row>
      </sheetData>
      <sheetData sheetId="4957">
        <row r="7">
          <cell r="AI7">
            <v>10000</v>
          </cell>
        </row>
      </sheetData>
      <sheetData sheetId="4958">
        <row r="7">
          <cell r="AI7">
            <v>10000</v>
          </cell>
        </row>
      </sheetData>
      <sheetData sheetId="4959">
        <row r="7">
          <cell r="AI7">
            <v>10000</v>
          </cell>
        </row>
      </sheetData>
      <sheetData sheetId="4960">
        <row r="7">
          <cell r="AI7">
            <v>10000</v>
          </cell>
        </row>
      </sheetData>
      <sheetData sheetId="4961">
        <row r="7">
          <cell r="AI7">
            <v>10000</v>
          </cell>
        </row>
      </sheetData>
      <sheetData sheetId="4962">
        <row r="7">
          <cell r="AI7">
            <v>10000</v>
          </cell>
        </row>
      </sheetData>
      <sheetData sheetId="4963">
        <row r="7">
          <cell r="AI7">
            <v>10000</v>
          </cell>
        </row>
      </sheetData>
      <sheetData sheetId="4964">
        <row r="7">
          <cell r="AI7">
            <v>10000</v>
          </cell>
        </row>
      </sheetData>
      <sheetData sheetId="4965">
        <row r="7">
          <cell r="AI7">
            <v>10000</v>
          </cell>
        </row>
      </sheetData>
      <sheetData sheetId="4966">
        <row r="7">
          <cell r="AI7">
            <v>10000</v>
          </cell>
        </row>
      </sheetData>
      <sheetData sheetId="4967">
        <row r="7">
          <cell r="AI7">
            <v>10000</v>
          </cell>
        </row>
      </sheetData>
      <sheetData sheetId="4968">
        <row r="7">
          <cell r="AI7">
            <v>10000</v>
          </cell>
        </row>
      </sheetData>
      <sheetData sheetId="4969">
        <row r="7">
          <cell r="AI7">
            <v>10000</v>
          </cell>
        </row>
      </sheetData>
      <sheetData sheetId="4970">
        <row r="7">
          <cell r="AI7">
            <v>10000</v>
          </cell>
        </row>
      </sheetData>
      <sheetData sheetId="4971">
        <row r="7">
          <cell r="AI7">
            <v>10000</v>
          </cell>
        </row>
      </sheetData>
      <sheetData sheetId="4972">
        <row r="7">
          <cell r="AI7">
            <v>10000</v>
          </cell>
        </row>
      </sheetData>
      <sheetData sheetId="4973">
        <row r="7">
          <cell r="AI7">
            <v>10000</v>
          </cell>
        </row>
      </sheetData>
      <sheetData sheetId="4974">
        <row r="7">
          <cell r="AI7">
            <v>10000</v>
          </cell>
        </row>
      </sheetData>
      <sheetData sheetId="4975">
        <row r="7">
          <cell r="AI7">
            <v>10000</v>
          </cell>
        </row>
      </sheetData>
      <sheetData sheetId="4976">
        <row r="7">
          <cell r="AI7">
            <v>10000</v>
          </cell>
        </row>
      </sheetData>
      <sheetData sheetId="4977">
        <row r="7">
          <cell r="AI7">
            <v>10000</v>
          </cell>
        </row>
      </sheetData>
      <sheetData sheetId="4978">
        <row r="7">
          <cell r="AI7">
            <v>10000</v>
          </cell>
        </row>
      </sheetData>
      <sheetData sheetId="4979">
        <row r="7">
          <cell r="AI7">
            <v>10000</v>
          </cell>
        </row>
      </sheetData>
      <sheetData sheetId="4980">
        <row r="7">
          <cell r="AI7">
            <v>10000</v>
          </cell>
        </row>
      </sheetData>
      <sheetData sheetId="4981">
        <row r="7">
          <cell r="AI7">
            <v>10000</v>
          </cell>
        </row>
      </sheetData>
      <sheetData sheetId="4982">
        <row r="7">
          <cell r="AI7">
            <v>10000</v>
          </cell>
        </row>
      </sheetData>
      <sheetData sheetId="4983">
        <row r="7">
          <cell r="AI7">
            <v>10000</v>
          </cell>
        </row>
      </sheetData>
      <sheetData sheetId="4984">
        <row r="7">
          <cell r="AI7">
            <v>10000</v>
          </cell>
        </row>
      </sheetData>
      <sheetData sheetId="4985">
        <row r="7">
          <cell r="AI7">
            <v>10000</v>
          </cell>
        </row>
      </sheetData>
      <sheetData sheetId="4986">
        <row r="7">
          <cell r="AI7">
            <v>10000</v>
          </cell>
        </row>
      </sheetData>
      <sheetData sheetId="4987">
        <row r="7">
          <cell r="AI7">
            <v>10000</v>
          </cell>
        </row>
      </sheetData>
      <sheetData sheetId="4988">
        <row r="7">
          <cell r="AI7">
            <v>10000</v>
          </cell>
        </row>
      </sheetData>
      <sheetData sheetId="4989">
        <row r="7">
          <cell r="AI7">
            <v>10000</v>
          </cell>
        </row>
      </sheetData>
      <sheetData sheetId="4990">
        <row r="7">
          <cell r="AI7">
            <v>10000</v>
          </cell>
        </row>
      </sheetData>
      <sheetData sheetId="4991">
        <row r="7">
          <cell r="AI7">
            <v>10000</v>
          </cell>
        </row>
      </sheetData>
      <sheetData sheetId="4992">
        <row r="7">
          <cell r="AI7">
            <v>10000</v>
          </cell>
        </row>
      </sheetData>
      <sheetData sheetId="4993">
        <row r="7">
          <cell r="AI7">
            <v>10000</v>
          </cell>
        </row>
      </sheetData>
      <sheetData sheetId="4994">
        <row r="7">
          <cell r="AI7">
            <v>10000</v>
          </cell>
        </row>
      </sheetData>
      <sheetData sheetId="4995">
        <row r="7">
          <cell r="AI7">
            <v>10000</v>
          </cell>
        </row>
      </sheetData>
      <sheetData sheetId="4996">
        <row r="7">
          <cell r="AI7">
            <v>10000</v>
          </cell>
        </row>
      </sheetData>
      <sheetData sheetId="4997">
        <row r="7">
          <cell r="AI7">
            <v>10000</v>
          </cell>
        </row>
      </sheetData>
      <sheetData sheetId="4998">
        <row r="7">
          <cell r="AI7">
            <v>10000</v>
          </cell>
        </row>
      </sheetData>
      <sheetData sheetId="4999">
        <row r="7">
          <cell r="AI7">
            <v>10000</v>
          </cell>
        </row>
      </sheetData>
      <sheetData sheetId="5000">
        <row r="7">
          <cell r="AI7">
            <v>10000</v>
          </cell>
        </row>
      </sheetData>
      <sheetData sheetId="5001">
        <row r="7">
          <cell r="AI7">
            <v>10000</v>
          </cell>
        </row>
      </sheetData>
      <sheetData sheetId="5002">
        <row r="7">
          <cell r="AI7">
            <v>10000</v>
          </cell>
        </row>
      </sheetData>
      <sheetData sheetId="5003">
        <row r="7">
          <cell r="AI7">
            <v>10000</v>
          </cell>
        </row>
      </sheetData>
      <sheetData sheetId="5004">
        <row r="7">
          <cell r="AI7">
            <v>10000</v>
          </cell>
        </row>
      </sheetData>
      <sheetData sheetId="5005">
        <row r="7">
          <cell r="AI7">
            <v>10000</v>
          </cell>
        </row>
      </sheetData>
      <sheetData sheetId="5006">
        <row r="7">
          <cell r="AI7">
            <v>10000</v>
          </cell>
        </row>
      </sheetData>
      <sheetData sheetId="5007">
        <row r="7">
          <cell r="AI7">
            <v>10000</v>
          </cell>
        </row>
      </sheetData>
      <sheetData sheetId="5008">
        <row r="7">
          <cell r="AI7">
            <v>10000</v>
          </cell>
        </row>
      </sheetData>
      <sheetData sheetId="5009">
        <row r="7">
          <cell r="AI7">
            <v>10000</v>
          </cell>
        </row>
      </sheetData>
      <sheetData sheetId="5010">
        <row r="7">
          <cell r="AI7">
            <v>10000</v>
          </cell>
        </row>
      </sheetData>
      <sheetData sheetId="5011">
        <row r="7">
          <cell r="AI7">
            <v>10000</v>
          </cell>
        </row>
      </sheetData>
      <sheetData sheetId="5012">
        <row r="7">
          <cell r="AI7">
            <v>10000</v>
          </cell>
        </row>
      </sheetData>
      <sheetData sheetId="5013">
        <row r="7">
          <cell r="AI7">
            <v>10000</v>
          </cell>
        </row>
      </sheetData>
      <sheetData sheetId="5014">
        <row r="7">
          <cell r="AI7">
            <v>10000</v>
          </cell>
        </row>
      </sheetData>
      <sheetData sheetId="5015">
        <row r="7">
          <cell r="AI7">
            <v>10000</v>
          </cell>
        </row>
      </sheetData>
      <sheetData sheetId="5016">
        <row r="7">
          <cell r="AI7">
            <v>10000</v>
          </cell>
        </row>
      </sheetData>
      <sheetData sheetId="5017">
        <row r="7">
          <cell r="AI7">
            <v>10000</v>
          </cell>
        </row>
      </sheetData>
      <sheetData sheetId="5018">
        <row r="7">
          <cell r="AI7">
            <v>10000</v>
          </cell>
        </row>
      </sheetData>
      <sheetData sheetId="5019">
        <row r="7">
          <cell r="AI7">
            <v>10000</v>
          </cell>
        </row>
      </sheetData>
      <sheetData sheetId="5020">
        <row r="7">
          <cell r="AI7">
            <v>10000</v>
          </cell>
        </row>
      </sheetData>
      <sheetData sheetId="5021">
        <row r="7">
          <cell r="AI7">
            <v>10000</v>
          </cell>
        </row>
      </sheetData>
      <sheetData sheetId="5022">
        <row r="7">
          <cell r="AI7">
            <v>10000</v>
          </cell>
        </row>
      </sheetData>
      <sheetData sheetId="5023">
        <row r="7">
          <cell r="AI7">
            <v>10000</v>
          </cell>
        </row>
      </sheetData>
      <sheetData sheetId="5024">
        <row r="7">
          <cell r="AI7">
            <v>10000</v>
          </cell>
        </row>
      </sheetData>
      <sheetData sheetId="5025">
        <row r="7">
          <cell r="AI7">
            <v>10000</v>
          </cell>
        </row>
      </sheetData>
      <sheetData sheetId="5026">
        <row r="7">
          <cell r="AI7">
            <v>10000</v>
          </cell>
        </row>
      </sheetData>
      <sheetData sheetId="5027">
        <row r="7">
          <cell r="AI7">
            <v>10000</v>
          </cell>
        </row>
      </sheetData>
      <sheetData sheetId="5028">
        <row r="7">
          <cell r="AI7">
            <v>10000</v>
          </cell>
        </row>
      </sheetData>
      <sheetData sheetId="5029">
        <row r="7">
          <cell r="AI7">
            <v>10000</v>
          </cell>
        </row>
      </sheetData>
      <sheetData sheetId="5030">
        <row r="7">
          <cell r="AI7">
            <v>10000</v>
          </cell>
        </row>
      </sheetData>
      <sheetData sheetId="5031">
        <row r="7">
          <cell r="AI7">
            <v>10000</v>
          </cell>
        </row>
      </sheetData>
      <sheetData sheetId="5032">
        <row r="7">
          <cell r="AI7">
            <v>10000</v>
          </cell>
        </row>
      </sheetData>
      <sheetData sheetId="5033">
        <row r="7">
          <cell r="AI7">
            <v>10000</v>
          </cell>
        </row>
      </sheetData>
      <sheetData sheetId="5034">
        <row r="7">
          <cell r="AI7">
            <v>10000</v>
          </cell>
        </row>
      </sheetData>
      <sheetData sheetId="5035">
        <row r="7">
          <cell r="AI7">
            <v>10000</v>
          </cell>
        </row>
      </sheetData>
      <sheetData sheetId="5036">
        <row r="7">
          <cell r="AI7">
            <v>10000</v>
          </cell>
        </row>
      </sheetData>
      <sheetData sheetId="5037">
        <row r="7">
          <cell r="AI7">
            <v>10000</v>
          </cell>
        </row>
      </sheetData>
      <sheetData sheetId="5038">
        <row r="7">
          <cell r="AI7">
            <v>10000</v>
          </cell>
        </row>
      </sheetData>
      <sheetData sheetId="5039">
        <row r="7">
          <cell r="AI7">
            <v>10000</v>
          </cell>
        </row>
      </sheetData>
      <sheetData sheetId="5040">
        <row r="7">
          <cell r="AI7">
            <v>10000</v>
          </cell>
        </row>
      </sheetData>
      <sheetData sheetId="5041">
        <row r="7">
          <cell r="AI7">
            <v>10000</v>
          </cell>
        </row>
      </sheetData>
      <sheetData sheetId="5042">
        <row r="7">
          <cell r="AI7">
            <v>10000</v>
          </cell>
        </row>
      </sheetData>
      <sheetData sheetId="5043">
        <row r="7">
          <cell r="AI7">
            <v>10000</v>
          </cell>
        </row>
      </sheetData>
      <sheetData sheetId="5044">
        <row r="7">
          <cell r="AI7">
            <v>10000</v>
          </cell>
        </row>
      </sheetData>
      <sheetData sheetId="5045">
        <row r="7">
          <cell r="AI7">
            <v>10000</v>
          </cell>
        </row>
      </sheetData>
      <sheetData sheetId="5046">
        <row r="7">
          <cell r="AI7">
            <v>10000</v>
          </cell>
        </row>
      </sheetData>
      <sheetData sheetId="5047">
        <row r="7">
          <cell r="AI7">
            <v>10000</v>
          </cell>
        </row>
      </sheetData>
      <sheetData sheetId="5048">
        <row r="7">
          <cell r="AI7">
            <v>10000</v>
          </cell>
        </row>
      </sheetData>
      <sheetData sheetId="5049">
        <row r="7">
          <cell r="AI7">
            <v>10000</v>
          </cell>
        </row>
      </sheetData>
      <sheetData sheetId="5050">
        <row r="7">
          <cell r="AI7">
            <v>10000</v>
          </cell>
        </row>
      </sheetData>
      <sheetData sheetId="5051">
        <row r="7">
          <cell r="AI7">
            <v>10000</v>
          </cell>
        </row>
      </sheetData>
      <sheetData sheetId="5052">
        <row r="7">
          <cell r="AI7">
            <v>10000</v>
          </cell>
        </row>
      </sheetData>
      <sheetData sheetId="5053">
        <row r="7">
          <cell r="AI7">
            <v>10000</v>
          </cell>
        </row>
      </sheetData>
      <sheetData sheetId="5054">
        <row r="7">
          <cell r="AI7">
            <v>10000</v>
          </cell>
        </row>
      </sheetData>
      <sheetData sheetId="5055">
        <row r="7">
          <cell r="AI7">
            <v>10000</v>
          </cell>
        </row>
      </sheetData>
      <sheetData sheetId="5056">
        <row r="7">
          <cell r="AI7">
            <v>10000</v>
          </cell>
        </row>
      </sheetData>
      <sheetData sheetId="5057">
        <row r="7">
          <cell r="AI7">
            <v>10000</v>
          </cell>
        </row>
      </sheetData>
      <sheetData sheetId="5058">
        <row r="7">
          <cell r="AI7">
            <v>10000</v>
          </cell>
        </row>
      </sheetData>
      <sheetData sheetId="5059">
        <row r="7">
          <cell r="AI7">
            <v>10000</v>
          </cell>
        </row>
      </sheetData>
      <sheetData sheetId="5060">
        <row r="7">
          <cell r="AI7">
            <v>10000</v>
          </cell>
        </row>
      </sheetData>
      <sheetData sheetId="5061">
        <row r="7">
          <cell r="AI7">
            <v>10000</v>
          </cell>
        </row>
      </sheetData>
      <sheetData sheetId="5062">
        <row r="7">
          <cell r="AI7">
            <v>10000</v>
          </cell>
        </row>
      </sheetData>
      <sheetData sheetId="5063">
        <row r="7">
          <cell r="AI7">
            <v>10000</v>
          </cell>
        </row>
      </sheetData>
      <sheetData sheetId="5064">
        <row r="7">
          <cell r="AI7">
            <v>10000</v>
          </cell>
        </row>
      </sheetData>
      <sheetData sheetId="5065">
        <row r="7">
          <cell r="AI7">
            <v>10000</v>
          </cell>
        </row>
      </sheetData>
      <sheetData sheetId="5066">
        <row r="7">
          <cell r="AI7">
            <v>10000</v>
          </cell>
        </row>
      </sheetData>
      <sheetData sheetId="5067">
        <row r="7">
          <cell r="AI7">
            <v>10000</v>
          </cell>
        </row>
      </sheetData>
      <sheetData sheetId="5068">
        <row r="7">
          <cell r="AI7">
            <v>10000</v>
          </cell>
        </row>
      </sheetData>
      <sheetData sheetId="5069">
        <row r="7">
          <cell r="AI7">
            <v>10000</v>
          </cell>
        </row>
      </sheetData>
      <sheetData sheetId="5070">
        <row r="7">
          <cell r="AI7">
            <v>10000</v>
          </cell>
        </row>
      </sheetData>
      <sheetData sheetId="5071">
        <row r="7">
          <cell r="AI7">
            <v>10000</v>
          </cell>
        </row>
      </sheetData>
      <sheetData sheetId="5072">
        <row r="7">
          <cell r="AI7">
            <v>10000</v>
          </cell>
        </row>
      </sheetData>
      <sheetData sheetId="5073">
        <row r="7">
          <cell r="AI7">
            <v>10000</v>
          </cell>
        </row>
      </sheetData>
      <sheetData sheetId="5074">
        <row r="7">
          <cell r="AI7">
            <v>10000</v>
          </cell>
        </row>
      </sheetData>
      <sheetData sheetId="5075">
        <row r="7">
          <cell r="AI7">
            <v>10000</v>
          </cell>
        </row>
      </sheetData>
      <sheetData sheetId="5076">
        <row r="7">
          <cell r="AI7">
            <v>10000</v>
          </cell>
        </row>
      </sheetData>
      <sheetData sheetId="5077">
        <row r="7">
          <cell r="AI7">
            <v>10000</v>
          </cell>
        </row>
      </sheetData>
      <sheetData sheetId="5078">
        <row r="7">
          <cell r="AI7">
            <v>10000</v>
          </cell>
        </row>
      </sheetData>
      <sheetData sheetId="5079">
        <row r="7">
          <cell r="AI7">
            <v>10000</v>
          </cell>
        </row>
      </sheetData>
      <sheetData sheetId="5080">
        <row r="7">
          <cell r="AI7">
            <v>10000</v>
          </cell>
        </row>
      </sheetData>
      <sheetData sheetId="5081">
        <row r="7">
          <cell r="AI7">
            <v>10000</v>
          </cell>
        </row>
      </sheetData>
      <sheetData sheetId="5082">
        <row r="7">
          <cell r="AI7">
            <v>10000</v>
          </cell>
        </row>
      </sheetData>
      <sheetData sheetId="5083">
        <row r="7">
          <cell r="AI7">
            <v>10000</v>
          </cell>
        </row>
      </sheetData>
      <sheetData sheetId="5084">
        <row r="7">
          <cell r="AI7">
            <v>10000</v>
          </cell>
        </row>
      </sheetData>
      <sheetData sheetId="5085">
        <row r="7">
          <cell r="AI7">
            <v>10000</v>
          </cell>
        </row>
      </sheetData>
      <sheetData sheetId="5086">
        <row r="7">
          <cell r="AI7">
            <v>10000</v>
          </cell>
        </row>
      </sheetData>
      <sheetData sheetId="5087">
        <row r="7">
          <cell r="AI7">
            <v>10000</v>
          </cell>
        </row>
      </sheetData>
      <sheetData sheetId="5088">
        <row r="7">
          <cell r="AI7">
            <v>10000</v>
          </cell>
        </row>
      </sheetData>
      <sheetData sheetId="5089">
        <row r="7">
          <cell r="AI7">
            <v>10000</v>
          </cell>
        </row>
      </sheetData>
      <sheetData sheetId="5090">
        <row r="7">
          <cell r="AI7">
            <v>10000</v>
          </cell>
        </row>
      </sheetData>
      <sheetData sheetId="5091">
        <row r="7">
          <cell r="AI7">
            <v>10000</v>
          </cell>
        </row>
      </sheetData>
      <sheetData sheetId="5092">
        <row r="7">
          <cell r="AI7">
            <v>10000</v>
          </cell>
        </row>
      </sheetData>
      <sheetData sheetId="5093">
        <row r="7">
          <cell r="AI7">
            <v>10000</v>
          </cell>
        </row>
      </sheetData>
      <sheetData sheetId="5094">
        <row r="7">
          <cell r="AI7">
            <v>10000</v>
          </cell>
        </row>
      </sheetData>
      <sheetData sheetId="5095">
        <row r="7">
          <cell r="AI7">
            <v>10000</v>
          </cell>
        </row>
      </sheetData>
      <sheetData sheetId="5096">
        <row r="7">
          <cell r="AI7">
            <v>10000</v>
          </cell>
        </row>
      </sheetData>
      <sheetData sheetId="5097">
        <row r="7">
          <cell r="AI7">
            <v>10000</v>
          </cell>
        </row>
      </sheetData>
      <sheetData sheetId="5098">
        <row r="7">
          <cell r="AI7">
            <v>10000</v>
          </cell>
        </row>
      </sheetData>
      <sheetData sheetId="5099">
        <row r="7">
          <cell r="AI7">
            <v>10000</v>
          </cell>
        </row>
      </sheetData>
      <sheetData sheetId="5100">
        <row r="7">
          <cell r="AI7">
            <v>10000</v>
          </cell>
        </row>
      </sheetData>
      <sheetData sheetId="5101">
        <row r="7">
          <cell r="AI7">
            <v>10000</v>
          </cell>
        </row>
      </sheetData>
      <sheetData sheetId="5102">
        <row r="7">
          <cell r="AI7">
            <v>10000</v>
          </cell>
        </row>
      </sheetData>
      <sheetData sheetId="5103">
        <row r="7">
          <cell r="AI7">
            <v>10000</v>
          </cell>
        </row>
      </sheetData>
      <sheetData sheetId="5104">
        <row r="7">
          <cell r="AI7">
            <v>10000</v>
          </cell>
        </row>
      </sheetData>
      <sheetData sheetId="5105">
        <row r="7">
          <cell r="AI7">
            <v>10000</v>
          </cell>
        </row>
      </sheetData>
      <sheetData sheetId="5106">
        <row r="7">
          <cell r="AI7">
            <v>10000</v>
          </cell>
        </row>
      </sheetData>
      <sheetData sheetId="5107">
        <row r="7">
          <cell r="AI7">
            <v>10000</v>
          </cell>
        </row>
      </sheetData>
      <sheetData sheetId="5108">
        <row r="7">
          <cell r="AI7">
            <v>10000</v>
          </cell>
        </row>
      </sheetData>
      <sheetData sheetId="5109">
        <row r="7">
          <cell r="AI7">
            <v>10000</v>
          </cell>
        </row>
      </sheetData>
      <sheetData sheetId="5110">
        <row r="7">
          <cell r="AI7">
            <v>10000</v>
          </cell>
        </row>
      </sheetData>
      <sheetData sheetId="5111">
        <row r="7">
          <cell r="AI7">
            <v>10000</v>
          </cell>
        </row>
      </sheetData>
      <sheetData sheetId="5112">
        <row r="7">
          <cell r="AI7">
            <v>10000</v>
          </cell>
        </row>
      </sheetData>
      <sheetData sheetId="5113">
        <row r="7">
          <cell r="AI7">
            <v>10000</v>
          </cell>
        </row>
      </sheetData>
      <sheetData sheetId="5114">
        <row r="7">
          <cell r="AI7">
            <v>10000</v>
          </cell>
        </row>
      </sheetData>
      <sheetData sheetId="5115">
        <row r="7">
          <cell r="AI7">
            <v>10000</v>
          </cell>
        </row>
      </sheetData>
      <sheetData sheetId="5116">
        <row r="7">
          <cell r="AI7">
            <v>10000</v>
          </cell>
        </row>
      </sheetData>
      <sheetData sheetId="5117">
        <row r="7">
          <cell r="AI7">
            <v>10000</v>
          </cell>
        </row>
      </sheetData>
      <sheetData sheetId="5118">
        <row r="7">
          <cell r="AI7">
            <v>10000</v>
          </cell>
        </row>
      </sheetData>
      <sheetData sheetId="5119">
        <row r="7">
          <cell r="AI7">
            <v>10000</v>
          </cell>
        </row>
      </sheetData>
      <sheetData sheetId="5120">
        <row r="7">
          <cell r="AI7">
            <v>10000</v>
          </cell>
        </row>
      </sheetData>
      <sheetData sheetId="5121">
        <row r="7">
          <cell r="AI7">
            <v>10000</v>
          </cell>
        </row>
      </sheetData>
      <sheetData sheetId="5122">
        <row r="7">
          <cell r="AI7">
            <v>10000</v>
          </cell>
        </row>
      </sheetData>
      <sheetData sheetId="5123">
        <row r="7">
          <cell r="AI7">
            <v>10000</v>
          </cell>
        </row>
      </sheetData>
      <sheetData sheetId="5124">
        <row r="7">
          <cell r="AI7">
            <v>10000</v>
          </cell>
        </row>
      </sheetData>
      <sheetData sheetId="5125">
        <row r="7">
          <cell r="AI7">
            <v>10000</v>
          </cell>
        </row>
      </sheetData>
      <sheetData sheetId="5126">
        <row r="7">
          <cell r="AI7">
            <v>10000</v>
          </cell>
        </row>
      </sheetData>
      <sheetData sheetId="5127">
        <row r="7">
          <cell r="AI7">
            <v>10000</v>
          </cell>
        </row>
      </sheetData>
      <sheetData sheetId="5128">
        <row r="7">
          <cell r="AI7">
            <v>10000</v>
          </cell>
        </row>
      </sheetData>
      <sheetData sheetId="5129">
        <row r="7">
          <cell r="AI7">
            <v>10000</v>
          </cell>
        </row>
      </sheetData>
      <sheetData sheetId="5130">
        <row r="7">
          <cell r="AI7">
            <v>10000</v>
          </cell>
        </row>
      </sheetData>
      <sheetData sheetId="5131">
        <row r="7">
          <cell r="AI7">
            <v>10000</v>
          </cell>
        </row>
      </sheetData>
      <sheetData sheetId="5132">
        <row r="7">
          <cell r="AI7">
            <v>10000</v>
          </cell>
        </row>
      </sheetData>
      <sheetData sheetId="5133">
        <row r="7">
          <cell r="AI7">
            <v>10000</v>
          </cell>
        </row>
      </sheetData>
      <sheetData sheetId="5134">
        <row r="7">
          <cell r="AI7">
            <v>10000</v>
          </cell>
        </row>
      </sheetData>
      <sheetData sheetId="5135">
        <row r="7">
          <cell r="AI7">
            <v>10000</v>
          </cell>
        </row>
      </sheetData>
      <sheetData sheetId="5136">
        <row r="7">
          <cell r="AI7">
            <v>10000</v>
          </cell>
        </row>
      </sheetData>
      <sheetData sheetId="5137">
        <row r="7">
          <cell r="AI7">
            <v>10000</v>
          </cell>
        </row>
      </sheetData>
      <sheetData sheetId="5138">
        <row r="7">
          <cell r="AI7">
            <v>10000</v>
          </cell>
        </row>
      </sheetData>
      <sheetData sheetId="5139">
        <row r="7">
          <cell r="AI7">
            <v>10000</v>
          </cell>
        </row>
      </sheetData>
      <sheetData sheetId="5140">
        <row r="7">
          <cell r="AI7">
            <v>10000</v>
          </cell>
        </row>
      </sheetData>
      <sheetData sheetId="5141">
        <row r="7">
          <cell r="AI7">
            <v>10000</v>
          </cell>
        </row>
      </sheetData>
      <sheetData sheetId="5142">
        <row r="7">
          <cell r="AI7">
            <v>10000</v>
          </cell>
        </row>
      </sheetData>
      <sheetData sheetId="5143">
        <row r="7">
          <cell r="AI7">
            <v>10000</v>
          </cell>
        </row>
      </sheetData>
      <sheetData sheetId="5144">
        <row r="7">
          <cell r="AI7">
            <v>10000</v>
          </cell>
        </row>
      </sheetData>
      <sheetData sheetId="5145">
        <row r="7">
          <cell r="AI7">
            <v>10000</v>
          </cell>
        </row>
      </sheetData>
      <sheetData sheetId="5146">
        <row r="7">
          <cell r="AI7">
            <v>10000</v>
          </cell>
        </row>
      </sheetData>
      <sheetData sheetId="5147">
        <row r="7">
          <cell r="AI7">
            <v>10000</v>
          </cell>
        </row>
      </sheetData>
      <sheetData sheetId="5148">
        <row r="7">
          <cell r="AI7">
            <v>10000</v>
          </cell>
        </row>
      </sheetData>
      <sheetData sheetId="5149">
        <row r="7">
          <cell r="AI7">
            <v>10000</v>
          </cell>
        </row>
      </sheetData>
      <sheetData sheetId="5150">
        <row r="7">
          <cell r="AI7">
            <v>10000</v>
          </cell>
        </row>
      </sheetData>
      <sheetData sheetId="5151">
        <row r="7">
          <cell r="AI7">
            <v>10000</v>
          </cell>
        </row>
      </sheetData>
      <sheetData sheetId="5152">
        <row r="7">
          <cell r="AI7">
            <v>10000</v>
          </cell>
        </row>
      </sheetData>
      <sheetData sheetId="5153">
        <row r="7">
          <cell r="AI7">
            <v>10000</v>
          </cell>
        </row>
      </sheetData>
      <sheetData sheetId="5154">
        <row r="7">
          <cell r="AI7">
            <v>10000</v>
          </cell>
        </row>
      </sheetData>
      <sheetData sheetId="5155">
        <row r="7">
          <cell r="AI7">
            <v>10000</v>
          </cell>
        </row>
      </sheetData>
      <sheetData sheetId="5156">
        <row r="7">
          <cell r="AI7">
            <v>10000</v>
          </cell>
        </row>
      </sheetData>
      <sheetData sheetId="5157">
        <row r="7">
          <cell r="AI7">
            <v>10000</v>
          </cell>
        </row>
      </sheetData>
      <sheetData sheetId="5158">
        <row r="7">
          <cell r="AI7">
            <v>10000</v>
          </cell>
        </row>
      </sheetData>
      <sheetData sheetId="5159">
        <row r="7">
          <cell r="AI7">
            <v>10000</v>
          </cell>
        </row>
      </sheetData>
      <sheetData sheetId="5160">
        <row r="7">
          <cell r="AI7">
            <v>10000</v>
          </cell>
        </row>
      </sheetData>
      <sheetData sheetId="5161">
        <row r="7">
          <cell r="AI7">
            <v>10000</v>
          </cell>
        </row>
      </sheetData>
      <sheetData sheetId="5162">
        <row r="7">
          <cell r="AI7">
            <v>10000</v>
          </cell>
        </row>
      </sheetData>
      <sheetData sheetId="5163">
        <row r="7">
          <cell r="AI7">
            <v>10000</v>
          </cell>
        </row>
      </sheetData>
      <sheetData sheetId="5164">
        <row r="7">
          <cell r="AI7">
            <v>10000</v>
          </cell>
        </row>
      </sheetData>
      <sheetData sheetId="5165">
        <row r="7">
          <cell r="AI7">
            <v>10000</v>
          </cell>
        </row>
      </sheetData>
      <sheetData sheetId="5166">
        <row r="7">
          <cell r="AI7">
            <v>10000</v>
          </cell>
        </row>
      </sheetData>
      <sheetData sheetId="5167">
        <row r="7">
          <cell r="AI7">
            <v>10000</v>
          </cell>
        </row>
      </sheetData>
      <sheetData sheetId="5168">
        <row r="7">
          <cell r="AI7">
            <v>10000</v>
          </cell>
        </row>
      </sheetData>
      <sheetData sheetId="5169">
        <row r="7">
          <cell r="AI7">
            <v>10000</v>
          </cell>
        </row>
      </sheetData>
      <sheetData sheetId="5170">
        <row r="7">
          <cell r="AI7">
            <v>10000</v>
          </cell>
        </row>
      </sheetData>
      <sheetData sheetId="5171">
        <row r="7">
          <cell r="AI7">
            <v>10000</v>
          </cell>
        </row>
      </sheetData>
      <sheetData sheetId="5172">
        <row r="7">
          <cell r="AI7">
            <v>10000</v>
          </cell>
        </row>
      </sheetData>
      <sheetData sheetId="5173">
        <row r="7">
          <cell r="AI7">
            <v>10000</v>
          </cell>
        </row>
      </sheetData>
      <sheetData sheetId="5174">
        <row r="7">
          <cell r="AI7">
            <v>10000</v>
          </cell>
        </row>
      </sheetData>
      <sheetData sheetId="5175">
        <row r="7">
          <cell r="AI7">
            <v>10000</v>
          </cell>
        </row>
      </sheetData>
      <sheetData sheetId="5176">
        <row r="7">
          <cell r="AI7">
            <v>10000</v>
          </cell>
        </row>
      </sheetData>
      <sheetData sheetId="5177">
        <row r="7">
          <cell r="AI7">
            <v>10000</v>
          </cell>
        </row>
      </sheetData>
      <sheetData sheetId="5178">
        <row r="7">
          <cell r="AI7">
            <v>10000</v>
          </cell>
        </row>
      </sheetData>
      <sheetData sheetId="5179">
        <row r="7">
          <cell r="AI7">
            <v>10000</v>
          </cell>
        </row>
      </sheetData>
      <sheetData sheetId="5180">
        <row r="7">
          <cell r="AI7">
            <v>10000</v>
          </cell>
        </row>
      </sheetData>
      <sheetData sheetId="5181">
        <row r="7">
          <cell r="AI7">
            <v>10000</v>
          </cell>
        </row>
      </sheetData>
      <sheetData sheetId="5182">
        <row r="7">
          <cell r="AI7">
            <v>10000</v>
          </cell>
        </row>
      </sheetData>
      <sheetData sheetId="5183">
        <row r="7">
          <cell r="AI7">
            <v>10000</v>
          </cell>
        </row>
      </sheetData>
      <sheetData sheetId="5184">
        <row r="7">
          <cell r="AI7">
            <v>10000</v>
          </cell>
        </row>
      </sheetData>
      <sheetData sheetId="5185">
        <row r="7">
          <cell r="AI7">
            <v>10000</v>
          </cell>
        </row>
      </sheetData>
      <sheetData sheetId="5186">
        <row r="7">
          <cell r="AI7">
            <v>10000</v>
          </cell>
        </row>
      </sheetData>
      <sheetData sheetId="5187">
        <row r="7">
          <cell r="AI7">
            <v>10000</v>
          </cell>
        </row>
      </sheetData>
      <sheetData sheetId="5188">
        <row r="7">
          <cell r="AI7">
            <v>10000</v>
          </cell>
        </row>
      </sheetData>
      <sheetData sheetId="5189">
        <row r="7">
          <cell r="AI7">
            <v>10000</v>
          </cell>
        </row>
      </sheetData>
      <sheetData sheetId="5190">
        <row r="7">
          <cell r="AI7">
            <v>10000</v>
          </cell>
        </row>
      </sheetData>
      <sheetData sheetId="5191">
        <row r="7">
          <cell r="AI7">
            <v>10000</v>
          </cell>
        </row>
      </sheetData>
      <sheetData sheetId="5192">
        <row r="7">
          <cell r="AI7">
            <v>10000</v>
          </cell>
        </row>
      </sheetData>
      <sheetData sheetId="5193">
        <row r="7">
          <cell r="AI7">
            <v>10000</v>
          </cell>
        </row>
      </sheetData>
      <sheetData sheetId="5194">
        <row r="7">
          <cell r="AI7">
            <v>10000</v>
          </cell>
        </row>
      </sheetData>
      <sheetData sheetId="5195">
        <row r="7">
          <cell r="AI7">
            <v>10000</v>
          </cell>
        </row>
      </sheetData>
      <sheetData sheetId="5196">
        <row r="7">
          <cell r="AI7">
            <v>10000</v>
          </cell>
        </row>
      </sheetData>
      <sheetData sheetId="5197">
        <row r="7">
          <cell r="AI7">
            <v>10000</v>
          </cell>
        </row>
      </sheetData>
      <sheetData sheetId="5198">
        <row r="7">
          <cell r="AI7">
            <v>10000</v>
          </cell>
        </row>
      </sheetData>
      <sheetData sheetId="5199">
        <row r="7">
          <cell r="AI7">
            <v>10000</v>
          </cell>
        </row>
      </sheetData>
      <sheetData sheetId="5200">
        <row r="7">
          <cell r="AI7">
            <v>10000</v>
          </cell>
        </row>
      </sheetData>
      <sheetData sheetId="5201">
        <row r="7">
          <cell r="AI7">
            <v>10000</v>
          </cell>
        </row>
      </sheetData>
      <sheetData sheetId="5202">
        <row r="7">
          <cell r="AI7">
            <v>10000</v>
          </cell>
        </row>
      </sheetData>
      <sheetData sheetId="5203">
        <row r="7">
          <cell r="AI7">
            <v>10000</v>
          </cell>
        </row>
      </sheetData>
      <sheetData sheetId="5204">
        <row r="7">
          <cell r="AI7">
            <v>10000</v>
          </cell>
        </row>
      </sheetData>
      <sheetData sheetId="5205">
        <row r="7">
          <cell r="AI7">
            <v>10000</v>
          </cell>
        </row>
      </sheetData>
      <sheetData sheetId="5206">
        <row r="7">
          <cell r="AI7">
            <v>10000</v>
          </cell>
        </row>
      </sheetData>
      <sheetData sheetId="5207">
        <row r="7">
          <cell r="AI7">
            <v>10000</v>
          </cell>
        </row>
      </sheetData>
      <sheetData sheetId="5208">
        <row r="7">
          <cell r="AI7">
            <v>10000</v>
          </cell>
        </row>
      </sheetData>
      <sheetData sheetId="5209">
        <row r="7">
          <cell r="AI7">
            <v>10000</v>
          </cell>
        </row>
      </sheetData>
      <sheetData sheetId="5210">
        <row r="7">
          <cell r="AI7">
            <v>10000</v>
          </cell>
        </row>
      </sheetData>
      <sheetData sheetId="5211">
        <row r="7">
          <cell r="AI7">
            <v>10000</v>
          </cell>
        </row>
      </sheetData>
      <sheetData sheetId="5212">
        <row r="7">
          <cell r="AI7">
            <v>10000</v>
          </cell>
        </row>
      </sheetData>
      <sheetData sheetId="5213">
        <row r="7">
          <cell r="AI7">
            <v>10000</v>
          </cell>
        </row>
      </sheetData>
      <sheetData sheetId="5214">
        <row r="7">
          <cell r="AI7">
            <v>10000</v>
          </cell>
        </row>
      </sheetData>
      <sheetData sheetId="5215">
        <row r="7">
          <cell r="AI7">
            <v>10000</v>
          </cell>
        </row>
      </sheetData>
      <sheetData sheetId="5216">
        <row r="7">
          <cell r="AI7">
            <v>10000</v>
          </cell>
        </row>
      </sheetData>
      <sheetData sheetId="5217">
        <row r="7">
          <cell r="AI7">
            <v>10000</v>
          </cell>
        </row>
      </sheetData>
      <sheetData sheetId="5218">
        <row r="7">
          <cell r="AI7">
            <v>10000</v>
          </cell>
        </row>
      </sheetData>
      <sheetData sheetId="5219">
        <row r="7">
          <cell r="AI7">
            <v>10000</v>
          </cell>
        </row>
      </sheetData>
      <sheetData sheetId="5220">
        <row r="7">
          <cell r="AI7">
            <v>10000</v>
          </cell>
        </row>
      </sheetData>
      <sheetData sheetId="5221">
        <row r="7">
          <cell r="AI7">
            <v>10000</v>
          </cell>
        </row>
      </sheetData>
      <sheetData sheetId="5222">
        <row r="7">
          <cell r="AI7">
            <v>10000</v>
          </cell>
        </row>
      </sheetData>
      <sheetData sheetId="5223">
        <row r="7">
          <cell r="AI7">
            <v>10000</v>
          </cell>
        </row>
      </sheetData>
      <sheetData sheetId="5224">
        <row r="7">
          <cell r="AI7">
            <v>10000</v>
          </cell>
        </row>
      </sheetData>
      <sheetData sheetId="5225">
        <row r="7">
          <cell r="AI7">
            <v>10000</v>
          </cell>
        </row>
      </sheetData>
      <sheetData sheetId="5226">
        <row r="7">
          <cell r="AI7">
            <v>10000</v>
          </cell>
        </row>
      </sheetData>
      <sheetData sheetId="5227">
        <row r="7">
          <cell r="AI7">
            <v>10000</v>
          </cell>
        </row>
      </sheetData>
      <sheetData sheetId="5228">
        <row r="7">
          <cell r="AI7">
            <v>10000</v>
          </cell>
        </row>
      </sheetData>
      <sheetData sheetId="5229">
        <row r="7">
          <cell r="AI7">
            <v>10000</v>
          </cell>
        </row>
      </sheetData>
      <sheetData sheetId="5230">
        <row r="7">
          <cell r="AI7">
            <v>10000</v>
          </cell>
        </row>
      </sheetData>
      <sheetData sheetId="5231">
        <row r="7">
          <cell r="AI7">
            <v>10000</v>
          </cell>
        </row>
      </sheetData>
      <sheetData sheetId="5232">
        <row r="7">
          <cell r="AI7">
            <v>10000</v>
          </cell>
        </row>
      </sheetData>
      <sheetData sheetId="5233">
        <row r="7">
          <cell r="AI7">
            <v>10000</v>
          </cell>
        </row>
      </sheetData>
      <sheetData sheetId="5234">
        <row r="7">
          <cell r="AI7">
            <v>10000</v>
          </cell>
        </row>
      </sheetData>
      <sheetData sheetId="5235">
        <row r="7">
          <cell r="AI7">
            <v>10000</v>
          </cell>
        </row>
      </sheetData>
      <sheetData sheetId="5236">
        <row r="7">
          <cell r="AI7">
            <v>10000</v>
          </cell>
        </row>
      </sheetData>
      <sheetData sheetId="5237">
        <row r="7">
          <cell r="AI7">
            <v>10000</v>
          </cell>
        </row>
      </sheetData>
      <sheetData sheetId="5238">
        <row r="7">
          <cell r="AI7">
            <v>10000</v>
          </cell>
        </row>
      </sheetData>
      <sheetData sheetId="5239">
        <row r="7">
          <cell r="AI7">
            <v>10000</v>
          </cell>
        </row>
      </sheetData>
      <sheetData sheetId="5240">
        <row r="7">
          <cell r="AI7">
            <v>10000</v>
          </cell>
        </row>
      </sheetData>
      <sheetData sheetId="5241">
        <row r="7">
          <cell r="AI7">
            <v>10000</v>
          </cell>
        </row>
      </sheetData>
      <sheetData sheetId="5242">
        <row r="7">
          <cell r="AI7">
            <v>10000</v>
          </cell>
        </row>
      </sheetData>
      <sheetData sheetId="5243">
        <row r="7">
          <cell r="AI7">
            <v>10000</v>
          </cell>
        </row>
      </sheetData>
      <sheetData sheetId="5244">
        <row r="7">
          <cell r="AI7">
            <v>10000</v>
          </cell>
        </row>
      </sheetData>
      <sheetData sheetId="5245">
        <row r="7">
          <cell r="AI7">
            <v>10000</v>
          </cell>
        </row>
      </sheetData>
      <sheetData sheetId="5246">
        <row r="7">
          <cell r="AI7">
            <v>10000</v>
          </cell>
        </row>
      </sheetData>
      <sheetData sheetId="5247">
        <row r="7">
          <cell r="AI7">
            <v>10000</v>
          </cell>
        </row>
      </sheetData>
      <sheetData sheetId="5248">
        <row r="7">
          <cell r="AI7">
            <v>10000</v>
          </cell>
        </row>
      </sheetData>
      <sheetData sheetId="5249">
        <row r="7">
          <cell r="AI7">
            <v>10000</v>
          </cell>
        </row>
      </sheetData>
      <sheetData sheetId="5250">
        <row r="7">
          <cell r="AI7">
            <v>10000</v>
          </cell>
        </row>
      </sheetData>
      <sheetData sheetId="5251">
        <row r="7">
          <cell r="AI7">
            <v>10000</v>
          </cell>
        </row>
      </sheetData>
      <sheetData sheetId="5252">
        <row r="7">
          <cell r="AI7">
            <v>10000</v>
          </cell>
        </row>
      </sheetData>
      <sheetData sheetId="5253">
        <row r="7">
          <cell r="AI7">
            <v>10000</v>
          </cell>
        </row>
      </sheetData>
      <sheetData sheetId="5254">
        <row r="7">
          <cell r="AI7">
            <v>10000</v>
          </cell>
        </row>
      </sheetData>
      <sheetData sheetId="5255">
        <row r="7">
          <cell r="AI7">
            <v>10000</v>
          </cell>
        </row>
      </sheetData>
      <sheetData sheetId="5256">
        <row r="7">
          <cell r="AI7">
            <v>10000</v>
          </cell>
        </row>
      </sheetData>
      <sheetData sheetId="5257">
        <row r="7">
          <cell r="AI7">
            <v>10000</v>
          </cell>
        </row>
      </sheetData>
      <sheetData sheetId="5258">
        <row r="7">
          <cell r="AI7">
            <v>10000</v>
          </cell>
        </row>
      </sheetData>
      <sheetData sheetId="5259">
        <row r="7">
          <cell r="AI7">
            <v>10000</v>
          </cell>
        </row>
      </sheetData>
      <sheetData sheetId="5260">
        <row r="7">
          <cell r="AI7">
            <v>10000</v>
          </cell>
        </row>
      </sheetData>
      <sheetData sheetId="5261">
        <row r="7">
          <cell r="AI7">
            <v>10000</v>
          </cell>
        </row>
      </sheetData>
      <sheetData sheetId="5262">
        <row r="7">
          <cell r="AI7">
            <v>10000</v>
          </cell>
        </row>
      </sheetData>
      <sheetData sheetId="5263">
        <row r="7">
          <cell r="AI7">
            <v>10000</v>
          </cell>
        </row>
      </sheetData>
      <sheetData sheetId="5264">
        <row r="7">
          <cell r="AI7">
            <v>10000</v>
          </cell>
        </row>
      </sheetData>
      <sheetData sheetId="5265">
        <row r="7">
          <cell r="AI7">
            <v>10000</v>
          </cell>
        </row>
      </sheetData>
      <sheetData sheetId="5266">
        <row r="7">
          <cell r="AI7">
            <v>10000</v>
          </cell>
        </row>
      </sheetData>
      <sheetData sheetId="5267">
        <row r="7">
          <cell r="AI7">
            <v>10000</v>
          </cell>
        </row>
      </sheetData>
      <sheetData sheetId="5268">
        <row r="7">
          <cell r="AI7">
            <v>10000</v>
          </cell>
        </row>
      </sheetData>
      <sheetData sheetId="5269">
        <row r="7">
          <cell r="AI7">
            <v>10000</v>
          </cell>
        </row>
      </sheetData>
      <sheetData sheetId="5270">
        <row r="7">
          <cell r="AI7">
            <v>10000</v>
          </cell>
        </row>
      </sheetData>
      <sheetData sheetId="5271">
        <row r="7">
          <cell r="AI7">
            <v>10000</v>
          </cell>
        </row>
      </sheetData>
      <sheetData sheetId="5272">
        <row r="7">
          <cell r="AI7">
            <v>10000</v>
          </cell>
        </row>
      </sheetData>
      <sheetData sheetId="5273">
        <row r="7">
          <cell r="AI7">
            <v>10000</v>
          </cell>
        </row>
      </sheetData>
      <sheetData sheetId="5274">
        <row r="7">
          <cell r="AI7">
            <v>10000</v>
          </cell>
        </row>
      </sheetData>
      <sheetData sheetId="5275">
        <row r="7">
          <cell r="AI7">
            <v>10000</v>
          </cell>
        </row>
      </sheetData>
      <sheetData sheetId="5276">
        <row r="7">
          <cell r="AI7">
            <v>10000</v>
          </cell>
        </row>
      </sheetData>
      <sheetData sheetId="5277">
        <row r="7">
          <cell r="AI7">
            <v>10000</v>
          </cell>
        </row>
      </sheetData>
      <sheetData sheetId="5278">
        <row r="7">
          <cell r="AI7">
            <v>10000</v>
          </cell>
        </row>
      </sheetData>
      <sheetData sheetId="5279">
        <row r="7">
          <cell r="AI7">
            <v>10000</v>
          </cell>
        </row>
      </sheetData>
      <sheetData sheetId="5280">
        <row r="7">
          <cell r="AI7">
            <v>10000</v>
          </cell>
        </row>
      </sheetData>
      <sheetData sheetId="5281">
        <row r="7">
          <cell r="AI7">
            <v>10000</v>
          </cell>
        </row>
      </sheetData>
      <sheetData sheetId="5282">
        <row r="7">
          <cell r="AI7">
            <v>10000</v>
          </cell>
        </row>
      </sheetData>
      <sheetData sheetId="5283">
        <row r="7">
          <cell r="AI7">
            <v>10000</v>
          </cell>
        </row>
      </sheetData>
      <sheetData sheetId="5284">
        <row r="7">
          <cell r="AI7">
            <v>10000</v>
          </cell>
        </row>
      </sheetData>
      <sheetData sheetId="5285">
        <row r="7">
          <cell r="AI7">
            <v>10000</v>
          </cell>
        </row>
      </sheetData>
      <sheetData sheetId="5286">
        <row r="7">
          <cell r="AI7">
            <v>10000</v>
          </cell>
        </row>
      </sheetData>
      <sheetData sheetId="5287">
        <row r="7">
          <cell r="AI7">
            <v>10000</v>
          </cell>
        </row>
      </sheetData>
      <sheetData sheetId="5288">
        <row r="7">
          <cell r="AI7">
            <v>10000</v>
          </cell>
        </row>
      </sheetData>
      <sheetData sheetId="5289">
        <row r="7">
          <cell r="AI7">
            <v>10000</v>
          </cell>
        </row>
      </sheetData>
      <sheetData sheetId="5290">
        <row r="7">
          <cell r="AI7">
            <v>10000</v>
          </cell>
        </row>
      </sheetData>
      <sheetData sheetId="5291">
        <row r="7">
          <cell r="AI7">
            <v>10000</v>
          </cell>
        </row>
      </sheetData>
      <sheetData sheetId="5292">
        <row r="7">
          <cell r="AI7">
            <v>10000</v>
          </cell>
        </row>
      </sheetData>
      <sheetData sheetId="5293">
        <row r="7">
          <cell r="AI7">
            <v>10000</v>
          </cell>
        </row>
      </sheetData>
      <sheetData sheetId="5294">
        <row r="7">
          <cell r="AI7">
            <v>10000</v>
          </cell>
        </row>
      </sheetData>
      <sheetData sheetId="5295">
        <row r="7">
          <cell r="AI7">
            <v>10000</v>
          </cell>
        </row>
      </sheetData>
      <sheetData sheetId="5296">
        <row r="7">
          <cell r="AI7">
            <v>10000</v>
          </cell>
        </row>
      </sheetData>
      <sheetData sheetId="5297">
        <row r="7">
          <cell r="AI7">
            <v>10000</v>
          </cell>
        </row>
      </sheetData>
      <sheetData sheetId="5298">
        <row r="7">
          <cell r="AI7">
            <v>10000</v>
          </cell>
        </row>
      </sheetData>
      <sheetData sheetId="5299">
        <row r="7">
          <cell r="AI7">
            <v>10000</v>
          </cell>
        </row>
      </sheetData>
      <sheetData sheetId="5300">
        <row r="7">
          <cell r="AI7">
            <v>10000</v>
          </cell>
        </row>
      </sheetData>
      <sheetData sheetId="5301">
        <row r="7">
          <cell r="AI7">
            <v>10000</v>
          </cell>
        </row>
      </sheetData>
      <sheetData sheetId="5302">
        <row r="7">
          <cell r="AI7">
            <v>10000</v>
          </cell>
        </row>
      </sheetData>
      <sheetData sheetId="5303">
        <row r="7">
          <cell r="AI7">
            <v>10000</v>
          </cell>
        </row>
      </sheetData>
      <sheetData sheetId="5304">
        <row r="7">
          <cell r="AI7">
            <v>10000</v>
          </cell>
        </row>
      </sheetData>
      <sheetData sheetId="5305">
        <row r="7">
          <cell r="AI7">
            <v>10000</v>
          </cell>
        </row>
      </sheetData>
      <sheetData sheetId="5306">
        <row r="7">
          <cell r="AI7">
            <v>10000</v>
          </cell>
        </row>
      </sheetData>
      <sheetData sheetId="5307">
        <row r="7">
          <cell r="AI7">
            <v>10000</v>
          </cell>
        </row>
      </sheetData>
      <sheetData sheetId="5308">
        <row r="7">
          <cell r="AI7">
            <v>10000</v>
          </cell>
        </row>
      </sheetData>
      <sheetData sheetId="5309">
        <row r="7">
          <cell r="AI7">
            <v>10000</v>
          </cell>
        </row>
      </sheetData>
      <sheetData sheetId="5310">
        <row r="7">
          <cell r="AI7">
            <v>10000</v>
          </cell>
        </row>
      </sheetData>
      <sheetData sheetId="5311">
        <row r="7">
          <cell r="AI7">
            <v>10000</v>
          </cell>
        </row>
      </sheetData>
      <sheetData sheetId="5312">
        <row r="7">
          <cell r="AI7">
            <v>10000</v>
          </cell>
        </row>
      </sheetData>
      <sheetData sheetId="5313">
        <row r="7">
          <cell r="AI7">
            <v>10000</v>
          </cell>
        </row>
      </sheetData>
      <sheetData sheetId="5314">
        <row r="7">
          <cell r="AI7">
            <v>10000</v>
          </cell>
        </row>
      </sheetData>
      <sheetData sheetId="5315">
        <row r="7">
          <cell r="AI7">
            <v>10000</v>
          </cell>
        </row>
      </sheetData>
      <sheetData sheetId="5316">
        <row r="7">
          <cell r="AI7">
            <v>10000</v>
          </cell>
        </row>
      </sheetData>
      <sheetData sheetId="5317">
        <row r="7">
          <cell r="AI7">
            <v>10000</v>
          </cell>
        </row>
      </sheetData>
      <sheetData sheetId="5318">
        <row r="7">
          <cell r="AI7">
            <v>10000</v>
          </cell>
        </row>
      </sheetData>
      <sheetData sheetId="5319">
        <row r="7">
          <cell r="AI7">
            <v>10000</v>
          </cell>
        </row>
      </sheetData>
      <sheetData sheetId="5320">
        <row r="7">
          <cell r="AI7">
            <v>10000</v>
          </cell>
        </row>
      </sheetData>
      <sheetData sheetId="5321">
        <row r="7">
          <cell r="AI7">
            <v>10000</v>
          </cell>
        </row>
      </sheetData>
      <sheetData sheetId="5322">
        <row r="7">
          <cell r="AI7">
            <v>10000</v>
          </cell>
        </row>
      </sheetData>
      <sheetData sheetId="5323">
        <row r="7">
          <cell r="AI7">
            <v>10000</v>
          </cell>
        </row>
      </sheetData>
      <sheetData sheetId="5324">
        <row r="7">
          <cell r="AI7">
            <v>10000</v>
          </cell>
        </row>
      </sheetData>
      <sheetData sheetId="5325">
        <row r="7">
          <cell r="AI7">
            <v>10000</v>
          </cell>
        </row>
      </sheetData>
      <sheetData sheetId="5326">
        <row r="7">
          <cell r="AI7">
            <v>10000</v>
          </cell>
        </row>
      </sheetData>
      <sheetData sheetId="5327">
        <row r="7">
          <cell r="AI7">
            <v>10000</v>
          </cell>
        </row>
      </sheetData>
      <sheetData sheetId="5328">
        <row r="7">
          <cell r="AI7">
            <v>10000</v>
          </cell>
        </row>
      </sheetData>
      <sheetData sheetId="5329">
        <row r="7">
          <cell r="AI7">
            <v>10000</v>
          </cell>
        </row>
      </sheetData>
      <sheetData sheetId="5330">
        <row r="7">
          <cell r="AI7">
            <v>10000</v>
          </cell>
        </row>
      </sheetData>
      <sheetData sheetId="5331">
        <row r="7">
          <cell r="AI7">
            <v>10000</v>
          </cell>
        </row>
      </sheetData>
      <sheetData sheetId="5332">
        <row r="7">
          <cell r="AI7">
            <v>10000</v>
          </cell>
        </row>
      </sheetData>
      <sheetData sheetId="5333">
        <row r="7">
          <cell r="AI7">
            <v>10000</v>
          </cell>
        </row>
      </sheetData>
      <sheetData sheetId="5334">
        <row r="7">
          <cell r="AI7">
            <v>10000</v>
          </cell>
        </row>
      </sheetData>
      <sheetData sheetId="5335">
        <row r="7">
          <cell r="AI7">
            <v>10000</v>
          </cell>
        </row>
      </sheetData>
      <sheetData sheetId="5336">
        <row r="7">
          <cell r="AI7">
            <v>10000</v>
          </cell>
        </row>
      </sheetData>
      <sheetData sheetId="5337">
        <row r="7">
          <cell r="AI7">
            <v>10000</v>
          </cell>
        </row>
      </sheetData>
      <sheetData sheetId="5338">
        <row r="7">
          <cell r="AI7">
            <v>10000</v>
          </cell>
        </row>
      </sheetData>
      <sheetData sheetId="5339">
        <row r="7">
          <cell r="AI7">
            <v>10000</v>
          </cell>
        </row>
      </sheetData>
      <sheetData sheetId="5340">
        <row r="7">
          <cell r="AI7">
            <v>10000</v>
          </cell>
        </row>
      </sheetData>
      <sheetData sheetId="5341">
        <row r="7">
          <cell r="AI7">
            <v>10000</v>
          </cell>
        </row>
      </sheetData>
      <sheetData sheetId="5342">
        <row r="7">
          <cell r="AI7">
            <v>10000</v>
          </cell>
        </row>
      </sheetData>
      <sheetData sheetId="5343">
        <row r="7">
          <cell r="AI7">
            <v>10000</v>
          </cell>
        </row>
      </sheetData>
      <sheetData sheetId="5344">
        <row r="7">
          <cell r="AI7">
            <v>10000</v>
          </cell>
        </row>
      </sheetData>
      <sheetData sheetId="5345">
        <row r="7">
          <cell r="AI7">
            <v>10000</v>
          </cell>
        </row>
      </sheetData>
      <sheetData sheetId="5346">
        <row r="7">
          <cell r="AI7">
            <v>10000</v>
          </cell>
        </row>
      </sheetData>
      <sheetData sheetId="5347">
        <row r="7">
          <cell r="AI7">
            <v>10000</v>
          </cell>
        </row>
      </sheetData>
      <sheetData sheetId="5348">
        <row r="7">
          <cell r="AI7">
            <v>10000</v>
          </cell>
        </row>
      </sheetData>
      <sheetData sheetId="5349">
        <row r="7">
          <cell r="AI7">
            <v>10000</v>
          </cell>
        </row>
      </sheetData>
      <sheetData sheetId="5350">
        <row r="7">
          <cell r="AI7">
            <v>10000</v>
          </cell>
        </row>
      </sheetData>
      <sheetData sheetId="5351">
        <row r="7">
          <cell r="AI7">
            <v>10000</v>
          </cell>
        </row>
      </sheetData>
      <sheetData sheetId="5352">
        <row r="7">
          <cell r="AI7">
            <v>10000</v>
          </cell>
        </row>
      </sheetData>
      <sheetData sheetId="5353">
        <row r="7">
          <cell r="AI7">
            <v>10000</v>
          </cell>
        </row>
      </sheetData>
      <sheetData sheetId="5354">
        <row r="7">
          <cell r="AI7">
            <v>10000</v>
          </cell>
        </row>
      </sheetData>
      <sheetData sheetId="5355">
        <row r="7">
          <cell r="AI7">
            <v>10000</v>
          </cell>
        </row>
      </sheetData>
      <sheetData sheetId="5356">
        <row r="7">
          <cell r="AI7">
            <v>10000</v>
          </cell>
        </row>
      </sheetData>
      <sheetData sheetId="5357">
        <row r="7">
          <cell r="AI7">
            <v>10000</v>
          </cell>
        </row>
      </sheetData>
      <sheetData sheetId="5358">
        <row r="7">
          <cell r="AI7">
            <v>10000</v>
          </cell>
        </row>
      </sheetData>
      <sheetData sheetId="5359">
        <row r="7">
          <cell r="AI7">
            <v>10000</v>
          </cell>
        </row>
      </sheetData>
      <sheetData sheetId="5360">
        <row r="7">
          <cell r="AI7">
            <v>10000</v>
          </cell>
        </row>
      </sheetData>
      <sheetData sheetId="5361">
        <row r="7">
          <cell r="AI7">
            <v>10000</v>
          </cell>
        </row>
      </sheetData>
      <sheetData sheetId="5362">
        <row r="7">
          <cell r="AI7">
            <v>10000</v>
          </cell>
        </row>
      </sheetData>
      <sheetData sheetId="5363">
        <row r="7">
          <cell r="AI7">
            <v>10000</v>
          </cell>
        </row>
      </sheetData>
      <sheetData sheetId="5364">
        <row r="7">
          <cell r="AI7">
            <v>10000</v>
          </cell>
        </row>
      </sheetData>
      <sheetData sheetId="5365">
        <row r="7">
          <cell r="AI7">
            <v>10000</v>
          </cell>
        </row>
      </sheetData>
      <sheetData sheetId="5366">
        <row r="7">
          <cell r="AI7">
            <v>10000</v>
          </cell>
        </row>
      </sheetData>
      <sheetData sheetId="5367">
        <row r="7">
          <cell r="AI7">
            <v>10000</v>
          </cell>
        </row>
      </sheetData>
      <sheetData sheetId="5368">
        <row r="7">
          <cell r="AI7">
            <v>10000</v>
          </cell>
        </row>
      </sheetData>
      <sheetData sheetId="5369">
        <row r="7">
          <cell r="AI7">
            <v>10000</v>
          </cell>
        </row>
      </sheetData>
      <sheetData sheetId="5370">
        <row r="7">
          <cell r="AI7">
            <v>10000</v>
          </cell>
        </row>
      </sheetData>
      <sheetData sheetId="5371">
        <row r="7">
          <cell r="AI7">
            <v>10000</v>
          </cell>
        </row>
      </sheetData>
      <sheetData sheetId="5372">
        <row r="7">
          <cell r="AI7">
            <v>10000</v>
          </cell>
        </row>
      </sheetData>
      <sheetData sheetId="5373">
        <row r="7">
          <cell r="AI7">
            <v>10000</v>
          </cell>
        </row>
      </sheetData>
      <sheetData sheetId="5374">
        <row r="7">
          <cell r="AI7">
            <v>10000</v>
          </cell>
        </row>
      </sheetData>
      <sheetData sheetId="5375">
        <row r="7">
          <cell r="AI7">
            <v>10000</v>
          </cell>
        </row>
      </sheetData>
      <sheetData sheetId="5376">
        <row r="7">
          <cell r="AI7">
            <v>10000</v>
          </cell>
        </row>
      </sheetData>
      <sheetData sheetId="5377">
        <row r="7">
          <cell r="AI7">
            <v>10000</v>
          </cell>
        </row>
      </sheetData>
      <sheetData sheetId="5378">
        <row r="7">
          <cell r="AI7">
            <v>10000</v>
          </cell>
        </row>
      </sheetData>
      <sheetData sheetId="5379">
        <row r="7">
          <cell r="AI7">
            <v>10000</v>
          </cell>
        </row>
      </sheetData>
      <sheetData sheetId="5380">
        <row r="7">
          <cell r="AI7">
            <v>10000</v>
          </cell>
        </row>
      </sheetData>
      <sheetData sheetId="5381">
        <row r="7">
          <cell r="AI7">
            <v>10000</v>
          </cell>
        </row>
      </sheetData>
      <sheetData sheetId="5382">
        <row r="7">
          <cell r="AI7">
            <v>10000</v>
          </cell>
        </row>
      </sheetData>
      <sheetData sheetId="5383">
        <row r="7">
          <cell r="AI7">
            <v>10000</v>
          </cell>
        </row>
      </sheetData>
      <sheetData sheetId="5384">
        <row r="7">
          <cell r="AI7">
            <v>10000</v>
          </cell>
        </row>
      </sheetData>
      <sheetData sheetId="5385">
        <row r="7">
          <cell r="AI7">
            <v>10000</v>
          </cell>
        </row>
      </sheetData>
      <sheetData sheetId="5386">
        <row r="7">
          <cell r="AI7">
            <v>10000</v>
          </cell>
        </row>
      </sheetData>
      <sheetData sheetId="5387">
        <row r="7">
          <cell r="AI7">
            <v>10000</v>
          </cell>
        </row>
      </sheetData>
      <sheetData sheetId="5388">
        <row r="7">
          <cell r="AI7">
            <v>10000</v>
          </cell>
        </row>
      </sheetData>
      <sheetData sheetId="5389">
        <row r="7">
          <cell r="AI7">
            <v>10000</v>
          </cell>
        </row>
      </sheetData>
      <sheetData sheetId="5390">
        <row r="7">
          <cell r="AI7">
            <v>10000</v>
          </cell>
        </row>
      </sheetData>
      <sheetData sheetId="5391">
        <row r="7">
          <cell r="AI7">
            <v>10000</v>
          </cell>
        </row>
      </sheetData>
      <sheetData sheetId="5392">
        <row r="7">
          <cell r="AI7">
            <v>10000</v>
          </cell>
        </row>
      </sheetData>
      <sheetData sheetId="5393">
        <row r="7">
          <cell r="AI7">
            <v>10000</v>
          </cell>
        </row>
      </sheetData>
      <sheetData sheetId="5394">
        <row r="7">
          <cell r="AI7">
            <v>10000</v>
          </cell>
        </row>
      </sheetData>
      <sheetData sheetId="5395">
        <row r="7">
          <cell r="AI7">
            <v>10000</v>
          </cell>
        </row>
      </sheetData>
      <sheetData sheetId="5396">
        <row r="7">
          <cell r="AI7">
            <v>10000</v>
          </cell>
        </row>
      </sheetData>
      <sheetData sheetId="5397">
        <row r="7">
          <cell r="AI7">
            <v>10000</v>
          </cell>
        </row>
      </sheetData>
      <sheetData sheetId="5398">
        <row r="7">
          <cell r="AI7">
            <v>10000</v>
          </cell>
        </row>
      </sheetData>
      <sheetData sheetId="5399">
        <row r="7">
          <cell r="AI7">
            <v>10000</v>
          </cell>
        </row>
      </sheetData>
      <sheetData sheetId="5400">
        <row r="7">
          <cell r="AI7">
            <v>10000</v>
          </cell>
        </row>
      </sheetData>
      <sheetData sheetId="5401">
        <row r="7">
          <cell r="AI7">
            <v>10000</v>
          </cell>
        </row>
      </sheetData>
      <sheetData sheetId="5402">
        <row r="7">
          <cell r="AI7">
            <v>10000</v>
          </cell>
        </row>
      </sheetData>
      <sheetData sheetId="5403">
        <row r="7">
          <cell r="AI7">
            <v>10000</v>
          </cell>
        </row>
      </sheetData>
      <sheetData sheetId="5404">
        <row r="7">
          <cell r="AI7">
            <v>10000</v>
          </cell>
        </row>
      </sheetData>
      <sheetData sheetId="5405">
        <row r="7">
          <cell r="AI7">
            <v>10000</v>
          </cell>
        </row>
      </sheetData>
      <sheetData sheetId="5406">
        <row r="7">
          <cell r="AI7">
            <v>10000</v>
          </cell>
        </row>
      </sheetData>
      <sheetData sheetId="5407">
        <row r="7">
          <cell r="AI7">
            <v>10000</v>
          </cell>
        </row>
      </sheetData>
      <sheetData sheetId="5408">
        <row r="7">
          <cell r="AI7">
            <v>10000</v>
          </cell>
        </row>
      </sheetData>
      <sheetData sheetId="5409">
        <row r="7">
          <cell r="AI7">
            <v>10000</v>
          </cell>
        </row>
      </sheetData>
      <sheetData sheetId="5410">
        <row r="7">
          <cell r="AI7">
            <v>10000</v>
          </cell>
        </row>
      </sheetData>
      <sheetData sheetId="5411">
        <row r="7">
          <cell r="AI7">
            <v>10000</v>
          </cell>
        </row>
      </sheetData>
      <sheetData sheetId="5412">
        <row r="7">
          <cell r="AI7">
            <v>10000</v>
          </cell>
        </row>
      </sheetData>
      <sheetData sheetId="5413">
        <row r="7">
          <cell r="AI7">
            <v>10000</v>
          </cell>
        </row>
      </sheetData>
      <sheetData sheetId="5414">
        <row r="7">
          <cell r="AI7">
            <v>10000</v>
          </cell>
        </row>
      </sheetData>
      <sheetData sheetId="5415">
        <row r="7">
          <cell r="AI7">
            <v>10000</v>
          </cell>
        </row>
      </sheetData>
      <sheetData sheetId="5416">
        <row r="7">
          <cell r="AI7">
            <v>10000</v>
          </cell>
        </row>
      </sheetData>
      <sheetData sheetId="5417">
        <row r="7">
          <cell r="AI7">
            <v>10000</v>
          </cell>
        </row>
      </sheetData>
      <sheetData sheetId="5418">
        <row r="7">
          <cell r="AI7">
            <v>10000</v>
          </cell>
        </row>
      </sheetData>
      <sheetData sheetId="5419">
        <row r="7">
          <cell r="AI7">
            <v>10000</v>
          </cell>
        </row>
      </sheetData>
      <sheetData sheetId="5420">
        <row r="7">
          <cell r="AI7">
            <v>10000</v>
          </cell>
        </row>
      </sheetData>
      <sheetData sheetId="5421">
        <row r="7">
          <cell r="AI7">
            <v>10000</v>
          </cell>
        </row>
      </sheetData>
      <sheetData sheetId="5422">
        <row r="7">
          <cell r="AI7">
            <v>10000</v>
          </cell>
        </row>
      </sheetData>
      <sheetData sheetId="5423">
        <row r="7">
          <cell r="AI7">
            <v>10000</v>
          </cell>
        </row>
      </sheetData>
      <sheetData sheetId="5424">
        <row r="7">
          <cell r="AI7">
            <v>10000</v>
          </cell>
        </row>
      </sheetData>
      <sheetData sheetId="5425">
        <row r="7">
          <cell r="AI7">
            <v>10000</v>
          </cell>
        </row>
      </sheetData>
      <sheetData sheetId="5426">
        <row r="7">
          <cell r="AI7">
            <v>10000</v>
          </cell>
        </row>
      </sheetData>
      <sheetData sheetId="5427">
        <row r="7">
          <cell r="AI7">
            <v>10000</v>
          </cell>
        </row>
      </sheetData>
      <sheetData sheetId="5428">
        <row r="7">
          <cell r="AI7">
            <v>10000</v>
          </cell>
        </row>
      </sheetData>
      <sheetData sheetId="5429">
        <row r="7">
          <cell r="AI7">
            <v>10000</v>
          </cell>
        </row>
      </sheetData>
      <sheetData sheetId="5430">
        <row r="7">
          <cell r="AI7">
            <v>10000</v>
          </cell>
        </row>
      </sheetData>
      <sheetData sheetId="5431">
        <row r="7">
          <cell r="AI7">
            <v>10000</v>
          </cell>
        </row>
      </sheetData>
      <sheetData sheetId="5432">
        <row r="7">
          <cell r="AI7">
            <v>10000</v>
          </cell>
        </row>
      </sheetData>
      <sheetData sheetId="5433">
        <row r="7">
          <cell r="AI7">
            <v>10000</v>
          </cell>
        </row>
      </sheetData>
      <sheetData sheetId="5434">
        <row r="7">
          <cell r="AI7">
            <v>10000</v>
          </cell>
        </row>
      </sheetData>
      <sheetData sheetId="5435">
        <row r="7">
          <cell r="AI7">
            <v>10000</v>
          </cell>
        </row>
      </sheetData>
      <sheetData sheetId="5436">
        <row r="7">
          <cell r="AI7">
            <v>10000</v>
          </cell>
        </row>
      </sheetData>
      <sheetData sheetId="5437">
        <row r="7">
          <cell r="AI7">
            <v>10000</v>
          </cell>
        </row>
      </sheetData>
      <sheetData sheetId="5438">
        <row r="7">
          <cell r="AI7">
            <v>10000</v>
          </cell>
        </row>
      </sheetData>
      <sheetData sheetId="5439">
        <row r="7">
          <cell r="AI7">
            <v>10000</v>
          </cell>
        </row>
      </sheetData>
      <sheetData sheetId="5440">
        <row r="7">
          <cell r="AI7">
            <v>10000</v>
          </cell>
        </row>
      </sheetData>
      <sheetData sheetId="5441">
        <row r="7">
          <cell r="AI7">
            <v>10000</v>
          </cell>
        </row>
      </sheetData>
      <sheetData sheetId="5442">
        <row r="7">
          <cell r="AI7">
            <v>10000</v>
          </cell>
        </row>
      </sheetData>
      <sheetData sheetId="5443">
        <row r="7">
          <cell r="AI7">
            <v>10000</v>
          </cell>
        </row>
      </sheetData>
      <sheetData sheetId="5444">
        <row r="7">
          <cell r="AI7">
            <v>10000</v>
          </cell>
        </row>
      </sheetData>
      <sheetData sheetId="5445">
        <row r="7">
          <cell r="AI7">
            <v>10000</v>
          </cell>
        </row>
      </sheetData>
      <sheetData sheetId="5446">
        <row r="7">
          <cell r="AI7">
            <v>10000</v>
          </cell>
        </row>
      </sheetData>
      <sheetData sheetId="5447">
        <row r="7">
          <cell r="AI7">
            <v>10000</v>
          </cell>
        </row>
      </sheetData>
      <sheetData sheetId="5448">
        <row r="7">
          <cell r="AI7">
            <v>10000</v>
          </cell>
        </row>
      </sheetData>
      <sheetData sheetId="5449">
        <row r="7">
          <cell r="AI7">
            <v>10000</v>
          </cell>
        </row>
      </sheetData>
      <sheetData sheetId="5450">
        <row r="7">
          <cell r="AI7">
            <v>10000</v>
          </cell>
        </row>
      </sheetData>
      <sheetData sheetId="5451">
        <row r="7">
          <cell r="AI7">
            <v>10000</v>
          </cell>
        </row>
      </sheetData>
      <sheetData sheetId="5452">
        <row r="7">
          <cell r="AI7">
            <v>10000</v>
          </cell>
        </row>
      </sheetData>
      <sheetData sheetId="5453">
        <row r="7">
          <cell r="AI7">
            <v>10000</v>
          </cell>
        </row>
      </sheetData>
      <sheetData sheetId="5454">
        <row r="7">
          <cell r="AI7">
            <v>10000</v>
          </cell>
        </row>
      </sheetData>
      <sheetData sheetId="5455">
        <row r="7">
          <cell r="AI7">
            <v>10000</v>
          </cell>
        </row>
      </sheetData>
      <sheetData sheetId="5456">
        <row r="7">
          <cell r="AI7">
            <v>10000</v>
          </cell>
        </row>
      </sheetData>
      <sheetData sheetId="5457">
        <row r="7">
          <cell r="AI7">
            <v>10000</v>
          </cell>
        </row>
      </sheetData>
      <sheetData sheetId="5458">
        <row r="7">
          <cell r="AI7">
            <v>10000</v>
          </cell>
        </row>
      </sheetData>
      <sheetData sheetId="5459">
        <row r="7">
          <cell r="AI7">
            <v>10000</v>
          </cell>
        </row>
      </sheetData>
      <sheetData sheetId="5460">
        <row r="7">
          <cell r="AI7">
            <v>10000</v>
          </cell>
        </row>
      </sheetData>
      <sheetData sheetId="5461">
        <row r="7">
          <cell r="AI7">
            <v>10000</v>
          </cell>
        </row>
      </sheetData>
      <sheetData sheetId="5462">
        <row r="7">
          <cell r="AI7">
            <v>10000</v>
          </cell>
        </row>
      </sheetData>
      <sheetData sheetId="5463">
        <row r="7">
          <cell r="AI7">
            <v>10000</v>
          </cell>
        </row>
      </sheetData>
      <sheetData sheetId="5464">
        <row r="7">
          <cell r="AI7">
            <v>10000</v>
          </cell>
        </row>
      </sheetData>
      <sheetData sheetId="5465">
        <row r="7">
          <cell r="AI7">
            <v>10000</v>
          </cell>
        </row>
      </sheetData>
      <sheetData sheetId="5466">
        <row r="7">
          <cell r="AI7">
            <v>10000</v>
          </cell>
        </row>
      </sheetData>
      <sheetData sheetId="5467">
        <row r="7">
          <cell r="AI7">
            <v>10000</v>
          </cell>
        </row>
      </sheetData>
      <sheetData sheetId="5468">
        <row r="7">
          <cell r="AI7">
            <v>10000</v>
          </cell>
        </row>
      </sheetData>
      <sheetData sheetId="5469">
        <row r="7">
          <cell r="AI7">
            <v>10000</v>
          </cell>
        </row>
      </sheetData>
      <sheetData sheetId="5470">
        <row r="7">
          <cell r="AI7">
            <v>10000</v>
          </cell>
        </row>
      </sheetData>
      <sheetData sheetId="5471">
        <row r="7">
          <cell r="AI7">
            <v>10000</v>
          </cell>
        </row>
      </sheetData>
      <sheetData sheetId="5472">
        <row r="7">
          <cell r="AI7">
            <v>10000</v>
          </cell>
        </row>
      </sheetData>
      <sheetData sheetId="5473">
        <row r="7">
          <cell r="AI7">
            <v>10000</v>
          </cell>
        </row>
      </sheetData>
      <sheetData sheetId="5474">
        <row r="7">
          <cell r="AI7">
            <v>10000</v>
          </cell>
        </row>
      </sheetData>
      <sheetData sheetId="5475">
        <row r="7">
          <cell r="AI7">
            <v>10000</v>
          </cell>
        </row>
      </sheetData>
      <sheetData sheetId="5476">
        <row r="7">
          <cell r="AI7">
            <v>10000</v>
          </cell>
        </row>
      </sheetData>
      <sheetData sheetId="5477">
        <row r="7">
          <cell r="AI7">
            <v>10000</v>
          </cell>
        </row>
      </sheetData>
      <sheetData sheetId="5478">
        <row r="7">
          <cell r="AI7">
            <v>10000</v>
          </cell>
        </row>
      </sheetData>
      <sheetData sheetId="5479">
        <row r="7">
          <cell r="AI7">
            <v>10000</v>
          </cell>
        </row>
      </sheetData>
      <sheetData sheetId="5480">
        <row r="7">
          <cell r="AI7">
            <v>10000</v>
          </cell>
        </row>
      </sheetData>
      <sheetData sheetId="5481">
        <row r="7">
          <cell r="AI7">
            <v>10000</v>
          </cell>
        </row>
      </sheetData>
      <sheetData sheetId="5482">
        <row r="7">
          <cell r="AI7">
            <v>10000</v>
          </cell>
        </row>
      </sheetData>
      <sheetData sheetId="5483">
        <row r="7">
          <cell r="AI7">
            <v>10000</v>
          </cell>
        </row>
      </sheetData>
      <sheetData sheetId="5484">
        <row r="7">
          <cell r="AI7">
            <v>10000</v>
          </cell>
        </row>
      </sheetData>
      <sheetData sheetId="5485">
        <row r="7">
          <cell r="AI7">
            <v>10000</v>
          </cell>
        </row>
      </sheetData>
      <sheetData sheetId="5486">
        <row r="7">
          <cell r="AI7">
            <v>10000</v>
          </cell>
        </row>
      </sheetData>
      <sheetData sheetId="5487">
        <row r="7">
          <cell r="AI7">
            <v>10000</v>
          </cell>
        </row>
      </sheetData>
      <sheetData sheetId="5488">
        <row r="7">
          <cell r="AI7">
            <v>10000</v>
          </cell>
        </row>
      </sheetData>
      <sheetData sheetId="5489">
        <row r="7">
          <cell r="AI7">
            <v>10000</v>
          </cell>
        </row>
      </sheetData>
      <sheetData sheetId="5490">
        <row r="7">
          <cell r="AI7">
            <v>10000</v>
          </cell>
        </row>
      </sheetData>
      <sheetData sheetId="5491">
        <row r="7">
          <cell r="AI7">
            <v>10000</v>
          </cell>
        </row>
      </sheetData>
      <sheetData sheetId="5492">
        <row r="7">
          <cell r="AI7">
            <v>10000</v>
          </cell>
        </row>
      </sheetData>
      <sheetData sheetId="5493">
        <row r="7">
          <cell r="AI7">
            <v>10000</v>
          </cell>
        </row>
      </sheetData>
      <sheetData sheetId="5494">
        <row r="7">
          <cell r="AI7">
            <v>10000</v>
          </cell>
        </row>
      </sheetData>
      <sheetData sheetId="5495">
        <row r="7">
          <cell r="AI7">
            <v>10000</v>
          </cell>
        </row>
      </sheetData>
      <sheetData sheetId="5496">
        <row r="7">
          <cell r="AI7">
            <v>10000</v>
          </cell>
        </row>
      </sheetData>
      <sheetData sheetId="5497">
        <row r="7">
          <cell r="AI7">
            <v>10000</v>
          </cell>
        </row>
      </sheetData>
      <sheetData sheetId="5498">
        <row r="7">
          <cell r="AI7">
            <v>10000</v>
          </cell>
        </row>
      </sheetData>
      <sheetData sheetId="5499">
        <row r="7">
          <cell r="AI7">
            <v>10000</v>
          </cell>
        </row>
      </sheetData>
      <sheetData sheetId="5500">
        <row r="7">
          <cell r="AI7">
            <v>10000</v>
          </cell>
        </row>
      </sheetData>
      <sheetData sheetId="5501">
        <row r="7">
          <cell r="AI7">
            <v>10000</v>
          </cell>
        </row>
      </sheetData>
      <sheetData sheetId="5502">
        <row r="7">
          <cell r="AI7">
            <v>10000</v>
          </cell>
        </row>
      </sheetData>
      <sheetData sheetId="5503">
        <row r="7">
          <cell r="AI7">
            <v>10000</v>
          </cell>
        </row>
      </sheetData>
      <sheetData sheetId="5504">
        <row r="7">
          <cell r="AI7">
            <v>10000</v>
          </cell>
        </row>
      </sheetData>
      <sheetData sheetId="5505">
        <row r="7">
          <cell r="AI7">
            <v>10000</v>
          </cell>
        </row>
      </sheetData>
      <sheetData sheetId="5506">
        <row r="7">
          <cell r="AI7">
            <v>10000</v>
          </cell>
        </row>
      </sheetData>
      <sheetData sheetId="5507">
        <row r="7">
          <cell r="AI7">
            <v>10000</v>
          </cell>
        </row>
      </sheetData>
      <sheetData sheetId="5508">
        <row r="7">
          <cell r="AI7">
            <v>10000</v>
          </cell>
        </row>
      </sheetData>
      <sheetData sheetId="5509">
        <row r="7">
          <cell r="AI7">
            <v>10000</v>
          </cell>
        </row>
      </sheetData>
      <sheetData sheetId="5510">
        <row r="7">
          <cell r="AI7">
            <v>10000</v>
          </cell>
        </row>
      </sheetData>
      <sheetData sheetId="5511">
        <row r="7">
          <cell r="AI7">
            <v>10000</v>
          </cell>
        </row>
      </sheetData>
      <sheetData sheetId="5512">
        <row r="7">
          <cell r="AI7">
            <v>10000</v>
          </cell>
        </row>
      </sheetData>
      <sheetData sheetId="5513">
        <row r="7">
          <cell r="AI7">
            <v>10000</v>
          </cell>
        </row>
      </sheetData>
      <sheetData sheetId="5514">
        <row r="7">
          <cell r="AI7">
            <v>10000</v>
          </cell>
        </row>
      </sheetData>
      <sheetData sheetId="5515">
        <row r="7">
          <cell r="AI7">
            <v>10000</v>
          </cell>
        </row>
      </sheetData>
      <sheetData sheetId="5516">
        <row r="7">
          <cell r="AI7">
            <v>10000</v>
          </cell>
        </row>
      </sheetData>
      <sheetData sheetId="5517">
        <row r="7">
          <cell r="AI7">
            <v>10000</v>
          </cell>
        </row>
      </sheetData>
      <sheetData sheetId="5518">
        <row r="7">
          <cell r="AI7">
            <v>10000</v>
          </cell>
        </row>
      </sheetData>
      <sheetData sheetId="5519">
        <row r="7">
          <cell r="AI7">
            <v>10000</v>
          </cell>
        </row>
      </sheetData>
      <sheetData sheetId="5520">
        <row r="7">
          <cell r="AI7">
            <v>10000</v>
          </cell>
        </row>
      </sheetData>
      <sheetData sheetId="5521">
        <row r="7">
          <cell r="AI7">
            <v>10000</v>
          </cell>
        </row>
      </sheetData>
      <sheetData sheetId="5522">
        <row r="7">
          <cell r="AI7">
            <v>10000</v>
          </cell>
        </row>
      </sheetData>
      <sheetData sheetId="5523">
        <row r="7">
          <cell r="AI7">
            <v>10000</v>
          </cell>
        </row>
      </sheetData>
      <sheetData sheetId="5524">
        <row r="7">
          <cell r="AI7">
            <v>10000</v>
          </cell>
        </row>
      </sheetData>
      <sheetData sheetId="5525">
        <row r="7">
          <cell r="AI7">
            <v>10000</v>
          </cell>
        </row>
      </sheetData>
      <sheetData sheetId="5526">
        <row r="7">
          <cell r="AI7">
            <v>10000</v>
          </cell>
        </row>
      </sheetData>
      <sheetData sheetId="5527">
        <row r="7">
          <cell r="AI7">
            <v>10000</v>
          </cell>
        </row>
      </sheetData>
      <sheetData sheetId="5528">
        <row r="7">
          <cell r="AI7">
            <v>10000</v>
          </cell>
        </row>
      </sheetData>
      <sheetData sheetId="5529">
        <row r="7">
          <cell r="AI7">
            <v>10000</v>
          </cell>
        </row>
      </sheetData>
      <sheetData sheetId="5530">
        <row r="7">
          <cell r="AI7">
            <v>10000</v>
          </cell>
        </row>
      </sheetData>
      <sheetData sheetId="5531">
        <row r="7">
          <cell r="AI7">
            <v>10000</v>
          </cell>
        </row>
      </sheetData>
      <sheetData sheetId="5532">
        <row r="7">
          <cell r="AI7">
            <v>10000</v>
          </cell>
        </row>
      </sheetData>
      <sheetData sheetId="5533">
        <row r="7">
          <cell r="AI7">
            <v>10000</v>
          </cell>
        </row>
      </sheetData>
      <sheetData sheetId="5534">
        <row r="7">
          <cell r="AI7">
            <v>10000</v>
          </cell>
        </row>
      </sheetData>
      <sheetData sheetId="5535">
        <row r="7">
          <cell r="AI7">
            <v>10000</v>
          </cell>
        </row>
      </sheetData>
      <sheetData sheetId="5536">
        <row r="7">
          <cell r="AI7">
            <v>10000</v>
          </cell>
        </row>
      </sheetData>
      <sheetData sheetId="5537">
        <row r="7">
          <cell r="AI7">
            <v>10000</v>
          </cell>
        </row>
      </sheetData>
      <sheetData sheetId="5538">
        <row r="7">
          <cell r="AI7">
            <v>10000</v>
          </cell>
        </row>
      </sheetData>
      <sheetData sheetId="5539">
        <row r="7">
          <cell r="AI7">
            <v>10000</v>
          </cell>
        </row>
      </sheetData>
      <sheetData sheetId="5540">
        <row r="7">
          <cell r="AI7">
            <v>10000</v>
          </cell>
        </row>
      </sheetData>
      <sheetData sheetId="5541">
        <row r="7">
          <cell r="AI7">
            <v>10000</v>
          </cell>
        </row>
      </sheetData>
      <sheetData sheetId="5542">
        <row r="7">
          <cell r="AI7">
            <v>10000</v>
          </cell>
        </row>
      </sheetData>
      <sheetData sheetId="5543">
        <row r="7">
          <cell r="AI7">
            <v>10000</v>
          </cell>
        </row>
      </sheetData>
      <sheetData sheetId="5544">
        <row r="7">
          <cell r="AI7">
            <v>10000</v>
          </cell>
        </row>
      </sheetData>
      <sheetData sheetId="5545">
        <row r="7">
          <cell r="AI7">
            <v>10000</v>
          </cell>
        </row>
      </sheetData>
      <sheetData sheetId="5546">
        <row r="7">
          <cell r="AI7">
            <v>10000</v>
          </cell>
        </row>
      </sheetData>
      <sheetData sheetId="5547">
        <row r="7">
          <cell r="AI7">
            <v>10000</v>
          </cell>
        </row>
      </sheetData>
      <sheetData sheetId="5548">
        <row r="7">
          <cell r="AI7">
            <v>10000</v>
          </cell>
        </row>
      </sheetData>
      <sheetData sheetId="5549">
        <row r="7">
          <cell r="AI7">
            <v>10000</v>
          </cell>
        </row>
      </sheetData>
      <sheetData sheetId="5550">
        <row r="7">
          <cell r="AI7">
            <v>10000</v>
          </cell>
        </row>
      </sheetData>
      <sheetData sheetId="5551">
        <row r="7">
          <cell r="AI7">
            <v>10000</v>
          </cell>
        </row>
      </sheetData>
      <sheetData sheetId="5552">
        <row r="7">
          <cell r="AI7">
            <v>10000</v>
          </cell>
        </row>
      </sheetData>
      <sheetData sheetId="5553">
        <row r="7">
          <cell r="AI7">
            <v>10000</v>
          </cell>
        </row>
      </sheetData>
      <sheetData sheetId="5554">
        <row r="7">
          <cell r="AI7">
            <v>10000</v>
          </cell>
        </row>
      </sheetData>
      <sheetData sheetId="5555">
        <row r="7">
          <cell r="AI7">
            <v>10000</v>
          </cell>
        </row>
      </sheetData>
      <sheetData sheetId="5556">
        <row r="7">
          <cell r="AI7">
            <v>10000</v>
          </cell>
        </row>
      </sheetData>
      <sheetData sheetId="5557">
        <row r="7">
          <cell r="AI7">
            <v>10000</v>
          </cell>
        </row>
      </sheetData>
      <sheetData sheetId="5558">
        <row r="7">
          <cell r="AI7">
            <v>10000</v>
          </cell>
        </row>
      </sheetData>
      <sheetData sheetId="5559">
        <row r="7">
          <cell r="AI7">
            <v>10000</v>
          </cell>
        </row>
      </sheetData>
      <sheetData sheetId="5560">
        <row r="7">
          <cell r="AI7">
            <v>10000</v>
          </cell>
        </row>
      </sheetData>
      <sheetData sheetId="5561">
        <row r="7">
          <cell r="AI7">
            <v>10000</v>
          </cell>
        </row>
      </sheetData>
      <sheetData sheetId="5562">
        <row r="7">
          <cell r="AI7">
            <v>10000</v>
          </cell>
        </row>
      </sheetData>
      <sheetData sheetId="5563">
        <row r="7">
          <cell r="AI7">
            <v>10000</v>
          </cell>
        </row>
      </sheetData>
      <sheetData sheetId="5564">
        <row r="7">
          <cell r="AI7">
            <v>10000</v>
          </cell>
        </row>
      </sheetData>
      <sheetData sheetId="5565">
        <row r="7">
          <cell r="AI7">
            <v>10000</v>
          </cell>
        </row>
      </sheetData>
      <sheetData sheetId="5566">
        <row r="7">
          <cell r="AI7">
            <v>10000</v>
          </cell>
        </row>
      </sheetData>
      <sheetData sheetId="5567">
        <row r="7">
          <cell r="AI7">
            <v>10000</v>
          </cell>
        </row>
      </sheetData>
      <sheetData sheetId="5568">
        <row r="7">
          <cell r="AI7">
            <v>10000</v>
          </cell>
        </row>
      </sheetData>
      <sheetData sheetId="5569">
        <row r="7">
          <cell r="AI7">
            <v>10000</v>
          </cell>
        </row>
      </sheetData>
      <sheetData sheetId="5570">
        <row r="7">
          <cell r="AI7">
            <v>10000</v>
          </cell>
        </row>
      </sheetData>
      <sheetData sheetId="5571">
        <row r="7">
          <cell r="AI7">
            <v>10000</v>
          </cell>
        </row>
      </sheetData>
      <sheetData sheetId="5572">
        <row r="7">
          <cell r="AI7">
            <v>10000</v>
          </cell>
        </row>
      </sheetData>
      <sheetData sheetId="5573">
        <row r="7">
          <cell r="AI7">
            <v>10000</v>
          </cell>
        </row>
      </sheetData>
      <sheetData sheetId="5574">
        <row r="7">
          <cell r="AI7">
            <v>10000</v>
          </cell>
        </row>
      </sheetData>
      <sheetData sheetId="5575">
        <row r="7">
          <cell r="AI7">
            <v>10000</v>
          </cell>
        </row>
      </sheetData>
      <sheetData sheetId="5576">
        <row r="7">
          <cell r="AI7">
            <v>10000</v>
          </cell>
        </row>
      </sheetData>
      <sheetData sheetId="5577">
        <row r="7">
          <cell r="AI7">
            <v>10000</v>
          </cell>
        </row>
      </sheetData>
      <sheetData sheetId="5578">
        <row r="7">
          <cell r="AI7">
            <v>10000</v>
          </cell>
        </row>
      </sheetData>
      <sheetData sheetId="5579">
        <row r="7">
          <cell r="AI7">
            <v>10000</v>
          </cell>
        </row>
      </sheetData>
      <sheetData sheetId="5580">
        <row r="7">
          <cell r="AI7">
            <v>10000</v>
          </cell>
        </row>
      </sheetData>
      <sheetData sheetId="5581">
        <row r="7">
          <cell r="AI7">
            <v>10000</v>
          </cell>
        </row>
      </sheetData>
      <sheetData sheetId="5582">
        <row r="7">
          <cell r="AI7">
            <v>10000</v>
          </cell>
        </row>
      </sheetData>
      <sheetData sheetId="5583">
        <row r="7">
          <cell r="AI7">
            <v>10000</v>
          </cell>
        </row>
      </sheetData>
      <sheetData sheetId="5584">
        <row r="7">
          <cell r="AI7">
            <v>10000</v>
          </cell>
        </row>
      </sheetData>
      <sheetData sheetId="5585">
        <row r="7">
          <cell r="AI7">
            <v>10000</v>
          </cell>
        </row>
      </sheetData>
      <sheetData sheetId="5586">
        <row r="7">
          <cell r="AI7">
            <v>10000</v>
          </cell>
        </row>
      </sheetData>
      <sheetData sheetId="5587">
        <row r="7">
          <cell r="AI7">
            <v>10000</v>
          </cell>
        </row>
      </sheetData>
      <sheetData sheetId="5588">
        <row r="7">
          <cell r="AI7">
            <v>10000</v>
          </cell>
        </row>
      </sheetData>
      <sheetData sheetId="5589">
        <row r="7">
          <cell r="AI7">
            <v>10000</v>
          </cell>
        </row>
      </sheetData>
      <sheetData sheetId="5590">
        <row r="7">
          <cell r="AI7">
            <v>10000</v>
          </cell>
        </row>
      </sheetData>
      <sheetData sheetId="5591">
        <row r="7">
          <cell r="AI7">
            <v>10000</v>
          </cell>
        </row>
      </sheetData>
      <sheetData sheetId="5592">
        <row r="7">
          <cell r="AI7">
            <v>10000</v>
          </cell>
        </row>
      </sheetData>
      <sheetData sheetId="5593">
        <row r="7">
          <cell r="AI7">
            <v>10000</v>
          </cell>
        </row>
      </sheetData>
      <sheetData sheetId="5594">
        <row r="7">
          <cell r="AI7">
            <v>10000</v>
          </cell>
        </row>
      </sheetData>
      <sheetData sheetId="5595">
        <row r="7">
          <cell r="AI7">
            <v>10000</v>
          </cell>
        </row>
      </sheetData>
      <sheetData sheetId="5596">
        <row r="7">
          <cell r="AI7">
            <v>10000</v>
          </cell>
        </row>
      </sheetData>
      <sheetData sheetId="5597">
        <row r="7">
          <cell r="AI7">
            <v>10000</v>
          </cell>
        </row>
      </sheetData>
      <sheetData sheetId="5598">
        <row r="7">
          <cell r="AI7">
            <v>10000</v>
          </cell>
        </row>
      </sheetData>
      <sheetData sheetId="5599">
        <row r="7">
          <cell r="AI7">
            <v>10000</v>
          </cell>
        </row>
      </sheetData>
      <sheetData sheetId="5600">
        <row r="7">
          <cell r="AI7">
            <v>10000</v>
          </cell>
        </row>
      </sheetData>
      <sheetData sheetId="5601">
        <row r="7">
          <cell r="AI7">
            <v>10000</v>
          </cell>
        </row>
      </sheetData>
      <sheetData sheetId="5602">
        <row r="7">
          <cell r="AI7">
            <v>10000</v>
          </cell>
        </row>
      </sheetData>
      <sheetData sheetId="5603">
        <row r="7">
          <cell r="AI7">
            <v>10000</v>
          </cell>
        </row>
      </sheetData>
      <sheetData sheetId="5604">
        <row r="7">
          <cell r="AI7">
            <v>10000</v>
          </cell>
        </row>
      </sheetData>
      <sheetData sheetId="5605">
        <row r="7">
          <cell r="AI7">
            <v>10000</v>
          </cell>
        </row>
      </sheetData>
      <sheetData sheetId="5606">
        <row r="7">
          <cell r="AI7">
            <v>10000</v>
          </cell>
        </row>
      </sheetData>
      <sheetData sheetId="5607">
        <row r="7">
          <cell r="AI7">
            <v>10000</v>
          </cell>
        </row>
      </sheetData>
      <sheetData sheetId="5608">
        <row r="7">
          <cell r="AI7">
            <v>10000</v>
          </cell>
        </row>
      </sheetData>
      <sheetData sheetId="5609">
        <row r="7">
          <cell r="AI7">
            <v>10000</v>
          </cell>
        </row>
      </sheetData>
      <sheetData sheetId="5610">
        <row r="7">
          <cell r="AI7">
            <v>10000</v>
          </cell>
        </row>
      </sheetData>
      <sheetData sheetId="5611">
        <row r="7">
          <cell r="AI7">
            <v>10000</v>
          </cell>
        </row>
      </sheetData>
      <sheetData sheetId="5612">
        <row r="7">
          <cell r="AI7">
            <v>10000</v>
          </cell>
        </row>
      </sheetData>
      <sheetData sheetId="5613">
        <row r="7">
          <cell r="AI7">
            <v>10000</v>
          </cell>
        </row>
      </sheetData>
      <sheetData sheetId="5614">
        <row r="7">
          <cell r="AI7">
            <v>10000</v>
          </cell>
        </row>
      </sheetData>
      <sheetData sheetId="5615">
        <row r="7">
          <cell r="AI7">
            <v>10000</v>
          </cell>
        </row>
      </sheetData>
      <sheetData sheetId="5616">
        <row r="7">
          <cell r="AI7">
            <v>10000</v>
          </cell>
        </row>
      </sheetData>
      <sheetData sheetId="5617">
        <row r="7">
          <cell r="AI7">
            <v>10000</v>
          </cell>
        </row>
      </sheetData>
      <sheetData sheetId="5618">
        <row r="7">
          <cell r="AI7">
            <v>10000</v>
          </cell>
        </row>
      </sheetData>
      <sheetData sheetId="5619">
        <row r="7">
          <cell r="AI7">
            <v>10000</v>
          </cell>
        </row>
      </sheetData>
      <sheetData sheetId="5620">
        <row r="7">
          <cell r="AI7">
            <v>10000</v>
          </cell>
        </row>
      </sheetData>
      <sheetData sheetId="5621">
        <row r="7">
          <cell r="AI7">
            <v>10000</v>
          </cell>
        </row>
      </sheetData>
      <sheetData sheetId="5622">
        <row r="7">
          <cell r="AI7">
            <v>10000</v>
          </cell>
        </row>
      </sheetData>
      <sheetData sheetId="5623">
        <row r="7">
          <cell r="AI7">
            <v>10000</v>
          </cell>
        </row>
      </sheetData>
      <sheetData sheetId="5624">
        <row r="7">
          <cell r="AI7">
            <v>10000</v>
          </cell>
        </row>
      </sheetData>
      <sheetData sheetId="5625">
        <row r="7">
          <cell r="AI7">
            <v>10000</v>
          </cell>
        </row>
      </sheetData>
      <sheetData sheetId="5626">
        <row r="7">
          <cell r="AI7">
            <v>10000</v>
          </cell>
        </row>
      </sheetData>
      <sheetData sheetId="5627">
        <row r="7">
          <cell r="AI7">
            <v>10000</v>
          </cell>
        </row>
      </sheetData>
      <sheetData sheetId="5628">
        <row r="7">
          <cell r="AI7">
            <v>10000</v>
          </cell>
        </row>
      </sheetData>
      <sheetData sheetId="5629">
        <row r="7">
          <cell r="AI7">
            <v>10000</v>
          </cell>
        </row>
      </sheetData>
      <sheetData sheetId="5630">
        <row r="7">
          <cell r="AI7">
            <v>10000</v>
          </cell>
        </row>
      </sheetData>
      <sheetData sheetId="5631">
        <row r="7">
          <cell r="AI7">
            <v>10000</v>
          </cell>
        </row>
      </sheetData>
      <sheetData sheetId="5632">
        <row r="7">
          <cell r="AI7">
            <v>10000</v>
          </cell>
        </row>
      </sheetData>
      <sheetData sheetId="5633">
        <row r="7">
          <cell r="AI7">
            <v>10000</v>
          </cell>
        </row>
      </sheetData>
      <sheetData sheetId="5634">
        <row r="7">
          <cell r="AI7">
            <v>10000</v>
          </cell>
        </row>
      </sheetData>
      <sheetData sheetId="5635">
        <row r="7">
          <cell r="AI7">
            <v>10000</v>
          </cell>
        </row>
      </sheetData>
      <sheetData sheetId="5636">
        <row r="7">
          <cell r="AI7">
            <v>10000</v>
          </cell>
        </row>
      </sheetData>
      <sheetData sheetId="5637">
        <row r="7">
          <cell r="AI7">
            <v>10000</v>
          </cell>
        </row>
      </sheetData>
      <sheetData sheetId="5638">
        <row r="7">
          <cell r="AI7">
            <v>10000</v>
          </cell>
        </row>
      </sheetData>
      <sheetData sheetId="5639">
        <row r="7">
          <cell r="AI7">
            <v>10000</v>
          </cell>
        </row>
      </sheetData>
      <sheetData sheetId="5640">
        <row r="7">
          <cell r="AI7">
            <v>10000</v>
          </cell>
        </row>
      </sheetData>
      <sheetData sheetId="5641">
        <row r="7">
          <cell r="AI7">
            <v>10000</v>
          </cell>
        </row>
      </sheetData>
      <sheetData sheetId="5642">
        <row r="7">
          <cell r="AI7">
            <v>10000</v>
          </cell>
        </row>
      </sheetData>
      <sheetData sheetId="5643">
        <row r="7">
          <cell r="AI7">
            <v>10000</v>
          </cell>
        </row>
      </sheetData>
      <sheetData sheetId="5644">
        <row r="7">
          <cell r="AI7">
            <v>10000</v>
          </cell>
        </row>
      </sheetData>
      <sheetData sheetId="5645">
        <row r="7">
          <cell r="AI7">
            <v>10000</v>
          </cell>
        </row>
      </sheetData>
      <sheetData sheetId="5646">
        <row r="7">
          <cell r="AI7">
            <v>10000</v>
          </cell>
        </row>
      </sheetData>
      <sheetData sheetId="5647">
        <row r="7">
          <cell r="AI7">
            <v>10000</v>
          </cell>
        </row>
      </sheetData>
      <sheetData sheetId="5648">
        <row r="7">
          <cell r="AI7">
            <v>10000</v>
          </cell>
        </row>
      </sheetData>
      <sheetData sheetId="5649">
        <row r="7">
          <cell r="AI7">
            <v>10000</v>
          </cell>
        </row>
      </sheetData>
      <sheetData sheetId="5650">
        <row r="7">
          <cell r="AI7">
            <v>10000</v>
          </cell>
        </row>
      </sheetData>
      <sheetData sheetId="5651">
        <row r="7">
          <cell r="AI7">
            <v>10000</v>
          </cell>
        </row>
      </sheetData>
      <sheetData sheetId="5652">
        <row r="7">
          <cell r="AI7">
            <v>10000</v>
          </cell>
        </row>
      </sheetData>
      <sheetData sheetId="5653">
        <row r="7">
          <cell r="AI7">
            <v>10000</v>
          </cell>
        </row>
      </sheetData>
      <sheetData sheetId="5654">
        <row r="7">
          <cell r="AI7">
            <v>10000</v>
          </cell>
        </row>
      </sheetData>
      <sheetData sheetId="5655">
        <row r="7">
          <cell r="AI7">
            <v>10000</v>
          </cell>
        </row>
      </sheetData>
      <sheetData sheetId="5656">
        <row r="7">
          <cell r="AI7">
            <v>10000</v>
          </cell>
        </row>
      </sheetData>
      <sheetData sheetId="5657">
        <row r="7">
          <cell r="AI7">
            <v>10000</v>
          </cell>
        </row>
      </sheetData>
      <sheetData sheetId="5658">
        <row r="7">
          <cell r="AI7">
            <v>10000</v>
          </cell>
        </row>
      </sheetData>
      <sheetData sheetId="5659">
        <row r="7">
          <cell r="AI7">
            <v>10000</v>
          </cell>
        </row>
      </sheetData>
      <sheetData sheetId="5660">
        <row r="7">
          <cell r="AI7">
            <v>10000</v>
          </cell>
        </row>
      </sheetData>
      <sheetData sheetId="5661">
        <row r="7">
          <cell r="AI7">
            <v>10000</v>
          </cell>
        </row>
      </sheetData>
      <sheetData sheetId="5662">
        <row r="7">
          <cell r="AI7">
            <v>10000</v>
          </cell>
        </row>
      </sheetData>
      <sheetData sheetId="5663">
        <row r="7">
          <cell r="AI7">
            <v>10000</v>
          </cell>
        </row>
      </sheetData>
      <sheetData sheetId="5664">
        <row r="7">
          <cell r="AI7">
            <v>10000</v>
          </cell>
        </row>
      </sheetData>
      <sheetData sheetId="5665">
        <row r="7">
          <cell r="AI7">
            <v>10000</v>
          </cell>
        </row>
      </sheetData>
      <sheetData sheetId="5666">
        <row r="7">
          <cell r="AI7">
            <v>10000</v>
          </cell>
        </row>
      </sheetData>
      <sheetData sheetId="5667">
        <row r="7">
          <cell r="AI7">
            <v>10000</v>
          </cell>
        </row>
      </sheetData>
      <sheetData sheetId="5668">
        <row r="7">
          <cell r="AI7">
            <v>10000</v>
          </cell>
        </row>
      </sheetData>
      <sheetData sheetId="5669">
        <row r="7">
          <cell r="AI7">
            <v>10000</v>
          </cell>
        </row>
      </sheetData>
      <sheetData sheetId="5670">
        <row r="7">
          <cell r="AI7">
            <v>10000</v>
          </cell>
        </row>
      </sheetData>
      <sheetData sheetId="5671">
        <row r="7">
          <cell r="AI7">
            <v>10000</v>
          </cell>
        </row>
      </sheetData>
      <sheetData sheetId="5672">
        <row r="7">
          <cell r="AI7">
            <v>10000</v>
          </cell>
        </row>
      </sheetData>
      <sheetData sheetId="5673">
        <row r="7">
          <cell r="AI7">
            <v>10000</v>
          </cell>
        </row>
      </sheetData>
      <sheetData sheetId="5674">
        <row r="7">
          <cell r="AI7">
            <v>10000</v>
          </cell>
        </row>
      </sheetData>
      <sheetData sheetId="5675">
        <row r="7">
          <cell r="AI7">
            <v>10000</v>
          </cell>
        </row>
      </sheetData>
      <sheetData sheetId="5676">
        <row r="7">
          <cell r="AI7">
            <v>10000</v>
          </cell>
        </row>
      </sheetData>
      <sheetData sheetId="5677">
        <row r="7">
          <cell r="AI7">
            <v>10000</v>
          </cell>
        </row>
      </sheetData>
      <sheetData sheetId="5678">
        <row r="7">
          <cell r="AI7">
            <v>10000</v>
          </cell>
        </row>
      </sheetData>
      <sheetData sheetId="5679">
        <row r="7">
          <cell r="AI7">
            <v>10000</v>
          </cell>
        </row>
      </sheetData>
      <sheetData sheetId="5680">
        <row r="7">
          <cell r="AI7">
            <v>10000</v>
          </cell>
        </row>
      </sheetData>
      <sheetData sheetId="5681">
        <row r="7">
          <cell r="AI7">
            <v>10000</v>
          </cell>
        </row>
      </sheetData>
      <sheetData sheetId="5682">
        <row r="7">
          <cell r="AI7">
            <v>10000</v>
          </cell>
        </row>
      </sheetData>
      <sheetData sheetId="5683">
        <row r="7">
          <cell r="AI7">
            <v>10000</v>
          </cell>
        </row>
      </sheetData>
      <sheetData sheetId="5684">
        <row r="7">
          <cell r="AI7">
            <v>10000</v>
          </cell>
        </row>
      </sheetData>
      <sheetData sheetId="5685">
        <row r="7">
          <cell r="AI7">
            <v>10000</v>
          </cell>
        </row>
      </sheetData>
      <sheetData sheetId="5686">
        <row r="7">
          <cell r="AI7">
            <v>10000</v>
          </cell>
        </row>
      </sheetData>
      <sheetData sheetId="5687">
        <row r="7">
          <cell r="AI7">
            <v>10000</v>
          </cell>
        </row>
      </sheetData>
      <sheetData sheetId="5688">
        <row r="7">
          <cell r="AI7">
            <v>10000</v>
          </cell>
        </row>
      </sheetData>
      <sheetData sheetId="5689">
        <row r="7">
          <cell r="AI7">
            <v>10000</v>
          </cell>
        </row>
      </sheetData>
      <sheetData sheetId="5690">
        <row r="7">
          <cell r="AI7">
            <v>10000</v>
          </cell>
        </row>
      </sheetData>
      <sheetData sheetId="5691">
        <row r="7">
          <cell r="AI7">
            <v>10000</v>
          </cell>
        </row>
      </sheetData>
      <sheetData sheetId="5692">
        <row r="7">
          <cell r="AI7">
            <v>10000</v>
          </cell>
        </row>
      </sheetData>
      <sheetData sheetId="5693">
        <row r="7">
          <cell r="AI7">
            <v>10000</v>
          </cell>
        </row>
      </sheetData>
      <sheetData sheetId="5694">
        <row r="7">
          <cell r="AI7">
            <v>10000</v>
          </cell>
        </row>
      </sheetData>
      <sheetData sheetId="5695">
        <row r="7">
          <cell r="AI7">
            <v>10000</v>
          </cell>
        </row>
      </sheetData>
      <sheetData sheetId="5696">
        <row r="7">
          <cell r="AI7">
            <v>10000</v>
          </cell>
        </row>
      </sheetData>
      <sheetData sheetId="5697">
        <row r="7">
          <cell r="AI7">
            <v>10000</v>
          </cell>
        </row>
      </sheetData>
      <sheetData sheetId="5698">
        <row r="7">
          <cell r="AI7">
            <v>10000</v>
          </cell>
        </row>
      </sheetData>
      <sheetData sheetId="5699">
        <row r="7">
          <cell r="AI7">
            <v>10000</v>
          </cell>
        </row>
      </sheetData>
      <sheetData sheetId="5700">
        <row r="7">
          <cell r="AI7">
            <v>10000</v>
          </cell>
        </row>
      </sheetData>
      <sheetData sheetId="5701">
        <row r="7">
          <cell r="AI7">
            <v>10000</v>
          </cell>
        </row>
      </sheetData>
      <sheetData sheetId="5702">
        <row r="7">
          <cell r="AI7">
            <v>10000</v>
          </cell>
        </row>
      </sheetData>
      <sheetData sheetId="5703">
        <row r="7">
          <cell r="AI7">
            <v>10000</v>
          </cell>
        </row>
      </sheetData>
      <sheetData sheetId="5704">
        <row r="7">
          <cell r="AI7">
            <v>10000</v>
          </cell>
        </row>
      </sheetData>
      <sheetData sheetId="5705">
        <row r="7">
          <cell r="AI7">
            <v>10000</v>
          </cell>
        </row>
      </sheetData>
      <sheetData sheetId="5706">
        <row r="7">
          <cell r="AI7">
            <v>10000</v>
          </cell>
        </row>
      </sheetData>
      <sheetData sheetId="5707">
        <row r="7">
          <cell r="AI7">
            <v>10000</v>
          </cell>
        </row>
      </sheetData>
      <sheetData sheetId="5708">
        <row r="7">
          <cell r="AI7">
            <v>10000</v>
          </cell>
        </row>
      </sheetData>
      <sheetData sheetId="5709">
        <row r="7">
          <cell r="AI7">
            <v>10000</v>
          </cell>
        </row>
      </sheetData>
      <sheetData sheetId="5710">
        <row r="7">
          <cell r="AI7">
            <v>10000</v>
          </cell>
        </row>
      </sheetData>
      <sheetData sheetId="5711">
        <row r="7">
          <cell r="AI7">
            <v>10000</v>
          </cell>
        </row>
      </sheetData>
      <sheetData sheetId="5712">
        <row r="7">
          <cell r="AI7">
            <v>10000</v>
          </cell>
        </row>
      </sheetData>
      <sheetData sheetId="5713">
        <row r="7">
          <cell r="AI7">
            <v>10000</v>
          </cell>
        </row>
      </sheetData>
      <sheetData sheetId="5714">
        <row r="7">
          <cell r="AI7">
            <v>10000</v>
          </cell>
        </row>
      </sheetData>
      <sheetData sheetId="5715">
        <row r="7">
          <cell r="AI7">
            <v>10000</v>
          </cell>
        </row>
      </sheetData>
      <sheetData sheetId="5716">
        <row r="7">
          <cell r="AI7">
            <v>10000</v>
          </cell>
        </row>
      </sheetData>
      <sheetData sheetId="5717">
        <row r="7">
          <cell r="AI7">
            <v>10000</v>
          </cell>
        </row>
      </sheetData>
      <sheetData sheetId="5718">
        <row r="7">
          <cell r="AI7">
            <v>10000</v>
          </cell>
        </row>
      </sheetData>
      <sheetData sheetId="5719">
        <row r="7">
          <cell r="AI7">
            <v>10000</v>
          </cell>
        </row>
      </sheetData>
      <sheetData sheetId="5720">
        <row r="7">
          <cell r="AI7">
            <v>10000</v>
          </cell>
        </row>
      </sheetData>
      <sheetData sheetId="5721">
        <row r="7">
          <cell r="AI7">
            <v>10000</v>
          </cell>
        </row>
      </sheetData>
      <sheetData sheetId="5722">
        <row r="7">
          <cell r="AI7">
            <v>10000</v>
          </cell>
        </row>
      </sheetData>
      <sheetData sheetId="5723">
        <row r="7">
          <cell r="AI7">
            <v>10000</v>
          </cell>
        </row>
      </sheetData>
      <sheetData sheetId="5724">
        <row r="7">
          <cell r="AI7">
            <v>10000</v>
          </cell>
        </row>
      </sheetData>
      <sheetData sheetId="5725">
        <row r="7">
          <cell r="AI7">
            <v>10000</v>
          </cell>
        </row>
      </sheetData>
      <sheetData sheetId="5726">
        <row r="7">
          <cell r="AI7">
            <v>10000</v>
          </cell>
        </row>
      </sheetData>
      <sheetData sheetId="5727">
        <row r="7">
          <cell r="AI7">
            <v>10000</v>
          </cell>
        </row>
      </sheetData>
      <sheetData sheetId="5728">
        <row r="7">
          <cell r="AI7">
            <v>10000</v>
          </cell>
        </row>
      </sheetData>
      <sheetData sheetId="5729">
        <row r="7">
          <cell r="AI7">
            <v>10000</v>
          </cell>
        </row>
      </sheetData>
      <sheetData sheetId="5730">
        <row r="7">
          <cell r="AI7">
            <v>10000</v>
          </cell>
        </row>
      </sheetData>
      <sheetData sheetId="5731">
        <row r="7">
          <cell r="AI7">
            <v>10000</v>
          </cell>
        </row>
      </sheetData>
      <sheetData sheetId="5732">
        <row r="7">
          <cell r="AI7">
            <v>10000</v>
          </cell>
        </row>
      </sheetData>
      <sheetData sheetId="5733">
        <row r="7">
          <cell r="AI7">
            <v>10000</v>
          </cell>
        </row>
      </sheetData>
      <sheetData sheetId="5734">
        <row r="7">
          <cell r="AI7">
            <v>10000</v>
          </cell>
        </row>
      </sheetData>
      <sheetData sheetId="5735">
        <row r="7">
          <cell r="AI7">
            <v>10000</v>
          </cell>
        </row>
      </sheetData>
      <sheetData sheetId="5736">
        <row r="7">
          <cell r="AI7">
            <v>10000</v>
          </cell>
        </row>
      </sheetData>
      <sheetData sheetId="5737">
        <row r="7">
          <cell r="AI7">
            <v>10000</v>
          </cell>
        </row>
      </sheetData>
      <sheetData sheetId="5738">
        <row r="7">
          <cell r="AI7">
            <v>10000</v>
          </cell>
        </row>
      </sheetData>
      <sheetData sheetId="5739">
        <row r="7">
          <cell r="AI7">
            <v>10000</v>
          </cell>
        </row>
      </sheetData>
      <sheetData sheetId="5740">
        <row r="7">
          <cell r="AI7">
            <v>10000</v>
          </cell>
        </row>
      </sheetData>
      <sheetData sheetId="5741">
        <row r="7">
          <cell r="AI7">
            <v>10000</v>
          </cell>
        </row>
      </sheetData>
      <sheetData sheetId="5742">
        <row r="7">
          <cell r="AI7">
            <v>10000</v>
          </cell>
        </row>
      </sheetData>
      <sheetData sheetId="5743">
        <row r="7">
          <cell r="AI7">
            <v>10000</v>
          </cell>
        </row>
      </sheetData>
      <sheetData sheetId="5744">
        <row r="7">
          <cell r="AI7">
            <v>10000</v>
          </cell>
        </row>
      </sheetData>
      <sheetData sheetId="5745">
        <row r="7">
          <cell r="AI7">
            <v>10000</v>
          </cell>
        </row>
      </sheetData>
      <sheetData sheetId="5746">
        <row r="7">
          <cell r="AI7">
            <v>10000</v>
          </cell>
        </row>
      </sheetData>
      <sheetData sheetId="5747">
        <row r="7">
          <cell r="AI7">
            <v>10000</v>
          </cell>
        </row>
      </sheetData>
      <sheetData sheetId="5748">
        <row r="7">
          <cell r="AI7">
            <v>10000</v>
          </cell>
        </row>
      </sheetData>
      <sheetData sheetId="5749">
        <row r="7">
          <cell r="AI7">
            <v>10000</v>
          </cell>
        </row>
      </sheetData>
      <sheetData sheetId="5750">
        <row r="7">
          <cell r="AI7">
            <v>10000</v>
          </cell>
        </row>
      </sheetData>
      <sheetData sheetId="5751">
        <row r="7">
          <cell r="AI7">
            <v>10000</v>
          </cell>
        </row>
      </sheetData>
      <sheetData sheetId="5752">
        <row r="7">
          <cell r="AI7">
            <v>10000</v>
          </cell>
        </row>
      </sheetData>
      <sheetData sheetId="5753">
        <row r="7">
          <cell r="AI7">
            <v>10000</v>
          </cell>
        </row>
      </sheetData>
      <sheetData sheetId="5754">
        <row r="7">
          <cell r="AI7">
            <v>10000</v>
          </cell>
        </row>
      </sheetData>
      <sheetData sheetId="5755">
        <row r="7">
          <cell r="AI7">
            <v>10000</v>
          </cell>
        </row>
      </sheetData>
      <sheetData sheetId="5756">
        <row r="7">
          <cell r="AI7">
            <v>10000</v>
          </cell>
        </row>
      </sheetData>
      <sheetData sheetId="5757">
        <row r="7">
          <cell r="AI7">
            <v>10000</v>
          </cell>
        </row>
      </sheetData>
      <sheetData sheetId="5758">
        <row r="7">
          <cell r="AI7">
            <v>10000</v>
          </cell>
        </row>
      </sheetData>
      <sheetData sheetId="5759">
        <row r="7">
          <cell r="AI7">
            <v>10000</v>
          </cell>
        </row>
      </sheetData>
      <sheetData sheetId="5760">
        <row r="7">
          <cell r="AI7">
            <v>10000</v>
          </cell>
        </row>
      </sheetData>
      <sheetData sheetId="5761">
        <row r="7">
          <cell r="AI7">
            <v>10000</v>
          </cell>
        </row>
      </sheetData>
      <sheetData sheetId="5762">
        <row r="7">
          <cell r="AI7">
            <v>10000</v>
          </cell>
        </row>
      </sheetData>
      <sheetData sheetId="5763">
        <row r="7">
          <cell r="AI7">
            <v>10000</v>
          </cell>
        </row>
      </sheetData>
      <sheetData sheetId="5764">
        <row r="7">
          <cell r="AI7">
            <v>10000</v>
          </cell>
        </row>
      </sheetData>
      <sheetData sheetId="5765">
        <row r="7">
          <cell r="AI7">
            <v>10000</v>
          </cell>
        </row>
      </sheetData>
      <sheetData sheetId="5766">
        <row r="7">
          <cell r="AI7">
            <v>10000</v>
          </cell>
        </row>
      </sheetData>
      <sheetData sheetId="5767">
        <row r="7">
          <cell r="AI7">
            <v>10000</v>
          </cell>
        </row>
      </sheetData>
      <sheetData sheetId="5768">
        <row r="7">
          <cell r="AI7">
            <v>10000</v>
          </cell>
        </row>
      </sheetData>
      <sheetData sheetId="5769">
        <row r="7">
          <cell r="AI7">
            <v>10000</v>
          </cell>
        </row>
      </sheetData>
      <sheetData sheetId="5770">
        <row r="7">
          <cell r="AI7">
            <v>10000</v>
          </cell>
        </row>
      </sheetData>
      <sheetData sheetId="5771">
        <row r="7">
          <cell r="AI7">
            <v>10000</v>
          </cell>
        </row>
      </sheetData>
      <sheetData sheetId="5772">
        <row r="7">
          <cell r="AI7">
            <v>10000</v>
          </cell>
        </row>
      </sheetData>
      <sheetData sheetId="5773">
        <row r="7">
          <cell r="AI7">
            <v>10000</v>
          </cell>
        </row>
      </sheetData>
      <sheetData sheetId="5774">
        <row r="7">
          <cell r="AI7">
            <v>10000</v>
          </cell>
        </row>
      </sheetData>
      <sheetData sheetId="5775">
        <row r="7">
          <cell r="AI7">
            <v>10000</v>
          </cell>
        </row>
      </sheetData>
      <sheetData sheetId="5776">
        <row r="7">
          <cell r="AI7">
            <v>10000</v>
          </cell>
        </row>
      </sheetData>
      <sheetData sheetId="5777">
        <row r="7">
          <cell r="AI7">
            <v>10000</v>
          </cell>
        </row>
      </sheetData>
      <sheetData sheetId="5778">
        <row r="7">
          <cell r="AI7">
            <v>10000</v>
          </cell>
        </row>
      </sheetData>
      <sheetData sheetId="5779">
        <row r="7">
          <cell r="AI7">
            <v>10000</v>
          </cell>
        </row>
      </sheetData>
      <sheetData sheetId="5780">
        <row r="7">
          <cell r="AI7">
            <v>10000</v>
          </cell>
        </row>
      </sheetData>
      <sheetData sheetId="5781">
        <row r="7">
          <cell r="AI7">
            <v>10000</v>
          </cell>
        </row>
      </sheetData>
      <sheetData sheetId="5782">
        <row r="7">
          <cell r="AI7">
            <v>10000</v>
          </cell>
        </row>
      </sheetData>
      <sheetData sheetId="5783">
        <row r="7">
          <cell r="AI7">
            <v>10000</v>
          </cell>
        </row>
      </sheetData>
      <sheetData sheetId="5784">
        <row r="7">
          <cell r="AI7">
            <v>10000</v>
          </cell>
        </row>
      </sheetData>
      <sheetData sheetId="5785">
        <row r="7">
          <cell r="AI7">
            <v>10000</v>
          </cell>
        </row>
      </sheetData>
      <sheetData sheetId="5786">
        <row r="7">
          <cell r="AI7">
            <v>10000</v>
          </cell>
        </row>
      </sheetData>
      <sheetData sheetId="5787">
        <row r="7">
          <cell r="AI7">
            <v>10000</v>
          </cell>
        </row>
      </sheetData>
      <sheetData sheetId="5788">
        <row r="7">
          <cell r="AI7">
            <v>10000</v>
          </cell>
        </row>
      </sheetData>
      <sheetData sheetId="5789">
        <row r="7">
          <cell r="AI7">
            <v>10000</v>
          </cell>
        </row>
      </sheetData>
      <sheetData sheetId="5790">
        <row r="7">
          <cell r="AI7">
            <v>10000</v>
          </cell>
        </row>
      </sheetData>
      <sheetData sheetId="5791">
        <row r="7">
          <cell r="AI7">
            <v>10000</v>
          </cell>
        </row>
      </sheetData>
      <sheetData sheetId="5792">
        <row r="7">
          <cell r="AI7">
            <v>10000</v>
          </cell>
        </row>
      </sheetData>
      <sheetData sheetId="5793">
        <row r="7">
          <cell r="AI7">
            <v>10000</v>
          </cell>
        </row>
      </sheetData>
      <sheetData sheetId="5794">
        <row r="7">
          <cell r="AI7">
            <v>10000</v>
          </cell>
        </row>
      </sheetData>
      <sheetData sheetId="5795">
        <row r="7">
          <cell r="AI7">
            <v>10000</v>
          </cell>
        </row>
      </sheetData>
      <sheetData sheetId="5796">
        <row r="7">
          <cell r="AI7">
            <v>10000</v>
          </cell>
        </row>
      </sheetData>
      <sheetData sheetId="5797">
        <row r="7">
          <cell r="AI7">
            <v>10000</v>
          </cell>
        </row>
      </sheetData>
      <sheetData sheetId="5798">
        <row r="7">
          <cell r="AI7">
            <v>10000</v>
          </cell>
        </row>
      </sheetData>
      <sheetData sheetId="5799">
        <row r="7">
          <cell r="AI7">
            <v>10000</v>
          </cell>
        </row>
      </sheetData>
      <sheetData sheetId="5800">
        <row r="7">
          <cell r="AI7">
            <v>10000</v>
          </cell>
        </row>
      </sheetData>
      <sheetData sheetId="5801">
        <row r="7">
          <cell r="AI7">
            <v>10000</v>
          </cell>
        </row>
      </sheetData>
      <sheetData sheetId="5802">
        <row r="7">
          <cell r="AI7">
            <v>10000</v>
          </cell>
        </row>
      </sheetData>
      <sheetData sheetId="5803">
        <row r="7">
          <cell r="AI7">
            <v>10000</v>
          </cell>
        </row>
      </sheetData>
      <sheetData sheetId="5804">
        <row r="7">
          <cell r="AI7">
            <v>10000</v>
          </cell>
        </row>
      </sheetData>
      <sheetData sheetId="5805">
        <row r="7">
          <cell r="AI7">
            <v>10000</v>
          </cell>
        </row>
      </sheetData>
      <sheetData sheetId="5806">
        <row r="7">
          <cell r="AI7">
            <v>10000</v>
          </cell>
        </row>
      </sheetData>
      <sheetData sheetId="5807">
        <row r="7">
          <cell r="AI7">
            <v>10000</v>
          </cell>
        </row>
      </sheetData>
      <sheetData sheetId="5808">
        <row r="7">
          <cell r="AI7">
            <v>10000</v>
          </cell>
        </row>
      </sheetData>
      <sheetData sheetId="5809">
        <row r="7">
          <cell r="AI7">
            <v>10000</v>
          </cell>
        </row>
      </sheetData>
      <sheetData sheetId="5810">
        <row r="7">
          <cell r="AI7">
            <v>10000</v>
          </cell>
        </row>
      </sheetData>
      <sheetData sheetId="5811">
        <row r="7">
          <cell r="AI7">
            <v>10000</v>
          </cell>
        </row>
      </sheetData>
      <sheetData sheetId="5812">
        <row r="7">
          <cell r="AI7">
            <v>10000</v>
          </cell>
        </row>
      </sheetData>
      <sheetData sheetId="5813">
        <row r="7">
          <cell r="AI7">
            <v>10000</v>
          </cell>
        </row>
      </sheetData>
      <sheetData sheetId="5814">
        <row r="7">
          <cell r="AI7">
            <v>10000</v>
          </cell>
        </row>
      </sheetData>
      <sheetData sheetId="5815">
        <row r="7">
          <cell r="AI7">
            <v>10000</v>
          </cell>
        </row>
      </sheetData>
      <sheetData sheetId="5816">
        <row r="7">
          <cell r="AI7">
            <v>10000</v>
          </cell>
        </row>
      </sheetData>
      <sheetData sheetId="5817">
        <row r="7">
          <cell r="AI7">
            <v>10000</v>
          </cell>
        </row>
      </sheetData>
      <sheetData sheetId="5818">
        <row r="7">
          <cell r="AI7">
            <v>10000</v>
          </cell>
        </row>
      </sheetData>
      <sheetData sheetId="5819">
        <row r="7">
          <cell r="AI7">
            <v>10000</v>
          </cell>
        </row>
      </sheetData>
      <sheetData sheetId="5820">
        <row r="7">
          <cell r="AI7">
            <v>10000</v>
          </cell>
        </row>
      </sheetData>
      <sheetData sheetId="5821">
        <row r="7">
          <cell r="AI7">
            <v>10000</v>
          </cell>
        </row>
      </sheetData>
      <sheetData sheetId="5822">
        <row r="7">
          <cell r="AI7">
            <v>10000</v>
          </cell>
        </row>
      </sheetData>
      <sheetData sheetId="5823">
        <row r="7">
          <cell r="AI7">
            <v>10000</v>
          </cell>
        </row>
      </sheetData>
      <sheetData sheetId="5824">
        <row r="7">
          <cell r="AI7">
            <v>10000</v>
          </cell>
        </row>
      </sheetData>
      <sheetData sheetId="5825">
        <row r="7">
          <cell r="AI7">
            <v>10000</v>
          </cell>
        </row>
      </sheetData>
      <sheetData sheetId="5826">
        <row r="7">
          <cell r="AI7">
            <v>10000</v>
          </cell>
        </row>
      </sheetData>
      <sheetData sheetId="5827">
        <row r="7">
          <cell r="AI7">
            <v>10000</v>
          </cell>
        </row>
      </sheetData>
      <sheetData sheetId="5828">
        <row r="7">
          <cell r="AI7">
            <v>10000</v>
          </cell>
        </row>
      </sheetData>
      <sheetData sheetId="5829">
        <row r="7">
          <cell r="AI7">
            <v>10000</v>
          </cell>
        </row>
      </sheetData>
      <sheetData sheetId="5830">
        <row r="7">
          <cell r="AI7">
            <v>10000</v>
          </cell>
        </row>
      </sheetData>
      <sheetData sheetId="5831">
        <row r="7">
          <cell r="AI7">
            <v>10000</v>
          </cell>
        </row>
      </sheetData>
      <sheetData sheetId="5832">
        <row r="7">
          <cell r="AI7">
            <v>10000</v>
          </cell>
        </row>
      </sheetData>
      <sheetData sheetId="5833">
        <row r="7">
          <cell r="AI7">
            <v>10000</v>
          </cell>
        </row>
      </sheetData>
      <sheetData sheetId="5834">
        <row r="7">
          <cell r="AI7">
            <v>10000</v>
          </cell>
        </row>
      </sheetData>
      <sheetData sheetId="5835">
        <row r="7">
          <cell r="AI7">
            <v>10000</v>
          </cell>
        </row>
      </sheetData>
      <sheetData sheetId="5836">
        <row r="7">
          <cell r="AI7">
            <v>10000</v>
          </cell>
        </row>
      </sheetData>
      <sheetData sheetId="5837">
        <row r="7">
          <cell r="AI7">
            <v>10000</v>
          </cell>
        </row>
      </sheetData>
      <sheetData sheetId="5838">
        <row r="7">
          <cell r="AI7">
            <v>10000</v>
          </cell>
        </row>
      </sheetData>
      <sheetData sheetId="5839">
        <row r="7">
          <cell r="AI7">
            <v>10000</v>
          </cell>
        </row>
      </sheetData>
      <sheetData sheetId="5840">
        <row r="7">
          <cell r="AI7">
            <v>10000</v>
          </cell>
        </row>
      </sheetData>
      <sheetData sheetId="5841">
        <row r="7">
          <cell r="AI7">
            <v>10000</v>
          </cell>
        </row>
      </sheetData>
      <sheetData sheetId="5842">
        <row r="7">
          <cell r="AI7">
            <v>10000</v>
          </cell>
        </row>
      </sheetData>
      <sheetData sheetId="5843">
        <row r="7">
          <cell r="AI7">
            <v>10000</v>
          </cell>
        </row>
      </sheetData>
      <sheetData sheetId="5844">
        <row r="7">
          <cell r="AI7">
            <v>10000</v>
          </cell>
        </row>
      </sheetData>
      <sheetData sheetId="5845">
        <row r="7">
          <cell r="AI7">
            <v>10000</v>
          </cell>
        </row>
      </sheetData>
      <sheetData sheetId="5846">
        <row r="7">
          <cell r="AI7">
            <v>10000</v>
          </cell>
        </row>
      </sheetData>
      <sheetData sheetId="5847">
        <row r="7">
          <cell r="AI7">
            <v>10000</v>
          </cell>
        </row>
      </sheetData>
      <sheetData sheetId="5848">
        <row r="7">
          <cell r="AI7">
            <v>10000</v>
          </cell>
        </row>
      </sheetData>
      <sheetData sheetId="5849">
        <row r="7">
          <cell r="AI7">
            <v>10000</v>
          </cell>
        </row>
      </sheetData>
      <sheetData sheetId="5850">
        <row r="7">
          <cell r="AI7">
            <v>10000</v>
          </cell>
        </row>
      </sheetData>
      <sheetData sheetId="5851">
        <row r="7">
          <cell r="AI7">
            <v>10000</v>
          </cell>
        </row>
      </sheetData>
      <sheetData sheetId="5852">
        <row r="7">
          <cell r="AI7">
            <v>10000</v>
          </cell>
        </row>
      </sheetData>
      <sheetData sheetId="5853">
        <row r="7">
          <cell r="AI7">
            <v>10000</v>
          </cell>
        </row>
      </sheetData>
      <sheetData sheetId="5854">
        <row r="7">
          <cell r="AI7">
            <v>10000</v>
          </cell>
        </row>
      </sheetData>
      <sheetData sheetId="5855">
        <row r="7">
          <cell r="AI7">
            <v>10000</v>
          </cell>
        </row>
      </sheetData>
      <sheetData sheetId="5856">
        <row r="7">
          <cell r="AI7">
            <v>10000</v>
          </cell>
        </row>
      </sheetData>
      <sheetData sheetId="5857">
        <row r="7">
          <cell r="AI7">
            <v>10000</v>
          </cell>
        </row>
      </sheetData>
      <sheetData sheetId="5858">
        <row r="7">
          <cell r="AI7">
            <v>10000</v>
          </cell>
        </row>
      </sheetData>
      <sheetData sheetId="5859">
        <row r="7">
          <cell r="AI7">
            <v>10000</v>
          </cell>
        </row>
      </sheetData>
      <sheetData sheetId="5860">
        <row r="7">
          <cell r="AI7">
            <v>10000</v>
          </cell>
        </row>
      </sheetData>
      <sheetData sheetId="5861">
        <row r="7">
          <cell r="AI7">
            <v>10000</v>
          </cell>
        </row>
      </sheetData>
      <sheetData sheetId="5862">
        <row r="7">
          <cell r="AI7">
            <v>10000</v>
          </cell>
        </row>
      </sheetData>
      <sheetData sheetId="5863">
        <row r="7">
          <cell r="AI7">
            <v>10000</v>
          </cell>
        </row>
      </sheetData>
      <sheetData sheetId="5864">
        <row r="7">
          <cell r="AI7">
            <v>10000</v>
          </cell>
        </row>
      </sheetData>
      <sheetData sheetId="5865">
        <row r="7">
          <cell r="AI7">
            <v>10000</v>
          </cell>
        </row>
      </sheetData>
      <sheetData sheetId="5866">
        <row r="7">
          <cell r="AI7">
            <v>10000</v>
          </cell>
        </row>
      </sheetData>
      <sheetData sheetId="5867">
        <row r="7">
          <cell r="AI7">
            <v>10000</v>
          </cell>
        </row>
      </sheetData>
      <sheetData sheetId="5868">
        <row r="7">
          <cell r="AI7">
            <v>10000</v>
          </cell>
        </row>
      </sheetData>
      <sheetData sheetId="5869">
        <row r="7">
          <cell r="AI7">
            <v>10000</v>
          </cell>
        </row>
      </sheetData>
      <sheetData sheetId="5870">
        <row r="7">
          <cell r="AI7">
            <v>10000</v>
          </cell>
        </row>
      </sheetData>
      <sheetData sheetId="5871">
        <row r="7">
          <cell r="AI7">
            <v>10000</v>
          </cell>
        </row>
      </sheetData>
      <sheetData sheetId="5872">
        <row r="7">
          <cell r="AI7">
            <v>10000</v>
          </cell>
        </row>
      </sheetData>
      <sheetData sheetId="5873">
        <row r="7">
          <cell r="AI7">
            <v>10000</v>
          </cell>
        </row>
      </sheetData>
      <sheetData sheetId="5874">
        <row r="7">
          <cell r="AI7">
            <v>10000</v>
          </cell>
        </row>
      </sheetData>
      <sheetData sheetId="5875">
        <row r="7">
          <cell r="AI7">
            <v>10000</v>
          </cell>
        </row>
      </sheetData>
      <sheetData sheetId="5876">
        <row r="7">
          <cell r="AI7">
            <v>10000</v>
          </cell>
        </row>
      </sheetData>
      <sheetData sheetId="5877">
        <row r="7">
          <cell r="AI7">
            <v>10000</v>
          </cell>
        </row>
      </sheetData>
      <sheetData sheetId="5878">
        <row r="7">
          <cell r="AI7">
            <v>10000</v>
          </cell>
        </row>
      </sheetData>
      <sheetData sheetId="5879">
        <row r="7">
          <cell r="AI7">
            <v>10000</v>
          </cell>
        </row>
      </sheetData>
      <sheetData sheetId="5880">
        <row r="7">
          <cell r="AI7">
            <v>10000</v>
          </cell>
        </row>
      </sheetData>
      <sheetData sheetId="5881">
        <row r="7">
          <cell r="AI7">
            <v>10000</v>
          </cell>
        </row>
      </sheetData>
      <sheetData sheetId="5882">
        <row r="7">
          <cell r="AI7">
            <v>10000</v>
          </cell>
        </row>
      </sheetData>
      <sheetData sheetId="5883">
        <row r="7">
          <cell r="AI7">
            <v>10000</v>
          </cell>
        </row>
      </sheetData>
      <sheetData sheetId="5884">
        <row r="7">
          <cell r="AI7">
            <v>10000</v>
          </cell>
        </row>
      </sheetData>
      <sheetData sheetId="5885">
        <row r="7">
          <cell r="AI7">
            <v>10000</v>
          </cell>
        </row>
      </sheetData>
      <sheetData sheetId="5886">
        <row r="7">
          <cell r="AI7">
            <v>10000</v>
          </cell>
        </row>
      </sheetData>
      <sheetData sheetId="5887">
        <row r="7">
          <cell r="AI7">
            <v>10000</v>
          </cell>
        </row>
      </sheetData>
      <sheetData sheetId="5888">
        <row r="7">
          <cell r="AI7">
            <v>10000</v>
          </cell>
        </row>
      </sheetData>
      <sheetData sheetId="5889">
        <row r="7">
          <cell r="AI7">
            <v>10000</v>
          </cell>
        </row>
      </sheetData>
      <sheetData sheetId="5890">
        <row r="7">
          <cell r="AI7">
            <v>10000</v>
          </cell>
        </row>
      </sheetData>
      <sheetData sheetId="5891">
        <row r="7">
          <cell r="AI7">
            <v>10000</v>
          </cell>
        </row>
      </sheetData>
      <sheetData sheetId="5892">
        <row r="7">
          <cell r="AI7">
            <v>10000</v>
          </cell>
        </row>
      </sheetData>
      <sheetData sheetId="5893">
        <row r="7">
          <cell r="AI7">
            <v>10000</v>
          </cell>
        </row>
      </sheetData>
      <sheetData sheetId="5894">
        <row r="7">
          <cell r="AI7">
            <v>10000</v>
          </cell>
        </row>
      </sheetData>
      <sheetData sheetId="5895">
        <row r="7">
          <cell r="AI7">
            <v>10000</v>
          </cell>
        </row>
      </sheetData>
      <sheetData sheetId="5896">
        <row r="7">
          <cell r="AI7">
            <v>10000</v>
          </cell>
        </row>
      </sheetData>
      <sheetData sheetId="5897">
        <row r="7">
          <cell r="AI7">
            <v>10000</v>
          </cell>
        </row>
      </sheetData>
      <sheetData sheetId="5898">
        <row r="7">
          <cell r="AI7">
            <v>10000</v>
          </cell>
        </row>
      </sheetData>
      <sheetData sheetId="5899">
        <row r="7">
          <cell r="AI7">
            <v>10000</v>
          </cell>
        </row>
      </sheetData>
      <sheetData sheetId="5900">
        <row r="7">
          <cell r="AI7">
            <v>10000</v>
          </cell>
        </row>
      </sheetData>
      <sheetData sheetId="5901">
        <row r="7">
          <cell r="AI7">
            <v>10000</v>
          </cell>
        </row>
      </sheetData>
      <sheetData sheetId="5902">
        <row r="7">
          <cell r="AI7">
            <v>10000</v>
          </cell>
        </row>
      </sheetData>
      <sheetData sheetId="5903">
        <row r="7">
          <cell r="AI7">
            <v>10000</v>
          </cell>
        </row>
      </sheetData>
      <sheetData sheetId="5904">
        <row r="7">
          <cell r="AI7">
            <v>10000</v>
          </cell>
        </row>
      </sheetData>
      <sheetData sheetId="5905">
        <row r="7">
          <cell r="AI7">
            <v>10000</v>
          </cell>
        </row>
      </sheetData>
      <sheetData sheetId="5906">
        <row r="7">
          <cell r="AI7">
            <v>10000</v>
          </cell>
        </row>
      </sheetData>
      <sheetData sheetId="5907">
        <row r="7">
          <cell r="AI7">
            <v>10000</v>
          </cell>
        </row>
      </sheetData>
      <sheetData sheetId="5908">
        <row r="7">
          <cell r="AI7">
            <v>10000</v>
          </cell>
        </row>
      </sheetData>
      <sheetData sheetId="5909">
        <row r="7">
          <cell r="AI7">
            <v>10000</v>
          </cell>
        </row>
      </sheetData>
      <sheetData sheetId="5910">
        <row r="7">
          <cell r="AI7">
            <v>10000</v>
          </cell>
        </row>
      </sheetData>
      <sheetData sheetId="5911">
        <row r="7">
          <cell r="AI7">
            <v>10000</v>
          </cell>
        </row>
      </sheetData>
      <sheetData sheetId="5912">
        <row r="7">
          <cell r="AI7">
            <v>10000</v>
          </cell>
        </row>
      </sheetData>
      <sheetData sheetId="5913">
        <row r="7">
          <cell r="AI7">
            <v>10000</v>
          </cell>
        </row>
      </sheetData>
      <sheetData sheetId="5914">
        <row r="7">
          <cell r="AI7">
            <v>10000</v>
          </cell>
        </row>
      </sheetData>
      <sheetData sheetId="5915">
        <row r="7">
          <cell r="AI7">
            <v>10000</v>
          </cell>
        </row>
      </sheetData>
      <sheetData sheetId="5916">
        <row r="7">
          <cell r="AI7">
            <v>10000</v>
          </cell>
        </row>
      </sheetData>
      <sheetData sheetId="5917">
        <row r="7">
          <cell r="AI7">
            <v>10000</v>
          </cell>
        </row>
      </sheetData>
      <sheetData sheetId="5918">
        <row r="7">
          <cell r="AI7">
            <v>10000</v>
          </cell>
        </row>
      </sheetData>
      <sheetData sheetId="5919">
        <row r="7">
          <cell r="AI7">
            <v>10000</v>
          </cell>
        </row>
      </sheetData>
      <sheetData sheetId="5920">
        <row r="7">
          <cell r="AI7">
            <v>10000</v>
          </cell>
        </row>
      </sheetData>
      <sheetData sheetId="5921">
        <row r="7">
          <cell r="AI7">
            <v>10000</v>
          </cell>
        </row>
      </sheetData>
      <sheetData sheetId="5922">
        <row r="7">
          <cell r="AI7">
            <v>10000</v>
          </cell>
        </row>
      </sheetData>
      <sheetData sheetId="5923">
        <row r="7">
          <cell r="AI7">
            <v>10000</v>
          </cell>
        </row>
      </sheetData>
      <sheetData sheetId="5924">
        <row r="7">
          <cell r="AI7">
            <v>10000</v>
          </cell>
        </row>
      </sheetData>
      <sheetData sheetId="5925">
        <row r="7">
          <cell r="AI7">
            <v>10000</v>
          </cell>
        </row>
      </sheetData>
      <sheetData sheetId="5926">
        <row r="7">
          <cell r="AI7">
            <v>10000</v>
          </cell>
        </row>
      </sheetData>
      <sheetData sheetId="5927">
        <row r="7">
          <cell r="AI7">
            <v>10000</v>
          </cell>
        </row>
      </sheetData>
      <sheetData sheetId="5928">
        <row r="7">
          <cell r="AI7">
            <v>10000</v>
          </cell>
        </row>
      </sheetData>
      <sheetData sheetId="5929">
        <row r="7">
          <cell r="AI7">
            <v>10000</v>
          </cell>
        </row>
      </sheetData>
      <sheetData sheetId="5930">
        <row r="7">
          <cell r="AI7">
            <v>10000</v>
          </cell>
        </row>
      </sheetData>
      <sheetData sheetId="5931">
        <row r="7">
          <cell r="AI7">
            <v>10000</v>
          </cell>
        </row>
      </sheetData>
      <sheetData sheetId="5932">
        <row r="7">
          <cell r="AI7">
            <v>10000</v>
          </cell>
        </row>
      </sheetData>
      <sheetData sheetId="5933">
        <row r="7">
          <cell r="AI7">
            <v>10000</v>
          </cell>
        </row>
      </sheetData>
      <sheetData sheetId="5934">
        <row r="7">
          <cell r="AI7">
            <v>10000</v>
          </cell>
        </row>
      </sheetData>
      <sheetData sheetId="5935">
        <row r="7">
          <cell r="AI7">
            <v>10000</v>
          </cell>
        </row>
      </sheetData>
      <sheetData sheetId="5936">
        <row r="7">
          <cell r="AI7">
            <v>10000</v>
          </cell>
        </row>
      </sheetData>
      <sheetData sheetId="5937">
        <row r="7">
          <cell r="AI7">
            <v>10000</v>
          </cell>
        </row>
      </sheetData>
      <sheetData sheetId="5938">
        <row r="7">
          <cell r="AI7">
            <v>10000</v>
          </cell>
        </row>
      </sheetData>
      <sheetData sheetId="5939">
        <row r="7">
          <cell r="AI7">
            <v>10000</v>
          </cell>
        </row>
      </sheetData>
      <sheetData sheetId="5940">
        <row r="7">
          <cell r="AI7">
            <v>10000</v>
          </cell>
        </row>
      </sheetData>
      <sheetData sheetId="5941">
        <row r="7">
          <cell r="AI7">
            <v>10000</v>
          </cell>
        </row>
      </sheetData>
      <sheetData sheetId="5942">
        <row r="7">
          <cell r="AI7">
            <v>10000</v>
          </cell>
        </row>
      </sheetData>
      <sheetData sheetId="5943">
        <row r="7">
          <cell r="AI7">
            <v>10000</v>
          </cell>
        </row>
      </sheetData>
      <sheetData sheetId="5944">
        <row r="7">
          <cell r="AI7">
            <v>10000</v>
          </cell>
        </row>
      </sheetData>
      <sheetData sheetId="5945">
        <row r="7">
          <cell r="AI7">
            <v>10000</v>
          </cell>
        </row>
      </sheetData>
      <sheetData sheetId="5946">
        <row r="7">
          <cell r="AI7">
            <v>10000</v>
          </cell>
        </row>
      </sheetData>
      <sheetData sheetId="5947">
        <row r="7">
          <cell r="AI7">
            <v>10000</v>
          </cell>
        </row>
      </sheetData>
      <sheetData sheetId="5948">
        <row r="7">
          <cell r="AI7">
            <v>10000</v>
          </cell>
        </row>
      </sheetData>
      <sheetData sheetId="5949">
        <row r="7">
          <cell r="AI7">
            <v>10000</v>
          </cell>
        </row>
      </sheetData>
      <sheetData sheetId="5950">
        <row r="7">
          <cell r="AI7">
            <v>10000</v>
          </cell>
        </row>
      </sheetData>
      <sheetData sheetId="5951">
        <row r="7">
          <cell r="AI7">
            <v>10000</v>
          </cell>
        </row>
      </sheetData>
      <sheetData sheetId="5952">
        <row r="7">
          <cell r="AI7">
            <v>10000</v>
          </cell>
        </row>
      </sheetData>
      <sheetData sheetId="5953">
        <row r="7">
          <cell r="AI7">
            <v>10000</v>
          </cell>
        </row>
      </sheetData>
      <sheetData sheetId="5954">
        <row r="7">
          <cell r="AI7">
            <v>10000</v>
          </cell>
        </row>
      </sheetData>
      <sheetData sheetId="5955">
        <row r="7">
          <cell r="AI7">
            <v>10000</v>
          </cell>
        </row>
      </sheetData>
      <sheetData sheetId="5956">
        <row r="7">
          <cell r="AI7">
            <v>10000</v>
          </cell>
        </row>
      </sheetData>
      <sheetData sheetId="5957">
        <row r="7">
          <cell r="AI7">
            <v>10000</v>
          </cell>
        </row>
      </sheetData>
      <sheetData sheetId="5958">
        <row r="7">
          <cell r="AI7">
            <v>10000</v>
          </cell>
        </row>
      </sheetData>
      <sheetData sheetId="5959">
        <row r="7">
          <cell r="AI7">
            <v>10000</v>
          </cell>
        </row>
      </sheetData>
      <sheetData sheetId="5960">
        <row r="7">
          <cell r="AI7">
            <v>10000</v>
          </cell>
        </row>
      </sheetData>
      <sheetData sheetId="5961">
        <row r="7">
          <cell r="AI7">
            <v>10000</v>
          </cell>
        </row>
      </sheetData>
      <sheetData sheetId="5962">
        <row r="7">
          <cell r="AI7">
            <v>10000</v>
          </cell>
        </row>
      </sheetData>
      <sheetData sheetId="5963">
        <row r="7">
          <cell r="AI7">
            <v>10000</v>
          </cell>
        </row>
      </sheetData>
      <sheetData sheetId="5964">
        <row r="7">
          <cell r="AI7">
            <v>10000</v>
          </cell>
        </row>
      </sheetData>
      <sheetData sheetId="5965">
        <row r="7">
          <cell r="AI7">
            <v>10000</v>
          </cell>
        </row>
      </sheetData>
      <sheetData sheetId="5966">
        <row r="7">
          <cell r="AI7">
            <v>10000</v>
          </cell>
        </row>
      </sheetData>
      <sheetData sheetId="5967">
        <row r="7">
          <cell r="AI7">
            <v>10000</v>
          </cell>
        </row>
      </sheetData>
      <sheetData sheetId="5968">
        <row r="7">
          <cell r="AI7">
            <v>10000</v>
          </cell>
        </row>
      </sheetData>
      <sheetData sheetId="5969">
        <row r="7">
          <cell r="AI7">
            <v>10000</v>
          </cell>
        </row>
      </sheetData>
      <sheetData sheetId="5970">
        <row r="7">
          <cell r="AI7">
            <v>10000</v>
          </cell>
        </row>
      </sheetData>
      <sheetData sheetId="5971">
        <row r="7">
          <cell r="AI7">
            <v>10000</v>
          </cell>
        </row>
      </sheetData>
      <sheetData sheetId="5972">
        <row r="7">
          <cell r="AI7">
            <v>10000</v>
          </cell>
        </row>
      </sheetData>
      <sheetData sheetId="5973">
        <row r="7">
          <cell r="AI7">
            <v>10000</v>
          </cell>
        </row>
      </sheetData>
      <sheetData sheetId="5974">
        <row r="7">
          <cell r="AI7">
            <v>10000</v>
          </cell>
        </row>
      </sheetData>
      <sheetData sheetId="5975">
        <row r="7">
          <cell r="AI7">
            <v>10000</v>
          </cell>
        </row>
      </sheetData>
      <sheetData sheetId="5976">
        <row r="7">
          <cell r="AI7">
            <v>10000</v>
          </cell>
        </row>
      </sheetData>
      <sheetData sheetId="5977">
        <row r="7">
          <cell r="AI7">
            <v>10000</v>
          </cell>
        </row>
      </sheetData>
      <sheetData sheetId="5978">
        <row r="7">
          <cell r="AI7">
            <v>10000</v>
          </cell>
        </row>
      </sheetData>
      <sheetData sheetId="5979">
        <row r="7">
          <cell r="AI7">
            <v>10000</v>
          </cell>
        </row>
      </sheetData>
      <sheetData sheetId="5980">
        <row r="7">
          <cell r="AI7">
            <v>10000</v>
          </cell>
        </row>
      </sheetData>
      <sheetData sheetId="5981">
        <row r="7">
          <cell r="AI7">
            <v>10000</v>
          </cell>
        </row>
      </sheetData>
      <sheetData sheetId="5982">
        <row r="7">
          <cell r="AI7">
            <v>10000</v>
          </cell>
        </row>
      </sheetData>
      <sheetData sheetId="5983">
        <row r="7">
          <cell r="AI7">
            <v>10000</v>
          </cell>
        </row>
      </sheetData>
      <sheetData sheetId="5984">
        <row r="7">
          <cell r="AI7">
            <v>10000</v>
          </cell>
        </row>
      </sheetData>
      <sheetData sheetId="5985">
        <row r="7">
          <cell r="AI7">
            <v>10000</v>
          </cell>
        </row>
      </sheetData>
      <sheetData sheetId="5986">
        <row r="7">
          <cell r="AI7">
            <v>10000</v>
          </cell>
        </row>
      </sheetData>
      <sheetData sheetId="5987">
        <row r="7">
          <cell r="AI7">
            <v>10000</v>
          </cell>
        </row>
      </sheetData>
      <sheetData sheetId="5988">
        <row r="7">
          <cell r="AI7">
            <v>10000</v>
          </cell>
        </row>
      </sheetData>
      <sheetData sheetId="5989">
        <row r="7">
          <cell r="AI7">
            <v>10000</v>
          </cell>
        </row>
      </sheetData>
      <sheetData sheetId="5990">
        <row r="7">
          <cell r="AI7">
            <v>10000</v>
          </cell>
        </row>
      </sheetData>
      <sheetData sheetId="5991">
        <row r="7">
          <cell r="AI7">
            <v>10000</v>
          </cell>
        </row>
      </sheetData>
      <sheetData sheetId="5992">
        <row r="7">
          <cell r="AI7">
            <v>10000</v>
          </cell>
        </row>
      </sheetData>
      <sheetData sheetId="5993">
        <row r="7">
          <cell r="AI7">
            <v>10000</v>
          </cell>
        </row>
      </sheetData>
      <sheetData sheetId="5994">
        <row r="7">
          <cell r="AI7">
            <v>10000</v>
          </cell>
        </row>
      </sheetData>
      <sheetData sheetId="5995">
        <row r="7">
          <cell r="AI7">
            <v>10000</v>
          </cell>
        </row>
      </sheetData>
      <sheetData sheetId="5996">
        <row r="7">
          <cell r="AI7">
            <v>10000</v>
          </cell>
        </row>
      </sheetData>
      <sheetData sheetId="5997">
        <row r="7">
          <cell r="AI7">
            <v>10000</v>
          </cell>
        </row>
      </sheetData>
      <sheetData sheetId="5998">
        <row r="7">
          <cell r="AI7">
            <v>10000</v>
          </cell>
        </row>
      </sheetData>
      <sheetData sheetId="5999">
        <row r="7">
          <cell r="AI7">
            <v>10000</v>
          </cell>
        </row>
      </sheetData>
      <sheetData sheetId="6000">
        <row r="7">
          <cell r="AI7">
            <v>10000</v>
          </cell>
        </row>
      </sheetData>
      <sheetData sheetId="6001">
        <row r="7">
          <cell r="AI7">
            <v>10000</v>
          </cell>
        </row>
      </sheetData>
      <sheetData sheetId="6002">
        <row r="7">
          <cell r="AI7">
            <v>10000</v>
          </cell>
        </row>
      </sheetData>
      <sheetData sheetId="6003">
        <row r="7">
          <cell r="AI7">
            <v>10000</v>
          </cell>
        </row>
      </sheetData>
      <sheetData sheetId="6004">
        <row r="7">
          <cell r="AI7">
            <v>10000</v>
          </cell>
        </row>
      </sheetData>
      <sheetData sheetId="6005">
        <row r="7">
          <cell r="AI7">
            <v>10000</v>
          </cell>
        </row>
      </sheetData>
      <sheetData sheetId="6006">
        <row r="7">
          <cell r="AI7">
            <v>10000</v>
          </cell>
        </row>
      </sheetData>
      <sheetData sheetId="6007">
        <row r="7">
          <cell r="AI7">
            <v>10000</v>
          </cell>
        </row>
      </sheetData>
      <sheetData sheetId="6008">
        <row r="7">
          <cell r="AI7">
            <v>10000</v>
          </cell>
        </row>
      </sheetData>
      <sheetData sheetId="6009">
        <row r="7">
          <cell r="AI7">
            <v>10000</v>
          </cell>
        </row>
      </sheetData>
      <sheetData sheetId="6010">
        <row r="7">
          <cell r="AI7">
            <v>10000</v>
          </cell>
        </row>
      </sheetData>
      <sheetData sheetId="6011">
        <row r="7">
          <cell r="AI7">
            <v>10000</v>
          </cell>
        </row>
      </sheetData>
      <sheetData sheetId="6012">
        <row r="7">
          <cell r="AI7">
            <v>10000</v>
          </cell>
        </row>
      </sheetData>
      <sheetData sheetId="6013">
        <row r="7">
          <cell r="AI7">
            <v>10000</v>
          </cell>
        </row>
      </sheetData>
      <sheetData sheetId="6014">
        <row r="7">
          <cell r="AI7">
            <v>10000</v>
          </cell>
        </row>
      </sheetData>
      <sheetData sheetId="6015">
        <row r="7">
          <cell r="AI7">
            <v>10000</v>
          </cell>
        </row>
      </sheetData>
      <sheetData sheetId="6016">
        <row r="7">
          <cell r="AI7">
            <v>10000</v>
          </cell>
        </row>
      </sheetData>
      <sheetData sheetId="6017">
        <row r="7">
          <cell r="AI7">
            <v>10000</v>
          </cell>
        </row>
      </sheetData>
      <sheetData sheetId="6018">
        <row r="7">
          <cell r="AI7">
            <v>10000</v>
          </cell>
        </row>
      </sheetData>
      <sheetData sheetId="6019">
        <row r="7">
          <cell r="AI7">
            <v>10000</v>
          </cell>
        </row>
      </sheetData>
      <sheetData sheetId="6020">
        <row r="7">
          <cell r="AI7">
            <v>10000</v>
          </cell>
        </row>
      </sheetData>
      <sheetData sheetId="6021">
        <row r="7">
          <cell r="AI7">
            <v>10000</v>
          </cell>
        </row>
      </sheetData>
      <sheetData sheetId="6022">
        <row r="7">
          <cell r="AI7">
            <v>10000</v>
          </cell>
        </row>
      </sheetData>
      <sheetData sheetId="6023">
        <row r="7">
          <cell r="AI7">
            <v>10000</v>
          </cell>
        </row>
      </sheetData>
      <sheetData sheetId="6024">
        <row r="7">
          <cell r="AI7">
            <v>10000</v>
          </cell>
        </row>
      </sheetData>
      <sheetData sheetId="6025">
        <row r="7">
          <cell r="AI7">
            <v>10000</v>
          </cell>
        </row>
      </sheetData>
      <sheetData sheetId="6026">
        <row r="7">
          <cell r="AI7">
            <v>10000</v>
          </cell>
        </row>
      </sheetData>
      <sheetData sheetId="6027">
        <row r="7">
          <cell r="AI7">
            <v>10000</v>
          </cell>
        </row>
      </sheetData>
      <sheetData sheetId="6028">
        <row r="7">
          <cell r="AI7">
            <v>10000</v>
          </cell>
        </row>
      </sheetData>
      <sheetData sheetId="6029">
        <row r="7">
          <cell r="AI7">
            <v>10000</v>
          </cell>
        </row>
      </sheetData>
      <sheetData sheetId="6030">
        <row r="7">
          <cell r="AI7">
            <v>10000</v>
          </cell>
        </row>
      </sheetData>
      <sheetData sheetId="6031">
        <row r="7">
          <cell r="AI7">
            <v>10000</v>
          </cell>
        </row>
      </sheetData>
      <sheetData sheetId="6032">
        <row r="7">
          <cell r="AI7">
            <v>10000</v>
          </cell>
        </row>
      </sheetData>
      <sheetData sheetId="6033">
        <row r="7">
          <cell r="AI7">
            <v>10000</v>
          </cell>
        </row>
      </sheetData>
      <sheetData sheetId="6034">
        <row r="7">
          <cell r="AI7">
            <v>10000</v>
          </cell>
        </row>
      </sheetData>
      <sheetData sheetId="6035">
        <row r="7">
          <cell r="AI7">
            <v>10000</v>
          </cell>
        </row>
      </sheetData>
      <sheetData sheetId="6036">
        <row r="7">
          <cell r="AI7">
            <v>10000</v>
          </cell>
        </row>
      </sheetData>
      <sheetData sheetId="6037">
        <row r="7">
          <cell r="AI7">
            <v>10000</v>
          </cell>
        </row>
      </sheetData>
      <sheetData sheetId="6038">
        <row r="7">
          <cell r="AI7">
            <v>10000</v>
          </cell>
        </row>
      </sheetData>
      <sheetData sheetId="6039">
        <row r="7">
          <cell r="AI7">
            <v>10000</v>
          </cell>
        </row>
      </sheetData>
      <sheetData sheetId="6040">
        <row r="7">
          <cell r="AI7">
            <v>10000</v>
          </cell>
        </row>
      </sheetData>
      <sheetData sheetId="6041">
        <row r="7">
          <cell r="AI7">
            <v>10000</v>
          </cell>
        </row>
      </sheetData>
      <sheetData sheetId="6042">
        <row r="7">
          <cell r="AI7">
            <v>10000</v>
          </cell>
        </row>
      </sheetData>
      <sheetData sheetId="6043">
        <row r="7">
          <cell r="AI7">
            <v>10000</v>
          </cell>
        </row>
      </sheetData>
      <sheetData sheetId="6044">
        <row r="7">
          <cell r="AI7">
            <v>10000</v>
          </cell>
        </row>
      </sheetData>
      <sheetData sheetId="6045">
        <row r="7">
          <cell r="AI7">
            <v>10000</v>
          </cell>
        </row>
      </sheetData>
      <sheetData sheetId="6046">
        <row r="7">
          <cell r="AI7">
            <v>10000</v>
          </cell>
        </row>
      </sheetData>
      <sheetData sheetId="6047">
        <row r="7">
          <cell r="AI7">
            <v>10000</v>
          </cell>
        </row>
      </sheetData>
      <sheetData sheetId="6048">
        <row r="7">
          <cell r="AI7">
            <v>10000</v>
          </cell>
        </row>
      </sheetData>
      <sheetData sheetId="6049">
        <row r="7">
          <cell r="AI7">
            <v>10000</v>
          </cell>
        </row>
      </sheetData>
      <sheetData sheetId="6050">
        <row r="7">
          <cell r="AI7">
            <v>10000</v>
          </cell>
        </row>
      </sheetData>
      <sheetData sheetId="6051">
        <row r="7">
          <cell r="AI7">
            <v>10000</v>
          </cell>
        </row>
      </sheetData>
      <sheetData sheetId="6052">
        <row r="7">
          <cell r="AI7">
            <v>10000</v>
          </cell>
        </row>
      </sheetData>
      <sheetData sheetId="6053">
        <row r="7">
          <cell r="AI7">
            <v>10000</v>
          </cell>
        </row>
      </sheetData>
      <sheetData sheetId="6054">
        <row r="7">
          <cell r="AI7">
            <v>10000</v>
          </cell>
        </row>
      </sheetData>
      <sheetData sheetId="6055">
        <row r="7">
          <cell r="AI7">
            <v>10000</v>
          </cell>
        </row>
      </sheetData>
      <sheetData sheetId="6056">
        <row r="7">
          <cell r="AI7">
            <v>10000</v>
          </cell>
        </row>
      </sheetData>
      <sheetData sheetId="6057">
        <row r="7">
          <cell r="AI7">
            <v>10000</v>
          </cell>
        </row>
      </sheetData>
      <sheetData sheetId="6058">
        <row r="7">
          <cell r="AI7">
            <v>10000</v>
          </cell>
        </row>
      </sheetData>
      <sheetData sheetId="6059">
        <row r="7">
          <cell r="AI7">
            <v>10000</v>
          </cell>
        </row>
      </sheetData>
      <sheetData sheetId="6060">
        <row r="7">
          <cell r="AI7">
            <v>10000</v>
          </cell>
        </row>
      </sheetData>
      <sheetData sheetId="6061">
        <row r="7">
          <cell r="AI7">
            <v>10000</v>
          </cell>
        </row>
      </sheetData>
      <sheetData sheetId="6062">
        <row r="7">
          <cell r="AI7">
            <v>10000</v>
          </cell>
        </row>
      </sheetData>
      <sheetData sheetId="6063">
        <row r="7">
          <cell r="AI7">
            <v>10000</v>
          </cell>
        </row>
      </sheetData>
      <sheetData sheetId="6064">
        <row r="7">
          <cell r="AI7">
            <v>10000</v>
          </cell>
        </row>
      </sheetData>
      <sheetData sheetId="6065">
        <row r="7">
          <cell r="AI7">
            <v>10000</v>
          </cell>
        </row>
      </sheetData>
      <sheetData sheetId="6066">
        <row r="7">
          <cell r="AI7">
            <v>10000</v>
          </cell>
        </row>
      </sheetData>
      <sheetData sheetId="6067">
        <row r="7">
          <cell r="AI7">
            <v>10000</v>
          </cell>
        </row>
      </sheetData>
      <sheetData sheetId="6068">
        <row r="7">
          <cell r="AI7">
            <v>10000</v>
          </cell>
        </row>
      </sheetData>
      <sheetData sheetId="6069">
        <row r="7">
          <cell r="AI7">
            <v>10000</v>
          </cell>
        </row>
      </sheetData>
      <sheetData sheetId="6070">
        <row r="7">
          <cell r="AI7">
            <v>10000</v>
          </cell>
        </row>
      </sheetData>
      <sheetData sheetId="6071">
        <row r="7">
          <cell r="AI7">
            <v>10000</v>
          </cell>
        </row>
      </sheetData>
      <sheetData sheetId="6072">
        <row r="7">
          <cell r="AI7">
            <v>10000</v>
          </cell>
        </row>
      </sheetData>
      <sheetData sheetId="6073">
        <row r="7">
          <cell r="AI7">
            <v>10000</v>
          </cell>
        </row>
      </sheetData>
      <sheetData sheetId="6074">
        <row r="7">
          <cell r="AI7">
            <v>10000</v>
          </cell>
        </row>
      </sheetData>
      <sheetData sheetId="6075">
        <row r="7">
          <cell r="AI7">
            <v>10000</v>
          </cell>
        </row>
      </sheetData>
      <sheetData sheetId="6076">
        <row r="7">
          <cell r="AI7">
            <v>10000</v>
          </cell>
        </row>
      </sheetData>
      <sheetData sheetId="6077">
        <row r="7">
          <cell r="AI7">
            <v>10000</v>
          </cell>
        </row>
      </sheetData>
      <sheetData sheetId="6078">
        <row r="7">
          <cell r="AI7">
            <v>10000</v>
          </cell>
        </row>
      </sheetData>
      <sheetData sheetId="6079">
        <row r="7">
          <cell r="AI7">
            <v>10000</v>
          </cell>
        </row>
      </sheetData>
      <sheetData sheetId="6080">
        <row r="7">
          <cell r="AI7">
            <v>10000</v>
          </cell>
        </row>
      </sheetData>
      <sheetData sheetId="6081">
        <row r="7">
          <cell r="AI7">
            <v>10000</v>
          </cell>
        </row>
      </sheetData>
      <sheetData sheetId="6082">
        <row r="7">
          <cell r="AI7">
            <v>10000</v>
          </cell>
        </row>
      </sheetData>
      <sheetData sheetId="6083">
        <row r="7">
          <cell r="AI7">
            <v>10000</v>
          </cell>
        </row>
      </sheetData>
      <sheetData sheetId="6084">
        <row r="7">
          <cell r="AI7">
            <v>10000</v>
          </cell>
        </row>
      </sheetData>
      <sheetData sheetId="6085">
        <row r="7">
          <cell r="AI7">
            <v>10000</v>
          </cell>
        </row>
      </sheetData>
      <sheetData sheetId="6086">
        <row r="7">
          <cell r="AI7">
            <v>10000</v>
          </cell>
        </row>
      </sheetData>
      <sheetData sheetId="6087">
        <row r="7">
          <cell r="AI7">
            <v>10000</v>
          </cell>
        </row>
      </sheetData>
      <sheetData sheetId="6088">
        <row r="7">
          <cell r="AI7">
            <v>10000</v>
          </cell>
        </row>
      </sheetData>
      <sheetData sheetId="6089">
        <row r="7">
          <cell r="AI7">
            <v>10000</v>
          </cell>
        </row>
      </sheetData>
      <sheetData sheetId="6090">
        <row r="7">
          <cell r="AI7">
            <v>10000</v>
          </cell>
        </row>
      </sheetData>
      <sheetData sheetId="6091">
        <row r="7">
          <cell r="AI7">
            <v>10000</v>
          </cell>
        </row>
      </sheetData>
      <sheetData sheetId="6092">
        <row r="7">
          <cell r="AI7">
            <v>10000</v>
          </cell>
        </row>
      </sheetData>
      <sheetData sheetId="6093">
        <row r="7">
          <cell r="AI7">
            <v>10000</v>
          </cell>
        </row>
      </sheetData>
      <sheetData sheetId="6094">
        <row r="7">
          <cell r="AI7">
            <v>10000</v>
          </cell>
        </row>
      </sheetData>
      <sheetData sheetId="6095">
        <row r="7">
          <cell r="AI7">
            <v>10000</v>
          </cell>
        </row>
      </sheetData>
      <sheetData sheetId="6096">
        <row r="7">
          <cell r="AI7">
            <v>10000</v>
          </cell>
        </row>
      </sheetData>
      <sheetData sheetId="6097">
        <row r="7">
          <cell r="AI7">
            <v>10000</v>
          </cell>
        </row>
      </sheetData>
      <sheetData sheetId="6098">
        <row r="7">
          <cell r="AI7">
            <v>10000</v>
          </cell>
        </row>
      </sheetData>
      <sheetData sheetId="6099">
        <row r="7">
          <cell r="AI7">
            <v>10000</v>
          </cell>
        </row>
      </sheetData>
      <sheetData sheetId="6100">
        <row r="7">
          <cell r="AI7">
            <v>10000</v>
          </cell>
        </row>
      </sheetData>
      <sheetData sheetId="6101">
        <row r="7">
          <cell r="AI7">
            <v>10000</v>
          </cell>
        </row>
      </sheetData>
      <sheetData sheetId="6102">
        <row r="7">
          <cell r="AI7">
            <v>10000</v>
          </cell>
        </row>
      </sheetData>
      <sheetData sheetId="6103">
        <row r="7">
          <cell r="AI7">
            <v>10000</v>
          </cell>
        </row>
      </sheetData>
      <sheetData sheetId="6104">
        <row r="7">
          <cell r="AI7">
            <v>10000</v>
          </cell>
        </row>
      </sheetData>
      <sheetData sheetId="6105">
        <row r="7">
          <cell r="AI7">
            <v>10000</v>
          </cell>
        </row>
      </sheetData>
      <sheetData sheetId="6106">
        <row r="7">
          <cell r="AI7">
            <v>10000</v>
          </cell>
        </row>
      </sheetData>
      <sheetData sheetId="6107">
        <row r="7">
          <cell r="AI7">
            <v>10000</v>
          </cell>
        </row>
      </sheetData>
      <sheetData sheetId="6108">
        <row r="7">
          <cell r="AI7">
            <v>10000</v>
          </cell>
        </row>
      </sheetData>
      <sheetData sheetId="6109">
        <row r="7">
          <cell r="AI7">
            <v>10000</v>
          </cell>
        </row>
      </sheetData>
      <sheetData sheetId="6110">
        <row r="7">
          <cell r="AI7">
            <v>10000</v>
          </cell>
        </row>
      </sheetData>
      <sheetData sheetId="6111">
        <row r="7">
          <cell r="AI7">
            <v>10000</v>
          </cell>
        </row>
      </sheetData>
      <sheetData sheetId="6112">
        <row r="7">
          <cell r="AI7">
            <v>10000</v>
          </cell>
        </row>
      </sheetData>
      <sheetData sheetId="6113">
        <row r="7">
          <cell r="AI7">
            <v>10000</v>
          </cell>
        </row>
      </sheetData>
      <sheetData sheetId="6114">
        <row r="7">
          <cell r="AI7">
            <v>10000</v>
          </cell>
        </row>
      </sheetData>
      <sheetData sheetId="6115">
        <row r="7">
          <cell r="AI7">
            <v>10000</v>
          </cell>
        </row>
      </sheetData>
      <sheetData sheetId="6116">
        <row r="7">
          <cell r="AI7">
            <v>10000</v>
          </cell>
        </row>
      </sheetData>
      <sheetData sheetId="6117">
        <row r="7">
          <cell r="AI7">
            <v>10000</v>
          </cell>
        </row>
      </sheetData>
      <sheetData sheetId="6118">
        <row r="7">
          <cell r="AI7">
            <v>10000</v>
          </cell>
        </row>
      </sheetData>
      <sheetData sheetId="6119">
        <row r="7">
          <cell r="AI7">
            <v>10000</v>
          </cell>
        </row>
      </sheetData>
      <sheetData sheetId="6120">
        <row r="7">
          <cell r="AI7">
            <v>10000</v>
          </cell>
        </row>
      </sheetData>
      <sheetData sheetId="6121">
        <row r="7">
          <cell r="AI7">
            <v>10000</v>
          </cell>
        </row>
      </sheetData>
      <sheetData sheetId="6122">
        <row r="7">
          <cell r="AI7">
            <v>10000</v>
          </cell>
        </row>
      </sheetData>
      <sheetData sheetId="6123">
        <row r="7">
          <cell r="AI7">
            <v>10000</v>
          </cell>
        </row>
      </sheetData>
      <sheetData sheetId="6124">
        <row r="7">
          <cell r="AI7">
            <v>10000</v>
          </cell>
        </row>
      </sheetData>
      <sheetData sheetId="6125">
        <row r="7">
          <cell r="AI7">
            <v>10000</v>
          </cell>
        </row>
      </sheetData>
      <sheetData sheetId="6126">
        <row r="7">
          <cell r="AI7">
            <v>10000</v>
          </cell>
        </row>
      </sheetData>
      <sheetData sheetId="6127">
        <row r="7">
          <cell r="AI7">
            <v>10000</v>
          </cell>
        </row>
      </sheetData>
      <sheetData sheetId="6128">
        <row r="7">
          <cell r="AI7">
            <v>10000</v>
          </cell>
        </row>
      </sheetData>
      <sheetData sheetId="6129">
        <row r="7">
          <cell r="AI7">
            <v>10000</v>
          </cell>
        </row>
      </sheetData>
      <sheetData sheetId="6130">
        <row r="7">
          <cell r="AI7">
            <v>10000</v>
          </cell>
        </row>
      </sheetData>
      <sheetData sheetId="6131">
        <row r="7">
          <cell r="AI7">
            <v>10000</v>
          </cell>
        </row>
      </sheetData>
      <sheetData sheetId="6132">
        <row r="7">
          <cell r="AI7">
            <v>10000</v>
          </cell>
        </row>
      </sheetData>
      <sheetData sheetId="6133">
        <row r="7">
          <cell r="AI7">
            <v>10000</v>
          </cell>
        </row>
      </sheetData>
      <sheetData sheetId="6134">
        <row r="7">
          <cell r="AI7">
            <v>10000</v>
          </cell>
        </row>
      </sheetData>
      <sheetData sheetId="6135">
        <row r="7">
          <cell r="AI7">
            <v>10000</v>
          </cell>
        </row>
      </sheetData>
      <sheetData sheetId="6136">
        <row r="7">
          <cell r="AI7">
            <v>10000</v>
          </cell>
        </row>
      </sheetData>
      <sheetData sheetId="6137">
        <row r="7">
          <cell r="AI7">
            <v>10000</v>
          </cell>
        </row>
      </sheetData>
      <sheetData sheetId="6138">
        <row r="7">
          <cell r="AI7">
            <v>10000</v>
          </cell>
        </row>
      </sheetData>
      <sheetData sheetId="6139">
        <row r="7">
          <cell r="AI7">
            <v>10000</v>
          </cell>
        </row>
      </sheetData>
      <sheetData sheetId="6140">
        <row r="7">
          <cell r="AI7">
            <v>10000</v>
          </cell>
        </row>
      </sheetData>
      <sheetData sheetId="6141">
        <row r="7">
          <cell r="AI7">
            <v>10000</v>
          </cell>
        </row>
      </sheetData>
      <sheetData sheetId="6142">
        <row r="7">
          <cell r="AI7">
            <v>10000</v>
          </cell>
        </row>
      </sheetData>
      <sheetData sheetId="6143">
        <row r="7">
          <cell r="AI7">
            <v>10000</v>
          </cell>
        </row>
      </sheetData>
      <sheetData sheetId="6144">
        <row r="7">
          <cell r="AI7">
            <v>10000</v>
          </cell>
        </row>
      </sheetData>
      <sheetData sheetId="6145">
        <row r="7">
          <cell r="AI7">
            <v>10000</v>
          </cell>
        </row>
      </sheetData>
      <sheetData sheetId="6146">
        <row r="7">
          <cell r="AI7">
            <v>10000</v>
          </cell>
        </row>
      </sheetData>
      <sheetData sheetId="6147">
        <row r="7">
          <cell r="AI7">
            <v>10000</v>
          </cell>
        </row>
      </sheetData>
      <sheetData sheetId="6148">
        <row r="7">
          <cell r="AI7">
            <v>10000</v>
          </cell>
        </row>
      </sheetData>
      <sheetData sheetId="6149">
        <row r="7">
          <cell r="AI7">
            <v>10000</v>
          </cell>
        </row>
      </sheetData>
      <sheetData sheetId="6150">
        <row r="7">
          <cell r="AI7">
            <v>10000</v>
          </cell>
        </row>
      </sheetData>
      <sheetData sheetId="6151">
        <row r="7">
          <cell r="AI7">
            <v>10000</v>
          </cell>
        </row>
      </sheetData>
      <sheetData sheetId="6152">
        <row r="7">
          <cell r="AI7">
            <v>10000</v>
          </cell>
        </row>
      </sheetData>
      <sheetData sheetId="6153">
        <row r="7">
          <cell r="AI7">
            <v>10000</v>
          </cell>
        </row>
      </sheetData>
      <sheetData sheetId="6154">
        <row r="7">
          <cell r="AI7">
            <v>10000</v>
          </cell>
        </row>
      </sheetData>
      <sheetData sheetId="6155">
        <row r="7">
          <cell r="AI7">
            <v>10000</v>
          </cell>
        </row>
      </sheetData>
      <sheetData sheetId="6156">
        <row r="7">
          <cell r="AI7">
            <v>10000</v>
          </cell>
        </row>
      </sheetData>
      <sheetData sheetId="6157">
        <row r="7">
          <cell r="AI7">
            <v>10000</v>
          </cell>
        </row>
      </sheetData>
      <sheetData sheetId="6158">
        <row r="7">
          <cell r="AI7">
            <v>10000</v>
          </cell>
        </row>
      </sheetData>
      <sheetData sheetId="6159">
        <row r="7">
          <cell r="AI7">
            <v>10000</v>
          </cell>
        </row>
      </sheetData>
      <sheetData sheetId="6160">
        <row r="7">
          <cell r="AI7">
            <v>10000</v>
          </cell>
        </row>
      </sheetData>
      <sheetData sheetId="6161">
        <row r="7">
          <cell r="AI7">
            <v>10000</v>
          </cell>
        </row>
      </sheetData>
      <sheetData sheetId="6162">
        <row r="7">
          <cell r="AI7">
            <v>10000</v>
          </cell>
        </row>
      </sheetData>
      <sheetData sheetId="6163">
        <row r="7">
          <cell r="AI7">
            <v>10000</v>
          </cell>
        </row>
      </sheetData>
      <sheetData sheetId="6164">
        <row r="7">
          <cell r="AI7">
            <v>10000</v>
          </cell>
        </row>
      </sheetData>
      <sheetData sheetId="6165">
        <row r="7">
          <cell r="AI7">
            <v>10000</v>
          </cell>
        </row>
      </sheetData>
      <sheetData sheetId="6166">
        <row r="7">
          <cell r="AI7">
            <v>10000</v>
          </cell>
        </row>
      </sheetData>
      <sheetData sheetId="6167">
        <row r="7">
          <cell r="AI7">
            <v>10000</v>
          </cell>
        </row>
      </sheetData>
      <sheetData sheetId="6168">
        <row r="7">
          <cell r="AI7">
            <v>10000</v>
          </cell>
        </row>
      </sheetData>
      <sheetData sheetId="6169">
        <row r="7">
          <cell r="AI7">
            <v>10000</v>
          </cell>
        </row>
      </sheetData>
      <sheetData sheetId="6170">
        <row r="7">
          <cell r="AI7">
            <v>10000</v>
          </cell>
        </row>
      </sheetData>
      <sheetData sheetId="6171">
        <row r="7">
          <cell r="AI7">
            <v>10000</v>
          </cell>
        </row>
      </sheetData>
      <sheetData sheetId="6172">
        <row r="7">
          <cell r="AI7">
            <v>10000</v>
          </cell>
        </row>
      </sheetData>
      <sheetData sheetId="6173">
        <row r="7">
          <cell r="AI7">
            <v>10000</v>
          </cell>
        </row>
      </sheetData>
      <sheetData sheetId="6174">
        <row r="7">
          <cell r="AI7">
            <v>10000</v>
          </cell>
        </row>
      </sheetData>
      <sheetData sheetId="6175">
        <row r="7">
          <cell r="AI7">
            <v>10000</v>
          </cell>
        </row>
      </sheetData>
      <sheetData sheetId="6176">
        <row r="7">
          <cell r="AI7">
            <v>10000</v>
          </cell>
        </row>
      </sheetData>
      <sheetData sheetId="6177">
        <row r="7">
          <cell r="AI7">
            <v>10000</v>
          </cell>
        </row>
      </sheetData>
      <sheetData sheetId="6178">
        <row r="7">
          <cell r="AI7">
            <v>10000</v>
          </cell>
        </row>
      </sheetData>
      <sheetData sheetId="6179">
        <row r="7">
          <cell r="AI7">
            <v>10000</v>
          </cell>
        </row>
      </sheetData>
      <sheetData sheetId="6180">
        <row r="7">
          <cell r="AI7">
            <v>10000</v>
          </cell>
        </row>
      </sheetData>
      <sheetData sheetId="6181">
        <row r="7">
          <cell r="AI7">
            <v>10000</v>
          </cell>
        </row>
      </sheetData>
      <sheetData sheetId="6182">
        <row r="7">
          <cell r="AI7">
            <v>10000</v>
          </cell>
        </row>
      </sheetData>
      <sheetData sheetId="6183">
        <row r="7">
          <cell r="AI7">
            <v>10000</v>
          </cell>
        </row>
      </sheetData>
      <sheetData sheetId="6184">
        <row r="7">
          <cell r="AI7">
            <v>10000</v>
          </cell>
        </row>
      </sheetData>
      <sheetData sheetId="6185">
        <row r="7">
          <cell r="AI7">
            <v>10000</v>
          </cell>
        </row>
      </sheetData>
      <sheetData sheetId="6186">
        <row r="7">
          <cell r="AI7">
            <v>10000</v>
          </cell>
        </row>
      </sheetData>
      <sheetData sheetId="6187">
        <row r="7">
          <cell r="AI7">
            <v>10000</v>
          </cell>
        </row>
      </sheetData>
      <sheetData sheetId="6188">
        <row r="7">
          <cell r="AI7">
            <v>10000</v>
          </cell>
        </row>
      </sheetData>
      <sheetData sheetId="6189">
        <row r="7">
          <cell r="AI7">
            <v>10000</v>
          </cell>
        </row>
      </sheetData>
      <sheetData sheetId="6190">
        <row r="7">
          <cell r="AI7">
            <v>10000</v>
          </cell>
        </row>
      </sheetData>
      <sheetData sheetId="6191">
        <row r="7">
          <cell r="AI7">
            <v>10000</v>
          </cell>
        </row>
      </sheetData>
      <sheetData sheetId="6192">
        <row r="7">
          <cell r="AI7">
            <v>10000</v>
          </cell>
        </row>
      </sheetData>
      <sheetData sheetId="6193">
        <row r="7">
          <cell r="AI7">
            <v>10000</v>
          </cell>
        </row>
      </sheetData>
      <sheetData sheetId="6194">
        <row r="7">
          <cell r="AI7">
            <v>10000</v>
          </cell>
        </row>
      </sheetData>
      <sheetData sheetId="6195">
        <row r="7">
          <cell r="AI7">
            <v>10000</v>
          </cell>
        </row>
      </sheetData>
      <sheetData sheetId="6196">
        <row r="7">
          <cell r="AI7">
            <v>10000</v>
          </cell>
        </row>
      </sheetData>
      <sheetData sheetId="6197">
        <row r="7">
          <cell r="AI7">
            <v>10000</v>
          </cell>
        </row>
      </sheetData>
      <sheetData sheetId="6198">
        <row r="7">
          <cell r="AI7">
            <v>10000</v>
          </cell>
        </row>
      </sheetData>
      <sheetData sheetId="6199">
        <row r="7">
          <cell r="AI7">
            <v>10000</v>
          </cell>
        </row>
      </sheetData>
      <sheetData sheetId="6200">
        <row r="7">
          <cell r="AI7">
            <v>10000</v>
          </cell>
        </row>
      </sheetData>
      <sheetData sheetId="6201">
        <row r="7">
          <cell r="AI7">
            <v>10000</v>
          </cell>
        </row>
      </sheetData>
      <sheetData sheetId="6202">
        <row r="7">
          <cell r="AI7">
            <v>10000</v>
          </cell>
        </row>
      </sheetData>
      <sheetData sheetId="6203">
        <row r="7">
          <cell r="AI7">
            <v>10000</v>
          </cell>
        </row>
      </sheetData>
      <sheetData sheetId="6204">
        <row r="7">
          <cell r="AI7">
            <v>10000</v>
          </cell>
        </row>
      </sheetData>
      <sheetData sheetId="6205">
        <row r="7">
          <cell r="AI7">
            <v>10000</v>
          </cell>
        </row>
      </sheetData>
      <sheetData sheetId="6206">
        <row r="7">
          <cell r="AI7">
            <v>10000</v>
          </cell>
        </row>
      </sheetData>
      <sheetData sheetId="6207">
        <row r="7">
          <cell r="AI7">
            <v>10000</v>
          </cell>
        </row>
      </sheetData>
      <sheetData sheetId="6208">
        <row r="7">
          <cell r="AI7">
            <v>10000</v>
          </cell>
        </row>
      </sheetData>
      <sheetData sheetId="6209">
        <row r="7">
          <cell r="AI7">
            <v>10000</v>
          </cell>
        </row>
      </sheetData>
      <sheetData sheetId="6210">
        <row r="7">
          <cell r="AI7">
            <v>10000</v>
          </cell>
        </row>
      </sheetData>
      <sheetData sheetId="6211">
        <row r="7">
          <cell r="AI7">
            <v>10000</v>
          </cell>
        </row>
      </sheetData>
      <sheetData sheetId="6212">
        <row r="7">
          <cell r="AI7">
            <v>10000</v>
          </cell>
        </row>
      </sheetData>
      <sheetData sheetId="6213">
        <row r="7">
          <cell r="AI7">
            <v>10000</v>
          </cell>
        </row>
      </sheetData>
      <sheetData sheetId="6214">
        <row r="7">
          <cell r="AI7">
            <v>10000</v>
          </cell>
        </row>
      </sheetData>
      <sheetData sheetId="6215">
        <row r="7">
          <cell r="AI7">
            <v>10000</v>
          </cell>
        </row>
      </sheetData>
      <sheetData sheetId="6216">
        <row r="7">
          <cell r="AI7">
            <v>10000</v>
          </cell>
        </row>
      </sheetData>
      <sheetData sheetId="6217">
        <row r="7">
          <cell r="AI7">
            <v>10000</v>
          </cell>
        </row>
      </sheetData>
      <sheetData sheetId="6218">
        <row r="7">
          <cell r="AI7">
            <v>10000</v>
          </cell>
        </row>
      </sheetData>
      <sheetData sheetId="6219">
        <row r="7">
          <cell r="AI7">
            <v>10000</v>
          </cell>
        </row>
      </sheetData>
      <sheetData sheetId="6220">
        <row r="7">
          <cell r="AI7">
            <v>10000</v>
          </cell>
        </row>
      </sheetData>
      <sheetData sheetId="6221">
        <row r="7">
          <cell r="AI7">
            <v>10000</v>
          </cell>
        </row>
      </sheetData>
      <sheetData sheetId="6222">
        <row r="7">
          <cell r="AI7">
            <v>10000</v>
          </cell>
        </row>
      </sheetData>
      <sheetData sheetId="6223">
        <row r="7">
          <cell r="AI7">
            <v>10000</v>
          </cell>
        </row>
      </sheetData>
      <sheetData sheetId="6224">
        <row r="7">
          <cell r="AI7">
            <v>10000</v>
          </cell>
        </row>
      </sheetData>
      <sheetData sheetId="6225">
        <row r="7">
          <cell r="AI7">
            <v>10000</v>
          </cell>
        </row>
      </sheetData>
      <sheetData sheetId="6226">
        <row r="7">
          <cell r="AI7">
            <v>10000</v>
          </cell>
        </row>
      </sheetData>
      <sheetData sheetId="6227">
        <row r="7">
          <cell r="AI7">
            <v>10000</v>
          </cell>
        </row>
      </sheetData>
      <sheetData sheetId="6228">
        <row r="7">
          <cell r="AI7">
            <v>10000</v>
          </cell>
        </row>
      </sheetData>
      <sheetData sheetId="6229">
        <row r="7">
          <cell r="AI7">
            <v>10000</v>
          </cell>
        </row>
      </sheetData>
      <sheetData sheetId="6230">
        <row r="7">
          <cell r="AI7">
            <v>10000</v>
          </cell>
        </row>
      </sheetData>
      <sheetData sheetId="6231">
        <row r="7">
          <cell r="AI7">
            <v>10000</v>
          </cell>
        </row>
      </sheetData>
      <sheetData sheetId="6232">
        <row r="7">
          <cell r="AI7">
            <v>10000</v>
          </cell>
        </row>
      </sheetData>
      <sheetData sheetId="6233">
        <row r="7">
          <cell r="AI7">
            <v>10000</v>
          </cell>
        </row>
      </sheetData>
      <sheetData sheetId="6234">
        <row r="7">
          <cell r="AI7">
            <v>10000</v>
          </cell>
        </row>
      </sheetData>
      <sheetData sheetId="6235">
        <row r="7">
          <cell r="AI7">
            <v>10000</v>
          </cell>
        </row>
      </sheetData>
      <sheetData sheetId="6236">
        <row r="7">
          <cell r="AI7">
            <v>10000</v>
          </cell>
        </row>
      </sheetData>
      <sheetData sheetId="6237">
        <row r="7">
          <cell r="AI7">
            <v>10000</v>
          </cell>
        </row>
      </sheetData>
      <sheetData sheetId="6238">
        <row r="7">
          <cell r="AI7">
            <v>10000</v>
          </cell>
        </row>
      </sheetData>
      <sheetData sheetId="6239">
        <row r="7">
          <cell r="AI7">
            <v>10000</v>
          </cell>
        </row>
      </sheetData>
      <sheetData sheetId="6240">
        <row r="7">
          <cell r="AI7">
            <v>10000</v>
          </cell>
        </row>
      </sheetData>
      <sheetData sheetId="6241">
        <row r="7">
          <cell r="AI7">
            <v>10000</v>
          </cell>
        </row>
      </sheetData>
      <sheetData sheetId="6242">
        <row r="7">
          <cell r="AI7">
            <v>10000</v>
          </cell>
        </row>
      </sheetData>
      <sheetData sheetId="6243">
        <row r="7">
          <cell r="AI7">
            <v>10000</v>
          </cell>
        </row>
      </sheetData>
      <sheetData sheetId="6244">
        <row r="7">
          <cell r="AI7">
            <v>10000</v>
          </cell>
        </row>
      </sheetData>
      <sheetData sheetId="6245">
        <row r="7">
          <cell r="AI7">
            <v>10000</v>
          </cell>
        </row>
      </sheetData>
      <sheetData sheetId="6246">
        <row r="7">
          <cell r="AI7">
            <v>10000</v>
          </cell>
        </row>
      </sheetData>
      <sheetData sheetId="6247">
        <row r="7">
          <cell r="AI7">
            <v>10000</v>
          </cell>
        </row>
      </sheetData>
      <sheetData sheetId="6248">
        <row r="7">
          <cell r="AI7">
            <v>10000</v>
          </cell>
        </row>
      </sheetData>
      <sheetData sheetId="6249">
        <row r="7">
          <cell r="AI7">
            <v>10000</v>
          </cell>
        </row>
      </sheetData>
      <sheetData sheetId="6250">
        <row r="7">
          <cell r="AI7">
            <v>10000</v>
          </cell>
        </row>
      </sheetData>
      <sheetData sheetId="6251">
        <row r="7">
          <cell r="AI7">
            <v>10000</v>
          </cell>
        </row>
      </sheetData>
      <sheetData sheetId="6252">
        <row r="7">
          <cell r="AI7">
            <v>10000</v>
          </cell>
        </row>
      </sheetData>
      <sheetData sheetId="6253">
        <row r="7">
          <cell r="AI7">
            <v>10000</v>
          </cell>
        </row>
      </sheetData>
      <sheetData sheetId="6254">
        <row r="7">
          <cell r="AI7">
            <v>10000</v>
          </cell>
        </row>
      </sheetData>
      <sheetData sheetId="6255">
        <row r="7">
          <cell r="AI7">
            <v>10000</v>
          </cell>
        </row>
      </sheetData>
      <sheetData sheetId="6256">
        <row r="7">
          <cell r="AI7">
            <v>10000</v>
          </cell>
        </row>
      </sheetData>
      <sheetData sheetId="6257">
        <row r="7">
          <cell r="AI7">
            <v>10000</v>
          </cell>
        </row>
      </sheetData>
      <sheetData sheetId="6258">
        <row r="7">
          <cell r="AI7">
            <v>10000</v>
          </cell>
        </row>
      </sheetData>
      <sheetData sheetId="6259">
        <row r="7">
          <cell r="AI7">
            <v>10000</v>
          </cell>
        </row>
      </sheetData>
      <sheetData sheetId="6260">
        <row r="7">
          <cell r="AI7">
            <v>10000</v>
          </cell>
        </row>
      </sheetData>
      <sheetData sheetId="6261">
        <row r="7">
          <cell r="AI7">
            <v>10000</v>
          </cell>
        </row>
      </sheetData>
      <sheetData sheetId="6262">
        <row r="7">
          <cell r="AI7">
            <v>10000</v>
          </cell>
        </row>
      </sheetData>
      <sheetData sheetId="6263">
        <row r="7">
          <cell r="AI7">
            <v>10000</v>
          </cell>
        </row>
      </sheetData>
      <sheetData sheetId="6264">
        <row r="7">
          <cell r="AI7">
            <v>10000</v>
          </cell>
        </row>
      </sheetData>
      <sheetData sheetId="6265">
        <row r="7">
          <cell r="AI7">
            <v>10000</v>
          </cell>
        </row>
      </sheetData>
      <sheetData sheetId="6266">
        <row r="7">
          <cell r="AI7">
            <v>10000</v>
          </cell>
        </row>
      </sheetData>
      <sheetData sheetId="6267">
        <row r="7">
          <cell r="AI7">
            <v>10000</v>
          </cell>
        </row>
      </sheetData>
      <sheetData sheetId="6268">
        <row r="7">
          <cell r="AI7">
            <v>10000</v>
          </cell>
        </row>
      </sheetData>
      <sheetData sheetId="6269">
        <row r="7">
          <cell r="AI7">
            <v>10000</v>
          </cell>
        </row>
      </sheetData>
      <sheetData sheetId="6270">
        <row r="7">
          <cell r="AI7">
            <v>10000</v>
          </cell>
        </row>
      </sheetData>
      <sheetData sheetId="6271">
        <row r="7">
          <cell r="AI7">
            <v>10000</v>
          </cell>
        </row>
      </sheetData>
      <sheetData sheetId="6272">
        <row r="7">
          <cell r="AI7">
            <v>10000</v>
          </cell>
        </row>
      </sheetData>
      <sheetData sheetId="6273">
        <row r="7">
          <cell r="AI7">
            <v>10000</v>
          </cell>
        </row>
      </sheetData>
      <sheetData sheetId="6274">
        <row r="7">
          <cell r="AI7">
            <v>10000</v>
          </cell>
        </row>
      </sheetData>
      <sheetData sheetId="6275">
        <row r="7">
          <cell r="AI7">
            <v>10000</v>
          </cell>
        </row>
      </sheetData>
      <sheetData sheetId="6276">
        <row r="7">
          <cell r="AI7">
            <v>10000</v>
          </cell>
        </row>
      </sheetData>
      <sheetData sheetId="6277">
        <row r="7">
          <cell r="AI7">
            <v>10000</v>
          </cell>
        </row>
      </sheetData>
      <sheetData sheetId="6278">
        <row r="7">
          <cell r="AI7">
            <v>10000</v>
          </cell>
        </row>
      </sheetData>
      <sheetData sheetId="6279">
        <row r="7">
          <cell r="AI7">
            <v>10000</v>
          </cell>
        </row>
      </sheetData>
      <sheetData sheetId="6280">
        <row r="7">
          <cell r="AI7">
            <v>10000</v>
          </cell>
        </row>
      </sheetData>
      <sheetData sheetId="6281">
        <row r="7">
          <cell r="AI7">
            <v>10000</v>
          </cell>
        </row>
      </sheetData>
      <sheetData sheetId="6282">
        <row r="7">
          <cell r="AI7">
            <v>10000</v>
          </cell>
        </row>
      </sheetData>
      <sheetData sheetId="6283">
        <row r="7">
          <cell r="AI7">
            <v>10000</v>
          </cell>
        </row>
      </sheetData>
      <sheetData sheetId="6284">
        <row r="7">
          <cell r="AI7">
            <v>10000</v>
          </cell>
        </row>
      </sheetData>
      <sheetData sheetId="6285">
        <row r="7">
          <cell r="AI7">
            <v>10000</v>
          </cell>
        </row>
      </sheetData>
      <sheetData sheetId="6286">
        <row r="7">
          <cell r="AI7">
            <v>10000</v>
          </cell>
        </row>
      </sheetData>
      <sheetData sheetId="6287">
        <row r="7">
          <cell r="AI7">
            <v>10000</v>
          </cell>
        </row>
      </sheetData>
      <sheetData sheetId="6288">
        <row r="7">
          <cell r="AI7">
            <v>10000</v>
          </cell>
        </row>
      </sheetData>
      <sheetData sheetId="6289">
        <row r="7">
          <cell r="AI7">
            <v>10000</v>
          </cell>
        </row>
      </sheetData>
      <sheetData sheetId="6290">
        <row r="7">
          <cell r="AI7">
            <v>10000</v>
          </cell>
        </row>
      </sheetData>
      <sheetData sheetId="6291">
        <row r="7">
          <cell r="AI7">
            <v>10000</v>
          </cell>
        </row>
      </sheetData>
      <sheetData sheetId="6292">
        <row r="7">
          <cell r="AI7">
            <v>10000</v>
          </cell>
        </row>
      </sheetData>
      <sheetData sheetId="6293">
        <row r="7">
          <cell r="AI7">
            <v>10000</v>
          </cell>
        </row>
      </sheetData>
      <sheetData sheetId="6294">
        <row r="7">
          <cell r="AI7">
            <v>10000</v>
          </cell>
        </row>
      </sheetData>
      <sheetData sheetId="6295">
        <row r="7">
          <cell r="AI7">
            <v>10000</v>
          </cell>
        </row>
      </sheetData>
      <sheetData sheetId="6296">
        <row r="7">
          <cell r="AI7">
            <v>10000</v>
          </cell>
        </row>
      </sheetData>
      <sheetData sheetId="6297">
        <row r="7">
          <cell r="AI7">
            <v>10000</v>
          </cell>
        </row>
      </sheetData>
      <sheetData sheetId="6298">
        <row r="7">
          <cell r="AI7">
            <v>10000</v>
          </cell>
        </row>
      </sheetData>
      <sheetData sheetId="6299">
        <row r="7">
          <cell r="AI7">
            <v>10000</v>
          </cell>
        </row>
      </sheetData>
      <sheetData sheetId="6300">
        <row r="7">
          <cell r="AI7">
            <v>10000</v>
          </cell>
        </row>
      </sheetData>
      <sheetData sheetId="6301">
        <row r="7">
          <cell r="AI7">
            <v>10000</v>
          </cell>
        </row>
      </sheetData>
      <sheetData sheetId="6302">
        <row r="7">
          <cell r="AI7">
            <v>10000</v>
          </cell>
        </row>
      </sheetData>
      <sheetData sheetId="6303">
        <row r="7">
          <cell r="AI7">
            <v>10000</v>
          </cell>
        </row>
      </sheetData>
      <sheetData sheetId="6304">
        <row r="7">
          <cell r="AI7">
            <v>10000</v>
          </cell>
        </row>
      </sheetData>
      <sheetData sheetId="6305">
        <row r="7">
          <cell r="AI7">
            <v>10000</v>
          </cell>
        </row>
      </sheetData>
      <sheetData sheetId="6306">
        <row r="7">
          <cell r="AI7">
            <v>10000</v>
          </cell>
        </row>
      </sheetData>
      <sheetData sheetId="6307">
        <row r="7">
          <cell r="AI7">
            <v>10000</v>
          </cell>
        </row>
      </sheetData>
      <sheetData sheetId="6308">
        <row r="7">
          <cell r="AI7">
            <v>10000</v>
          </cell>
        </row>
      </sheetData>
      <sheetData sheetId="6309">
        <row r="7">
          <cell r="AI7">
            <v>10000</v>
          </cell>
        </row>
      </sheetData>
      <sheetData sheetId="6310">
        <row r="7">
          <cell r="AI7">
            <v>10000</v>
          </cell>
        </row>
      </sheetData>
      <sheetData sheetId="6311">
        <row r="7">
          <cell r="AI7">
            <v>10000</v>
          </cell>
        </row>
      </sheetData>
      <sheetData sheetId="6312">
        <row r="7">
          <cell r="AI7">
            <v>10000</v>
          </cell>
        </row>
      </sheetData>
      <sheetData sheetId="6313">
        <row r="7">
          <cell r="AI7">
            <v>10000</v>
          </cell>
        </row>
      </sheetData>
      <sheetData sheetId="6314">
        <row r="7">
          <cell r="AI7">
            <v>10000</v>
          </cell>
        </row>
      </sheetData>
      <sheetData sheetId="6315">
        <row r="7">
          <cell r="AI7">
            <v>10000</v>
          </cell>
        </row>
      </sheetData>
      <sheetData sheetId="6316">
        <row r="7">
          <cell r="AI7">
            <v>10000</v>
          </cell>
        </row>
      </sheetData>
      <sheetData sheetId="6317">
        <row r="7">
          <cell r="AI7">
            <v>10000</v>
          </cell>
        </row>
      </sheetData>
      <sheetData sheetId="6318">
        <row r="7">
          <cell r="AI7">
            <v>10000</v>
          </cell>
        </row>
      </sheetData>
      <sheetData sheetId="6319">
        <row r="7">
          <cell r="AI7">
            <v>10000</v>
          </cell>
        </row>
      </sheetData>
      <sheetData sheetId="6320">
        <row r="7">
          <cell r="AI7">
            <v>10000</v>
          </cell>
        </row>
      </sheetData>
      <sheetData sheetId="6321">
        <row r="7">
          <cell r="AI7">
            <v>10000</v>
          </cell>
        </row>
      </sheetData>
      <sheetData sheetId="6322">
        <row r="7">
          <cell r="AI7">
            <v>10000</v>
          </cell>
        </row>
      </sheetData>
      <sheetData sheetId="6323">
        <row r="7">
          <cell r="AI7">
            <v>10000</v>
          </cell>
        </row>
      </sheetData>
      <sheetData sheetId="6324">
        <row r="7">
          <cell r="AI7">
            <v>10000</v>
          </cell>
        </row>
      </sheetData>
      <sheetData sheetId="6325">
        <row r="7">
          <cell r="AI7">
            <v>10000</v>
          </cell>
        </row>
      </sheetData>
      <sheetData sheetId="6326">
        <row r="7">
          <cell r="AI7">
            <v>10000</v>
          </cell>
        </row>
      </sheetData>
      <sheetData sheetId="6327">
        <row r="7">
          <cell r="AI7">
            <v>10000</v>
          </cell>
        </row>
      </sheetData>
      <sheetData sheetId="6328">
        <row r="7">
          <cell r="AI7">
            <v>10000</v>
          </cell>
        </row>
      </sheetData>
      <sheetData sheetId="6329">
        <row r="7">
          <cell r="AI7">
            <v>10000</v>
          </cell>
        </row>
      </sheetData>
      <sheetData sheetId="6330">
        <row r="7">
          <cell r="AI7">
            <v>10000</v>
          </cell>
        </row>
      </sheetData>
      <sheetData sheetId="6331">
        <row r="7">
          <cell r="AI7">
            <v>10000</v>
          </cell>
        </row>
      </sheetData>
      <sheetData sheetId="6332">
        <row r="7">
          <cell r="AI7">
            <v>10000</v>
          </cell>
        </row>
      </sheetData>
      <sheetData sheetId="6333">
        <row r="7">
          <cell r="AI7">
            <v>10000</v>
          </cell>
        </row>
      </sheetData>
      <sheetData sheetId="6334">
        <row r="7">
          <cell r="AI7">
            <v>10000</v>
          </cell>
        </row>
      </sheetData>
      <sheetData sheetId="6335">
        <row r="7">
          <cell r="AI7">
            <v>10000</v>
          </cell>
        </row>
      </sheetData>
      <sheetData sheetId="6336">
        <row r="7">
          <cell r="AI7">
            <v>10000</v>
          </cell>
        </row>
      </sheetData>
      <sheetData sheetId="6337">
        <row r="7">
          <cell r="AI7">
            <v>10000</v>
          </cell>
        </row>
      </sheetData>
      <sheetData sheetId="6338">
        <row r="7">
          <cell r="AI7">
            <v>10000</v>
          </cell>
        </row>
      </sheetData>
      <sheetData sheetId="6339">
        <row r="7">
          <cell r="AI7">
            <v>10000</v>
          </cell>
        </row>
      </sheetData>
      <sheetData sheetId="6340">
        <row r="7">
          <cell r="AI7">
            <v>10000</v>
          </cell>
        </row>
      </sheetData>
      <sheetData sheetId="6341">
        <row r="7">
          <cell r="AI7">
            <v>10000</v>
          </cell>
        </row>
      </sheetData>
      <sheetData sheetId="6342">
        <row r="7">
          <cell r="AI7">
            <v>10000</v>
          </cell>
        </row>
      </sheetData>
      <sheetData sheetId="6343">
        <row r="7">
          <cell r="AI7">
            <v>10000</v>
          </cell>
        </row>
      </sheetData>
      <sheetData sheetId="6344">
        <row r="7">
          <cell r="AI7">
            <v>10000</v>
          </cell>
        </row>
      </sheetData>
      <sheetData sheetId="6345">
        <row r="7">
          <cell r="AI7">
            <v>10000</v>
          </cell>
        </row>
      </sheetData>
      <sheetData sheetId="6346">
        <row r="7">
          <cell r="AI7">
            <v>10000</v>
          </cell>
        </row>
      </sheetData>
      <sheetData sheetId="6347">
        <row r="7">
          <cell r="AI7">
            <v>10000</v>
          </cell>
        </row>
      </sheetData>
      <sheetData sheetId="6348">
        <row r="7">
          <cell r="AI7">
            <v>10000</v>
          </cell>
        </row>
      </sheetData>
      <sheetData sheetId="6349">
        <row r="7">
          <cell r="AI7">
            <v>10000</v>
          </cell>
        </row>
      </sheetData>
      <sheetData sheetId="6350">
        <row r="7">
          <cell r="AI7">
            <v>10000</v>
          </cell>
        </row>
      </sheetData>
      <sheetData sheetId="6351">
        <row r="7">
          <cell r="AI7">
            <v>10000</v>
          </cell>
        </row>
      </sheetData>
      <sheetData sheetId="6352">
        <row r="7">
          <cell r="AI7">
            <v>10000</v>
          </cell>
        </row>
      </sheetData>
      <sheetData sheetId="6353">
        <row r="7">
          <cell r="AI7">
            <v>10000</v>
          </cell>
        </row>
      </sheetData>
      <sheetData sheetId="6354">
        <row r="7">
          <cell r="AI7">
            <v>10000</v>
          </cell>
        </row>
      </sheetData>
      <sheetData sheetId="6355">
        <row r="7">
          <cell r="AI7">
            <v>10000</v>
          </cell>
        </row>
      </sheetData>
      <sheetData sheetId="6356">
        <row r="7">
          <cell r="AI7">
            <v>10000</v>
          </cell>
        </row>
      </sheetData>
      <sheetData sheetId="6357">
        <row r="7">
          <cell r="AI7">
            <v>10000</v>
          </cell>
        </row>
      </sheetData>
      <sheetData sheetId="6358">
        <row r="7">
          <cell r="AI7">
            <v>10000</v>
          </cell>
        </row>
      </sheetData>
      <sheetData sheetId="6359">
        <row r="7">
          <cell r="AI7">
            <v>10000</v>
          </cell>
        </row>
      </sheetData>
      <sheetData sheetId="6360">
        <row r="7">
          <cell r="AI7">
            <v>10000</v>
          </cell>
        </row>
      </sheetData>
      <sheetData sheetId="6361">
        <row r="7">
          <cell r="AI7">
            <v>10000</v>
          </cell>
        </row>
      </sheetData>
      <sheetData sheetId="6362">
        <row r="7">
          <cell r="AI7">
            <v>10000</v>
          </cell>
        </row>
      </sheetData>
      <sheetData sheetId="6363">
        <row r="7">
          <cell r="AI7">
            <v>10000</v>
          </cell>
        </row>
      </sheetData>
      <sheetData sheetId="6364">
        <row r="7">
          <cell r="AI7">
            <v>10000</v>
          </cell>
        </row>
      </sheetData>
      <sheetData sheetId="6365">
        <row r="7">
          <cell r="AI7">
            <v>10000</v>
          </cell>
        </row>
      </sheetData>
      <sheetData sheetId="6366">
        <row r="7">
          <cell r="AI7">
            <v>10000</v>
          </cell>
        </row>
      </sheetData>
      <sheetData sheetId="6367">
        <row r="7">
          <cell r="AI7">
            <v>10000</v>
          </cell>
        </row>
      </sheetData>
      <sheetData sheetId="6368">
        <row r="7">
          <cell r="AI7">
            <v>10000</v>
          </cell>
        </row>
      </sheetData>
      <sheetData sheetId="6369">
        <row r="7">
          <cell r="AI7">
            <v>10000</v>
          </cell>
        </row>
      </sheetData>
      <sheetData sheetId="6370">
        <row r="7">
          <cell r="AI7">
            <v>10000</v>
          </cell>
        </row>
      </sheetData>
      <sheetData sheetId="6371">
        <row r="7">
          <cell r="AI7">
            <v>10000</v>
          </cell>
        </row>
      </sheetData>
      <sheetData sheetId="6372">
        <row r="7">
          <cell r="AI7">
            <v>10000</v>
          </cell>
        </row>
      </sheetData>
      <sheetData sheetId="6373">
        <row r="7">
          <cell r="AI7">
            <v>10000</v>
          </cell>
        </row>
      </sheetData>
      <sheetData sheetId="6374">
        <row r="7">
          <cell r="AI7">
            <v>10000</v>
          </cell>
        </row>
      </sheetData>
      <sheetData sheetId="6375">
        <row r="7">
          <cell r="AI7">
            <v>10000</v>
          </cell>
        </row>
      </sheetData>
      <sheetData sheetId="6376">
        <row r="7">
          <cell r="AI7">
            <v>10000</v>
          </cell>
        </row>
      </sheetData>
      <sheetData sheetId="6377">
        <row r="7">
          <cell r="AI7">
            <v>10000</v>
          </cell>
        </row>
      </sheetData>
      <sheetData sheetId="6378">
        <row r="7">
          <cell r="AI7">
            <v>10000</v>
          </cell>
        </row>
      </sheetData>
      <sheetData sheetId="6379">
        <row r="7">
          <cell r="AI7">
            <v>10000</v>
          </cell>
        </row>
      </sheetData>
      <sheetData sheetId="6380">
        <row r="7">
          <cell r="AI7">
            <v>10000</v>
          </cell>
        </row>
      </sheetData>
      <sheetData sheetId="6381">
        <row r="7">
          <cell r="AI7">
            <v>10000</v>
          </cell>
        </row>
      </sheetData>
      <sheetData sheetId="6382">
        <row r="7">
          <cell r="AI7">
            <v>10000</v>
          </cell>
        </row>
      </sheetData>
      <sheetData sheetId="6383">
        <row r="7">
          <cell r="AI7">
            <v>10000</v>
          </cell>
        </row>
      </sheetData>
      <sheetData sheetId="6384">
        <row r="7">
          <cell r="AI7">
            <v>10000</v>
          </cell>
        </row>
      </sheetData>
      <sheetData sheetId="6385">
        <row r="7">
          <cell r="AI7">
            <v>10000</v>
          </cell>
        </row>
      </sheetData>
      <sheetData sheetId="6386">
        <row r="7">
          <cell r="AI7">
            <v>10000</v>
          </cell>
        </row>
      </sheetData>
      <sheetData sheetId="6387">
        <row r="7">
          <cell r="AI7">
            <v>10000</v>
          </cell>
        </row>
      </sheetData>
      <sheetData sheetId="6388">
        <row r="7">
          <cell r="AI7">
            <v>10000</v>
          </cell>
        </row>
      </sheetData>
      <sheetData sheetId="6389">
        <row r="7">
          <cell r="AI7">
            <v>10000</v>
          </cell>
        </row>
      </sheetData>
      <sheetData sheetId="6390">
        <row r="7">
          <cell r="AI7">
            <v>10000</v>
          </cell>
        </row>
      </sheetData>
      <sheetData sheetId="6391">
        <row r="7">
          <cell r="AI7">
            <v>10000</v>
          </cell>
        </row>
      </sheetData>
      <sheetData sheetId="6392">
        <row r="7">
          <cell r="AI7">
            <v>10000</v>
          </cell>
        </row>
      </sheetData>
      <sheetData sheetId="6393">
        <row r="7">
          <cell r="AI7">
            <v>10000</v>
          </cell>
        </row>
      </sheetData>
      <sheetData sheetId="6394">
        <row r="7">
          <cell r="AI7">
            <v>10000</v>
          </cell>
        </row>
      </sheetData>
      <sheetData sheetId="6395">
        <row r="7">
          <cell r="AI7">
            <v>10000</v>
          </cell>
        </row>
      </sheetData>
      <sheetData sheetId="6396">
        <row r="7">
          <cell r="AI7">
            <v>10000</v>
          </cell>
        </row>
      </sheetData>
      <sheetData sheetId="6397">
        <row r="7">
          <cell r="AI7">
            <v>10000</v>
          </cell>
        </row>
      </sheetData>
      <sheetData sheetId="6398">
        <row r="7">
          <cell r="AI7">
            <v>10000</v>
          </cell>
        </row>
      </sheetData>
      <sheetData sheetId="6399">
        <row r="7">
          <cell r="AI7">
            <v>10000</v>
          </cell>
        </row>
      </sheetData>
      <sheetData sheetId="6400">
        <row r="7">
          <cell r="AI7">
            <v>10000</v>
          </cell>
        </row>
      </sheetData>
      <sheetData sheetId="6401">
        <row r="7">
          <cell r="AI7">
            <v>10000</v>
          </cell>
        </row>
      </sheetData>
      <sheetData sheetId="6402">
        <row r="7">
          <cell r="AI7">
            <v>10000</v>
          </cell>
        </row>
      </sheetData>
      <sheetData sheetId="6403">
        <row r="7">
          <cell r="AI7">
            <v>10000</v>
          </cell>
        </row>
      </sheetData>
      <sheetData sheetId="6404">
        <row r="7">
          <cell r="AI7">
            <v>10000</v>
          </cell>
        </row>
      </sheetData>
      <sheetData sheetId="6405">
        <row r="7">
          <cell r="AI7">
            <v>10000</v>
          </cell>
        </row>
      </sheetData>
      <sheetData sheetId="6406">
        <row r="7">
          <cell r="AI7">
            <v>10000</v>
          </cell>
        </row>
      </sheetData>
      <sheetData sheetId="6407">
        <row r="7">
          <cell r="AI7">
            <v>10000</v>
          </cell>
        </row>
      </sheetData>
      <sheetData sheetId="6408">
        <row r="7">
          <cell r="AI7">
            <v>10000</v>
          </cell>
        </row>
      </sheetData>
      <sheetData sheetId="6409">
        <row r="7">
          <cell r="AI7">
            <v>10000</v>
          </cell>
        </row>
      </sheetData>
      <sheetData sheetId="6410">
        <row r="7">
          <cell r="AI7">
            <v>10000</v>
          </cell>
        </row>
      </sheetData>
      <sheetData sheetId="6411">
        <row r="7">
          <cell r="AI7">
            <v>10000</v>
          </cell>
        </row>
      </sheetData>
      <sheetData sheetId="6412">
        <row r="7">
          <cell r="AI7">
            <v>10000</v>
          </cell>
        </row>
      </sheetData>
      <sheetData sheetId="6413">
        <row r="7">
          <cell r="AI7">
            <v>10000</v>
          </cell>
        </row>
      </sheetData>
      <sheetData sheetId="6414">
        <row r="7">
          <cell r="AI7">
            <v>10000</v>
          </cell>
        </row>
      </sheetData>
      <sheetData sheetId="6415">
        <row r="7">
          <cell r="AI7">
            <v>10000</v>
          </cell>
        </row>
      </sheetData>
      <sheetData sheetId="6416">
        <row r="7">
          <cell r="AI7">
            <v>10000</v>
          </cell>
        </row>
      </sheetData>
      <sheetData sheetId="6417">
        <row r="7">
          <cell r="AI7">
            <v>10000</v>
          </cell>
        </row>
      </sheetData>
      <sheetData sheetId="6418">
        <row r="7">
          <cell r="AI7">
            <v>10000</v>
          </cell>
        </row>
      </sheetData>
      <sheetData sheetId="6419">
        <row r="7">
          <cell r="AI7">
            <v>10000</v>
          </cell>
        </row>
      </sheetData>
      <sheetData sheetId="6420">
        <row r="7">
          <cell r="AI7">
            <v>10000</v>
          </cell>
        </row>
      </sheetData>
      <sheetData sheetId="6421">
        <row r="7">
          <cell r="AI7">
            <v>10000</v>
          </cell>
        </row>
      </sheetData>
      <sheetData sheetId="6422">
        <row r="7">
          <cell r="AI7">
            <v>10000</v>
          </cell>
        </row>
      </sheetData>
      <sheetData sheetId="6423">
        <row r="7">
          <cell r="AI7">
            <v>10000</v>
          </cell>
        </row>
      </sheetData>
      <sheetData sheetId="6424">
        <row r="7">
          <cell r="AI7">
            <v>10000</v>
          </cell>
        </row>
      </sheetData>
      <sheetData sheetId="6425">
        <row r="7">
          <cell r="AI7">
            <v>10000</v>
          </cell>
        </row>
      </sheetData>
      <sheetData sheetId="6426">
        <row r="7">
          <cell r="AI7">
            <v>10000</v>
          </cell>
        </row>
      </sheetData>
      <sheetData sheetId="6427">
        <row r="7">
          <cell r="AI7">
            <v>10000</v>
          </cell>
        </row>
      </sheetData>
      <sheetData sheetId="6428">
        <row r="7">
          <cell r="AI7">
            <v>10000</v>
          </cell>
        </row>
      </sheetData>
      <sheetData sheetId="6429">
        <row r="7">
          <cell r="AI7">
            <v>10000</v>
          </cell>
        </row>
      </sheetData>
      <sheetData sheetId="6430">
        <row r="7">
          <cell r="AI7">
            <v>10000</v>
          </cell>
        </row>
      </sheetData>
      <sheetData sheetId="6431">
        <row r="7">
          <cell r="AI7">
            <v>10000</v>
          </cell>
        </row>
      </sheetData>
      <sheetData sheetId="6432">
        <row r="7">
          <cell r="AI7">
            <v>10000</v>
          </cell>
        </row>
      </sheetData>
      <sheetData sheetId="6433">
        <row r="7">
          <cell r="AI7">
            <v>10000</v>
          </cell>
        </row>
      </sheetData>
      <sheetData sheetId="6434">
        <row r="7">
          <cell r="AI7">
            <v>10000</v>
          </cell>
        </row>
      </sheetData>
      <sheetData sheetId="6435">
        <row r="7">
          <cell r="AI7">
            <v>10000</v>
          </cell>
        </row>
      </sheetData>
      <sheetData sheetId="6436">
        <row r="7">
          <cell r="AI7">
            <v>10000</v>
          </cell>
        </row>
      </sheetData>
      <sheetData sheetId="6437">
        <row r="7">
          <cell r="AI7">
            <v>10000</v>
          </cell>
        </row>
      </sheetData>
      <sheetData sheetId="6438">
        <row r="7">
          <cell r="AI7">
            <v>10000</v>
          </cell>
        </row>
      </sheetData>
      <sheetData sheetId="6439">
        <row r="7">
          <cell r="AI7">
            <v>10000</v>
          </cell>
        </row>
      </sheetData>
      <sheetData sheetId="6440">
        <row r="7">
          <cell r="AI7">
            <v>10000</v>
          </cell>
        </row>
      </sheetData>
      <sheetData sheetId="6441">
        <row r="7">
          <cell r="AI7">
            <v>10000</v>
          </cell>
        </row>
      </sheetData>
      <sheetData sheetId="6442">
        <row r="7">
          <cell r="AI7">
            <v>10000</v>
          </cell>
        </row>
      </sheetData>
      <sheetData sheetId="6443">
        <row r="7">
          <cell r="AI7">
            <v>10000</v>
          </cell>
        </row>
      </sheetData>
      <sheetData sheetId="6444">
        <row r="7">
          <cell r="AI7">
            <v>10000</v>
          </cell>
        </row>
      </sheetData>
      <sheetData sheetId="6445">
        <row r="7">
          <cell r="AI7">
            <v>10000</v>
          </cell>
        </row>
      </sheetData>
      <sheetData sheetId="6446">
        <row r="7">
          <cell r="AI7">
            <v>10000</v>
          </cell>
        </row>
      </sheetData>
      <sheetData sheetId="6447">
        <row r="7">
          <cell r="AI7">
            <v>10000</v>
          </cell>
        </row>
      </sheetData>
      <sheetData sheetId="6448">
        <row r="7">
          <cell r="AI7">
            <v>10000</v>
          </cell>
        </row>
      </sheetData>
      <sheetData sheetId="6449">
        <row r="7">
          <cell r="AI7">
            <v>10000</v>
          </cell>
        </row>
      </sheetData>
      <sheetData sheetId="6450">
        <row r="7">
          <cell r="AI7">
            <v>10000</v>
          </cell>
        </row>
      </sheetData>
      <sheetData sheetId="6451">
        <row r="7">
          <cell r="AI7">
            <v>10000</v>
          </cell>
        </row>
      </sheetData>
      <sheetData sheetId="6452">
        <row r="7">
          <cell r="AI7">
            <v>10000</v>
          </cell>
        </row>
      </sheetData>
      <sheetData sheetId="6453">
        <row r="7">
          <cell r="AI7">
            <v>10000</v>
          </cell>
        </row>
      </sheetData>
      <sheetData sheetId="6454">
        <row r="7">
          <cell r="AI7">
            <v>10000</v>
          </cell>
        </row>
      </sheetData>
      <sheetData sheetId="6455">
        <row r="7">
          <cell r="AI7">
            <v>10000</v>
          </cell>
        </row>
      </sheetData>
      <sheetData sheetId="6456">
        <row r="7">
          <cell r="AI7">
            <v>10000</v>
          </cell>
        </row>
      </sheetData>
      <sheetData sheetId="6457">
        <row r="7">
          <cell r="AI7">
            <v>10000</v>
          </cell>
        </row>
      </sheetData>
      <sheetData sheetId="6458">
        <row r="7">
          <cell r="AI7">
            <v>10000</v>
          </cell>
        </row>
      </sheetData>
      <sheetData sheetId="6459">
        <row r="7">
          <cell r="AI7">
            <v>10000</v>
          </cell>
        </row>
      </sheetData>
      <sheetData sheetId="6460">
        <row r="7">
          <cell r="AI7">
            <v>10000</v>
          </cell>
        </row>
      </sheetData>
      <sheetData sheetId="6461">
        <row r="7">
          <cell r="AI7">
            <v>10000</v>
          </cell>
        </row>
      </sheetData>
      <sheetData sheetId="6462">
        <row r="7">
          <cell r="AI7">
            <v>10000</v>
          </cell>
        </row>
      </sheetData>
      <sheetData sheetId="6463">
        <row r="7">
          <cell r="AI7">
            <v>10000</v>
          </cell>
        </row>
      </sheetData>
      <sheetData sheetId="6464">
        <row r="7">
          <cell r="AI7">
            <v>10000</v>
          </cell>
        </row>
      </sheetData>
      <sheetData sheetId="6465">
        <row r="7">
          <cell r="AI7">
            <v>10000</v>
          </cell>
        </row>
      </sheetData>
      <sheetData sheetId="6466">
        <row r="7">
          <cell r="AI7">
            <v>10000</v>
          </cell>
        </row>
      </sheetData>
      <sheetData sheetId="6467">
        <row r="7">
          <cell r="AI7">
            <v>10000</v>
          </cell>
        </row>
      </sheetData>
      <sheetData sheetId="6468">
        <row r="7">
          <cell r="AI7">
            <v>10000</v>
          </cell>
        </row>
      </sheetData>
      <sheetData sheetId="6469">
        <row r="7">
          <cell r="AI7">
            <v>10000</v>
          </cell>
        </row>
      </sheetData>
      <sheetData sheetId="6470">
        <row r="7">
          <cell r="AI7">
            <v>10000</v>
          </cell>
        </row>
      </sheetData>
      <sheetData sheetId="6471">
        <row r="7">
          <cell r="AI7">
            <v>10000</v>
          </cell>
        </row>
      </sheetData>
      <sheetData sheetId="6472">
        <row r="7">
          <cell r="AI7">
            <v>10000</v>
          </cell>
        </row>
      </sheetData>
      <sheetData sheetId="6473">
        <row r="7">
          <cell r="AI7">
            <v>10000</v>
          </cell>
        </row>
      </sheetData>
      <sheetData sheetId="6474">
        <row r="7">
          <cell r="AI7">
            <v>10000</v>
          </cell>
        </row>
      </sheetData>
      <sheetData sheetId="6475">
        <row r="7">
          <cell r="AI7">
            <v>10000</v>
          </cell>
        </row>
      </sheetData>
      <sheetData sheetId="6476">
        <row r="7">
          <cell r="AI7">
            <v>10000</v>
          </cell>
        </row>
      </sheetData>
      <sheetData sheetId="6477">
        <row r="7">
          <cell r="AI7">
            <v>10000</v>
          </cell>
        </row>
      </sheetData>
      <sheetData sheetId="6478">
        <row r="7">
          <cell r="AI7">
            <v>10000</v>
          </cell>
        </row>
      </sheetData>
      <sheetData sheetId="6479">
        <row r="7">
          <cell r="AI7">
            <v>10000</v>
          </cell>
        </row>
      </sheetData>
      <sheetData sheetId="6480">
        <row r="7">
          <cell r="AI7">
            <v>10000</v>
          </cell>
        </row>
      </sheetData>
      <sheetData sheetId="6481">
        <row r="7">
          <cell r="AI7">
            <v>10000</v>
          </cell>
        </row>
      </sheetData>
      <sheetData sheetId="6482">
        <row r="7">
          <cell r="AI7">
            <v>10000</v>
          </cell>
        </row>
      </sheetData>
      <sheetData sheetId="6483">
        <row r="7">
          <cell r="AI7">
            <v>10000</v>
          </cell>
        </row>
      </sheetData>
      <sheetData sheetId="6484">
        <row r="7">
          <cell r="AI7">
            <v>10000</v>
          </cell>
        </row>
      </sheetData>
      <sheetData sheetId="6485">
        <row r="7">
          <cell r="AI7">
            <v>10000</v>
          </cell>
        </row>
      </sheetData>
      <sheetData sheetId="6486">
        <row r="7">
          <cell r="AI7">
            <v>10000</v>
          </cell>
        </row>
      </sheetData>
      <sheetData sheetId="6487">
        <row r="7">
          <cell r="AI7">
            <v>10000</v>
          </cell>
        </row>
      </sheetData>
      <sheetData sheetId="6488">
        <row r="7">
          <cell r="AI7">
            <v>10000</v>
          </cell>
        </row>
      </sheetData>
      <sheetData sheetId="6489">
        <row r="7">
          <cell r="AI7">
            <v>10000</v>
          </cell>
        </row>
      </sheetData>
      <sheetData sheetId="6490">
        <row r="7">
          <cell r="AI7">
            <v>10000</v>
          </cell>
        </row>
      </sheetData>
      <sheetData sheetId="6491">
        <row r="7">
          <cell r="AI7">
            <v>10000</v>
          </cell>
        </row>
      </sheetData>
      <sheetData sheetId="6492">
        <row r="7">
          <cell r="AI7">
            <v>10000</v>
          </cell>
        </row>
      </sheetData>
      <sheetData sheetId="6493">
        <row r="7">
          <cell r="AI7">
            <v>10000</v>
          </cell>
        </row>
      </sheetData>
      <sheetData sheetId="6494">
        <row r="7">
          <cell r="AI7">
            <v>10000</v>
          </cell>
        </row>
      </sheetData>
      <sheetData sheetId="6495">
        <row r="7">
          <cell r="AI7">
            <v>10000</v>
          </cell>
        </row>
      </sheetData>
      <sheetData sheetId="6496">
        <row r="7">
          <cell r="AI7">
            <v>10000</v>
          </cell>
        </row>
      </sheetData>
      <sheetData sheetId="6497">
        <row r="7">
          <cell r="AI7">
            <v>10000</v>
          </cell>
        </row>
      </sheetData>
      <sheetData sheetId="6498">
        <row r="7">
          <cell r="AI7">
            <v>10000</v>
          </cell>
        </row>
      </sheetData>
      <sheetData sheetId="6499">
        <row r="7">
          <cell r="AI7">
            <v>10000</v>
          </cell>
        </row>
      </sheetData>
      <sheetData sheetId="6500">
        <row r="7">
          <cell r="AI7">
            <v>10000</v>
          </cell>
        </row>
      </sheetData>
      <sheetData sheetId="6501">
        <row r="7">
          <cell r="AI7">
            <v>10000</v>
          </cell>
        </row>
      </sheetData>
      <sheetData sheetId="6502">
        <row r="7">
          <cell r="AI7">
            <v>10000</v>
          </cell>
        </row>
      </sheetData>
      <sheetData sheetId="6503">
        <row r="7">
          <cell r="AI7">
            <v>10000</v>
          </cell>
        </row>
      </sheetData>
      <sheetData sheetId="6504">
        <row r="7">
          <cell r="AI7">
            <v>10000</v>
          </cell>
        </row>
      </sheetData>
      <sheetData sheetId="6505">
        <row r="7">
          <cell r="AI7">
            <v>10000</v>
          </cell>
        </row>
      </sheetData>
      <sheetData sheetId="6506">
        <row r="7">
          <cell r="AI7">
            <v>10000</v>
          </cell>
        </row>
      </sheetData>
      <sheetData sheetId="6507">
        <row r="7">
          <cell r="AI7">
            <v>10000</v>
          </cell>
        </row>
      </sheetData>
      <sheetData sheetId="6508">
        <row r="7">
          <cell r="AI7">
            <v>10000</v>
          </cell>
        </row>
      </sheetData>
      <sheetData sheetId="6509">
        <row r="7">
          <cell r="AI7">
            <v>10000</v>
          </cell>
        </row>
      </sheetData>
      <sheetData sheetId="6510">
        <row r="7">
          <cell r="AI7">
            <v>10000</v>
          </cell>
        </row>
      </sheetData>
      <sheetData sheetId="6511">
        <row r="7">
          <cell r="AI7">
            <v>10000</v>
          </cell>
        </row>
      </sheetData>
      <sheetData sheetId="6512">
        <row r="7">
          <cell r="AI7">
            <v>10000</v>
          </cell>
        </row>
      </sheetData>
      <sheetData sheetId="6513">
        <row r="7">
          <cell r="AI7">
            <v>10000</v>
          </cell>
        </row>
      </sheetData>
      <sheetData sheetId="6514">
        <row r="7">
          <cell r="AI7">
            <v>10000</v>
          </cell>
        </row>
      </sheetData>
      <sheetData sheetId="6515">
        <row r="7">
          <cell r="AI7">
            <v>10000</v>
          </cell>
        </row>
      </sheetData>
      <sheetData sheetId="6516">
        <row r="7">
          <cell r="AI7">
            <v>10000</v>
          </cell>
        </row>
      </sheetData>
      <sheetData sheetId="6517">
        <row r="7">
          <cell r="AI7">
            <v>10000</v>
          </cell>
        </row>
      </sheetData>
      <sheetData sheetId="6518">
        <row r="7">
          <cell r="AI7">
            <v>10000</v>
          </cell>
        </row>
      </sheetData>
      <sheetData sheetId="6519">
        <row r="7">
          <cell r="AI7">
            <v>10000</v>
          </cell>
        </row>
      </sheetData>
      <sheetData sheetId="6520">
        <row r="7">
          <cell r="AI7">
            <v>10000</v>
          </cell>
        </row>
      </sheetData>
      <sheetData sheetId="6521">
        <row r="7">
          <cell r="AI7">
            <v>10000</v>
          </cell>
        </row>
      </sheetData>
      <sheetData sheetId="6522">
        <row r="7">
          <cell r="AI7">
            <v>10000</v>
          </cell>
        </row>
      </sheetData>
      <sheetData sheetId="6523">
        <row r="7">
          <cell r="AI7">
            <v>10000</v>
          </cell>
        </row>
      </sheetData>
      <sheetData sheetId="6524">
        <row r="7">
          <cell r="AI7">
            <v>10000</v>
          </cell>
        </row>
      </sheetData>
      <sheetData sheetId="6525">
        <row r="7">
          <cell r="AI7">
            <v>10000</v>
          </cell>
        </row>
      </sheetData>
      <sheetData sheetId="6526">
        <row r="7">
          <cell r="AI7">
            <v>10000</v>
          </cell>
        </row>
      </sheetData>
      <sheetData sheetId="6527">
        <row r="7">
          <cell r="AI7">
            <v>10000</v>
          </cell>
        </row>
      </sheetData>
      <sheetData sheetId="6528">
        <row r="7">
          <cell r="AI7">
            <v>10000</v>
          </cell>
        </row>
      </sheetData>
      <sheetData sheetId="6529">
        <row r="7">
          <cell r="AI7">
            <v>10000</v>
          </cell>
        </row>
      </sheetData>
      <sheetData sheetId="6530">
        <row r="7">
          <cell r="AI7">
            <v>10000</v>
          </cell>
        </row>
      </sheetData>
      <sheetData sheetId="6531">
        <row r="7">
          <cell r="AI7">
            <v>10000</v>
          </cell>
        </row>
      </sheetData>
      <sheetData sheetId="6532">
        <row r="7">
          <cell r="AI7">
            <v>10000</v>
          </cell>
        </row>
      </sheetData>
      <sheetData sheetId="6533">
        <row r="7">
          <cell r="AI7">
            <v>10000</v>
          </cell>
        </row>
      </sheetData>
      <sheetData sheetId="6534">
        <row r="7">
          <cell r="AI7">
            <v>10000</v>
          </cell>
        </row>
      </sheetData>
      <sheetData sheetId="6535">
        <row r="7">
          <cell r="AI7">
            <v>10000</v>
          </cell>
        </row>
      </sheetData>
      <sheetData sheetId="6536">
        <row r="7">
          <cell r="AI7">
            <v>10000</v>
          </cell>
        </row>
      </sheetData>
      <sheetData sheetId="6537">
        <row r="7">
          <cell r="AI7">
            <v>10000</v>
          </cell>
        </row>
      </sheetData>
      <sheetData sheetId="6538">
        <row r="7">
          <cell r="AI7">
            <v>10000</v>
          </cell>
        </row>
      </sheetData>
      <sheetData sheetId="6539">
        <row r="7">
          <cell r="AI7">
            <v>10000</v>
          </cell>
        </row>
      </sheetData>
      <sheetData sheetId="6540">
        <row r="7">
          <cell r="AI7">
            <v>10000</v>
          </cell>
        </row>
      </sheetData>
      <sheetData sheetId="6541">
        <row r="7">
          <cell r="AI7">
            <v>10000</v>
          </cell>
        </row>
      </sheetData>
      <sheetData sheetId="6542">
        <row r="7">
          <cell r="AI7">
            <v>10000</v>
          </cell>
        </row>
      </sheetData>
      <sheetData sheetId="6543">
        <row r="7">
          <cell r="AI7">
            <v>10000</v>
          </cell>
        </row>
      </sheetData>
      <sheetData sheetId="6544">
        <row r="7">
          <cell r="AI7">
            <v>10000</v>
          </cell>
        </row>
      </sheetData>
      <sheetData sheetId="6545">
        <row r="7">
          <cell r="AI7">
            <v>10000</v>
          </cell>
        </row>
      </sheetData>
      <sheetData sheetId="6546">
        <row r="7">
          <cell r="AI7">
            <v>10000</v>
          </cell>
        </row>
      </sheetData>
      <sheetData sheetId="6547">
        <row r="7">
          <cell r="AI7">
            <v>10000</v>
          </cell>
        </row>
      </sheetData>
      <sheetData sheetId="6548">
        <row r="7">
          <cell r="AI7">
            <v>10000</v>
          </cell>
        </row>
      </sheetData>
      <sheetData sheetId="6549">
        <row r="7">
          <cell r="AI7">
            <v>10000</v>
          </cell>
        </row>
      </sheetData>
      <sheetData sheetId="6550">
        <row r="7">
          <cell r="AI7">
            <v>10000</v>
          </cell>
        </row>
      </sheetData>
      <sheetData sheetId="6551">
        <row r="7">
          <cell r="AI7">
            <v>10000</v>
          </cell>
        </row>
      </sheetData>
      <sheetData sheetId="6552">
        <row r="7">
          <cell r="AI7">
            <v>10000</v>
          </cell>
        </row>
      </sheetData>
      <sheetData sheetId="6553">
        <row r="7">
          <cell r="AI7">
            <v>10000</v>
          </cell>
        </row>
      </sheetData>
      <sheetData sheetId="6554">
        <row r="7">
          <cell r="AI7">
            <v>10000</v>
          </cell>
        </row>
      </sheetData>
      <sheetData sheetId="6555">
        <row r="7">
          <cell r="AI7">
            <v>10000</v>
          </cell>
        </row>
      </sheetData>
      <sheetData sheetId="6556">
        <row r="7">
          <cell r="AI7">
            <v>10000</v>
          </cell>
        </row>
      </sheetData>
      <sheetData sheetId="6557">
        <row r="7">
          <cell r="AI7">
            <v>10000</v>
          </cell>
        </row>
      </sheetData>
      <sheetData sheetId="6558">
        <row r="7">
          <cell r="AI7">
            <v>10000</v>
          </cell>
        </row>
      </sheetData>
      <sheetData sheetId="6559">
        <row r="7">
          <cell r="AI7">
            <v>10000</v>
          </cell>
        </row>
      </sheetData>
      <sheetData sheetId="6560">
        <row r="7">
          <cell r="AI7">
            <v>10000</v>
          </cell>
        </row>
      </sheetData>
      <sheetData sheetId="6561">
        <row r="7">
          <cell r="AI7">
            <v>10000</v>
          </cell>
        </row>
      </sheetData>
      <sheetData sheetId="6562">
        <row r="7">
          <cell r="AI7">
            <v>10000</v>
          </cell>
        </row>
      </sheetData>
      <sheetData sheetId="6563">
        <row r="7">
          <cell r="AI7">
            <v>10000</v>
          </cell>
        </row>
      </sheetData>
      <sheetData sheetId="6564">
        <row r="7">
          <cell r="AI7">
            <v>10000</v>
          </cell>
        </row>
      </sheetData>
      <sheetData sheetId="6565">
        <row r="7">
          <cell r="AI7">
            <v>10000</v>
          </cell>
        </row>
      </sheetData>
      <sheetData sheetId="6566">
        <row r="7">
          <cell r="AI7">
            <v>10000</v>
          </cell>
        </row>
      </sheetData>
      <sheetData sheetId="6567">
        <row r="7">
          <cell r="AI7">
            <v>10000</v>
          </cell>
        </row>
      </sheetData>
      <sheetData sheetId="6568">
        <row r="7">
          <cell r="AI7">
            <v>10000</v>
          </cell>
        </row>
      </sheetData>
      <sheetData sheetId="6569">
        <row r="7">
          <cell r="AI7">
            <v>10000</v>
          </cell>
        </row>
      </sheetData>
      <sheetData sheetId="6570">
        <row r="7">
          <cell r="AI7">
            <v>10000</v>
          </cell>
        </row>
      </sheetData>
      <sheetData sheetId="6571">
        <row r="7">
          <cell r="AI7">
            <v>10000</v>
          </cell>
        </row>
      </sheetData>
      <sheetData sheetId="6572">
        <row r="7">
          <cell r="AI7">
            <v>10000</v>
          </cell>
        </row>
      </sheetData>
      <sheetData sheetId="6573">
        <row r="7">
          <cell r="AI7">
            <v>10000</v>
          </cell>
        </row>
      </sheetData>
      <sheetData sheetId="6574">
        <row r="7">
          <cell r="AI7">
            <v>10000</v>
          </cell>
        </row>
      </sheetData>
      <sheetData sheetId="6575">
        <row r="7">
          <cell r="AI7">
            <v>10000</v>
          </cell>
        </row>
      </sheetData>
      <sheetData sheetId="6576">
        <row r="7">
          <cell r="AI7">
            <v>10000</v>
          </cell>
        </row>
      </sheetData>
      <sheetData sheetId="6577">
        <row r="7">
          <cell r="AI7">
            <v>10000</v>
          </cell>
        </row>
      </sheetData>
      <sheetData sheetId="6578">
        <row r="7">
          <cell r="AI7">
            <v>10000</v>
          </cell>
        </row>
      </sheetData>
      <sheetData sheetId="6579">
        <row r="7">
          <cell r="AI7">
            <v>10000</v>
          </cell>
        </row>
      </sheetData>
      <sheetData sheetId="6580">
        <row r="7">
          <cell r="AI7">
            <v>10000</v>
          </cell>
        </row>
      </sheetData>
      <sheetData sheetId="6581">
        <row r="7">
          <cell r="AI7">
            <v>10000</v>
          </cell>
        </row>
      </sheetData>
      <sheetData sheetId="6582">
        <row r="7">
          <cell r="AI7">
            <v>10000</v>
          </cell>
        </row>
      </sheetData>
      <sheetData sheetId="6583">
        <row r="7">
          <cell r="AI7">
            <v>10000</v>
          </cell>
        </row>
      </sheetData>
      <sheetData sheetId="6584">
        <row r="7">
          <cell r="AI7">
            <v>10000</v>
          </cell>
        </row>
      </sheetData>
      <sheetData sheetId="6585">
        <row r="7">
          <cell r="AI7">
            <v>10000</v>
          </cell>
        </row>
      </sheetData>
      <sheetData sheetId="6586">
        <row r="7">
          <cell r="AI7">
            <v>10000</v>
          </cell>
        </row>
      </sheetData>
      <sheetData sheetId="6587">
        <row r="7">
          <cell r="AI7">
            <v>10000</v>
          </cell>
        </row>
      </sheetData>
      <sheetData sheetId="6588">
        <row r="7">
          <cell r="AI7">
            <v>10000</v>
          </cell>
        </row>
      </sheetData>
      <sheetData sheetId="6589">
        <row r="7">
          <cell r="AI7">
            <v>10000</v>
          </cell>
        </row>
      </sheetData>
      <sheetData sheetId="6590">
        <row r="7">
          <cell r="AI7">
            <v>10000</v>
          </cell>
        </row>
      </sheetData>
      <sheetData sheetId="6591">
        <row r="7">
          <cell r="AI7">
            <v>10000</v>
          </cell>
        </row>
      </sheetData>
      <sheetData sheetId="6592">
        <row r="7">
          <cell r="AI7">
            <v>10000</v>
          </cell>
        </row>
      </sheetData>
      <sheetData sheetId="6593">
        <row r="7">
          <cell r="AI7">
            <v>10000</v>
          </cell>
        </row>
      </sheetData>
      <sheetData sheetId="6594">
        <row r="7">
          <cell r="AI7">
            <v>10000</v>
          </cell>
        </row>
      </sheetData>
      <sheetData sheetId="6595">
        <row r="7">
          <cell r="AI7">
            <v>10000</v>
          </cell>
        </row>
      </sheetData>
      <sheetData sheetId="6596">
        <row r="7">
          <cell r="AI7">
            <v>10000</v>
          </cell>
        </row>
      </sheetData>
      <sheetData sheetId="6597">
        <row r="7">
          <cell r="AI7">
            <v>10000</v>
          </cell>
        </row>
      </sheetData>
      <sheetData sheetId="6598">
        <row r="7">
          <cell r="AI7">
            <v>10000</v>
          </cell>
        </row>
      </sheetData>
      <sheetData sheetId="6599">
        <row r="7">
          <cell r="AI7">
            <v>10000</v>
          </cell>
        </row>
      </sheetData>
      <sheetData sheetId="6600">
        <row r="7">
          <cell r="AI7">
            <v>10000</v>
          </cell>
        </row>
      </sheetData>
      <sheetData sheetId="6601">
        <row r="7">
          <cell r="AI7">
            <v>10000</v>
          </cell>
        </row>
      </sheetData>
      <sheetData sheetId="6602">
        <row r="7">
          <cell r="AI7">
            <v>10000</v>
          </cell>
        </row>
      </sheetData>
      <sheetData sheetId="6603">
        <row r="7">
          <cell r="AI7">
            <v>10000</v>
          </cell>
        </row>
      </sheetData>
      <sheetData sheetId="6604">
        <row r="7">
          <cell r="AI7">
            <v>10000</v>
          </cell>
        </row>
      </sheetData>
      <sheetData sheetId="6605">
        <row r="7">
          <cell r="AI7">
            <v>10000</v>
          </cell>
        </row>
      </sheetData>
      <sheetData sheetId="6606">
        <row r="7">
          <cell r="AI7">
            <v>10000</v>
          </cell>
        </row>
      </sheetData>
      <sheetData sheetId="6607">
        <row r="7">
          <cell r="AI7">
            <v>10000</v>
          </cell>
        </row>
      </sheetData>
      <sheetData sheetId="6608">
        <row r="7">
          <cell r="AI7">
            <v>10000</v>
          </cell>
        </row>
      </sheetData>
      <sheetData sheetId="6609">
        <row r="7">
          <cell r="AI7">
            <v>10000</v>
          </cell>
        </row>
      </sheetData>
      <sheetData sheetId="6610">
        <row r="7">
          <cell r="AI7">
            <v>10000</v>
          </cell>
        </row>
      </sheetData>
      <sheetData sheetId="6611">
        <row r="7">
          <cell r="AI7">
            <v>10000</v>
          </cell>
        </row>
      </sheetData>
      <sheetData sheetId="6612">
        <row r="7">
          <cell r="AI7">
            <v>10000</v>
          </cell>
        </row>
      </sheetData>
      <sheetData sheetId="6613">
        <row r="7">
          <cell r="AI7">
            <v>10000</v>
          </cell>
        </row>
      </sheetData>
      <sheetData sheetId="6614">
        <row r="7">
          <cell r="AI7">
            <v>10000</v>
          </cell>
        </row>
      </sheetData>
      <sheetData sheetId="6615">
        <row r="7">
          <cell r="AI7">
            <v>10000</v>
          </cell>
        </row>
      </sheetData>
      <sheetData sheetId="6616">
        <row r="7">
          <cell r="AI7">
            <v>10000</v>
          </cell>
        </row>
      </sheetData>
      <sheetData sheetId="6617">
        <row r="7">
          <cell r="AI7">
            <v>10000</v>
          </cell>
        </row>
      </sheetData>
      <sheetData sheetId="6618">
        <row r="7">
          <cell r="AI7">
            <v>10000</v>
          </cell>
        </row>
      </sheetData>
      <sheetData sheetId="6619">
        <row r="7">
          <cell r="AI7">
            <v>10000</v>
          </cell>
        </row>
      </sheetData>
      <sheetData sheetId="6620">
        <row r="7">
          <cell r="AI7">
            <v>10000</v>
          </cell>
        </row>
      </sheetData>
      <sheetData sheetId="6621">
        <row r="7">
          <cell r="AI7">
            <v>10000</v>
          </cell>
        </row>
      </sheetData>
      <sheetData sheetId="6622">
        <row r="7">
          <cell r="AI7">
            <v>10000</v>
          </cell>
        </row>
      </sheetData>
      <sheetData sheetId="6623">
        <row r="7">
          <cell r="AI7">
            <v>10000</v>
          </cell>
        </row>
      </sheetData>
      <sheetData sheetId="6624">
        <row r="7">
          <cell r="AI7">
            <v>10000</v>
          </cell>
        </row>
      </sheetData>
      <sheetData sheetId="6625">
        <row r="7">
          <cell r="AI7">
            <v>10000</v>
          </cell>
        </row>
      </sheetData>
      <sheetData sheetId="6626">
        <row r="7">
          <cell r="AI7">
            <v>10000</v>
          </cell>
        </row>
      </sheetData>
      <sheetData sheetId="6627">
        <row r="7">
          <cell r="AI7">
            <v>10000</v>
          </cell>
        </row>
      </sheetData>
      <sheetData sheetId="6628">
        <row r="7">
          <cell r="AI7">
            <v>10000</v>
          </cell>
        </row>
      </sheetData>
      <sheetData sheetId="6629">
        <row r="7">
          <cell r="AI7">
            <v>10000</v>
          </cell>
        </row>
      </sheetData>
      <sheetData sheetId="6630">
        <row r="7">
          <cell r="AI7">
            <v>10000</v>
          </cell>
        </row>
      </sheetData>
      <sheetData sheetId="6631">
        <row r="7">
          <cell r="AI7">
            <v>10000</v>
          </cell>
        </row>
      </sheetData>
      <sheetData sheetId="6632">
        <row r="7">
          <cell r="AI7">
            <v>10000</v>
          </cell>
        </row>
      </sheetData>
      <sheetData sheetId="6633">
        <row r="7">
          <cell r="AI7">
            <v>10000</v>
          </cell>
        </row>
      </sheetData>
      <sheetData sheetId="6634">
        <row r="7">
          <cell r="AI7">
            <v>10000</v>
          </cell>
        </row>
      </sheetData>
      <sheetData sheetId="6635">
        <row r="7">
          <cell r="AI7">
            <v>10000</v>
          </cell>
        </row>
      </sheetData>
      <sheetData sheetId="6636">
        <row r="7">
          <cell r="AI7">
            <v>10000</v>
          </cell>
        </row>
      </sheetData>
      <sheetData sheetId="6637">
        <row r="7">
          <cell r="AI7">
            <v>10000</v>
          </cell>
        </row>
      </sheetData>
      <sheetData sheetId="6638">
        <row r="7">
          <cell r="AI7">
            <v>10000</v>
          </cell>
        </row>
      </sheetData>
      <sheetData sheetId="6639">
        <row r="7">
          <cell r="AI7">
            <v>10000</v>
          </cell>
        </row>
      </sheetData>
      <sheetData sheetId="6640">
        <row r="7">
          <cell r="AI7">
            <v>10000</v>
          </cell>
        </row>
      </sheetData>
      <sheetData sheetId="6641">
        <row r="7">
          <cell r="AI7">
            <v>10000</v>
          </cell>
        </row>
      </sheetData>
      <sheetData sheetId="6642">
        <row r="7">
          <cell r="AI7">
            <v>10000</v>
          </cell>
        </row>
      </sheetData>
      <sheetData sheetId="6643">
        <row r="7">
          <cell r="AI7">
            <v>10000</v>
          </cell>
        </row>
      </sheetData>
      <sheetData sheetId="6644">
        <row r="7">
          <cell r="AI7">
            <v>10000</v>
          </cell>
        </row>
      </sheetData>
      <sheetData sheetId="6645">
        <row r="7">
          <cell r="AI7">
            <v>10000</v>
          </cell>
        </row>
      </sheetData>
      <sheetData sheetId="6646">
        <row r="7">
          <cell r="AI7">
            <v>10000</v>
          </cell>
        </row>
      </sheetData>
      <sheetData sheetId="6647">
        <row r="7">
          <cell r="AI7">
            <v>10000</v>
          </cell>
        </row>
      </sheetData>
      <sheetData sheetId="6648">
        <row r="7">
          <cell r="AI7">
            <v>10000</v>
          </cell>
        </row>
      </sheetData>
      <sheetData sheetId="6649">
        <row r="7">
          <cell r="AI7">
            <v>10000</v>
          </cell>
        </row>
      </sheetData>
      <sheetData sheetId="6650">
        <row r="7">
          <cell r="AI7">
            <v>10000</v>
          </cell>
        </row>
      </sheetData>
      <sheetData sheetId="6651">
        <row r="7">
          <cell r="AI7">
            <v>10000</v>
          </cell>
        </row>
      </sheetData>
      <sheetData sheetId="6652">
        <row r="7">
          <cell r="AI7">
            <v>10000</v>
          </cell>
        </row>
      </sheetData>
      <sheetData sheetId="6653">
        <row r="7">
          <cell r="AI7">
            <v>10000</v>
          </cell>
        </row>
      </sheetData>
      <sheetData sheetId="6654">
        <row r="7">
          <cell r="AI7">
            <v>10000</v>
          </cell>
        </row>
      </sheetData>
      <sheetData sheetId="6655">
        <row r="7">
          <cell r="AI7">
            <v>10000</v>
          </cell>
        </row>
      </sheetData>
      <sheetData sheetId="6656">
        <row r="7">
          <cell r="AI7">
            <v>10000</v>
          </cell>
        </row>
      </sheetData>
      <sheetData sheetId="6657">
        <row r="7">
          <cell r="AI7">
            <v>10000</v>
          </cell>
        </row>
      </sheetData>
      <sheetData sheetId="6658">
        <row r="7">
          <cell r="AI7">
            <v>10000</v>
          </cell>
        </row>
      </sheetData>
      <sheetData sheetId="6659">
        <row r="7">
          <cell r="AI7">
            <v>10000</v>
          </cell>
        </row>
      </sheetData>
      <sheetData sheetId="6660">
        <row r="7">
          <cell r="AI7">
            <v>10000</v>
          </cell>
        </row>
      </sheetData>
      <sheetData sheetId="6661">
        <row r="7">
          <cell r="AI7">
            <v>10000</v>
          </cell>
        </row>
      </sheetData>
      <sheetData sheetId="6662">
        <row r="7">
          <cell r="AI7">
            <v>10000</v>
          </cell>
        </row>
      </sheetData>
      <sheetData sheetId="6663">
        <row r="7">
          <cell r="AI7">
            <v>10000</v>
          </cell>
        </row>
      </sheetData>
      <sheetData sheetId="6664">
        <row r="7">
          <cell r="AI7">
            <v>10000</v>
          </cell>
        </row>
      </sheetData>
      <sheetData sheetId="6665">
        <row r="7">
          <cell r="AI7">
            <v>10000</v>
          </cell>
        </row>
      </sheetData>
      <sheetData sheetId="6666">
        <row r="7">
          <cell r="AI7">
            <v>10000</v>
          </cell>
        </row>
      </sheetData>
      <sheetData sheetId="6667">
        <row r="7">
          <cell r="AI7">
            <v>10000</v>
          </cell>
        </row>
      </sheetData>
      <sheetData sheetId="6668">
        <row r="7">
          <cell r="AI7">
            <v>10000</v>
          </cell>
        </row>
      </sheetData>
      <sheetData sheetId="6669">
        <row r="7">
          <cell r="AI7">
            <v>10000</v>
          </cell>
        </row>
      </sheetData>
      <sheetData sheetId="6670">
        <row r="7">
          <cell r="AI7">
            <v>10000</v>
          </cell>
        </row>
      </sheetData>
      <sheetData sheetId="6671">
        <row r="7">
          <cell r="AI7">
            <v>10000</v>
          </cell>
        </row>
      </sheetData>
      <sheetData sheetId="6672">
        <row r="7">
          <cell r="AI7">
            <v>10000</v>
          </cell>
        </row>
      </sheetData>
      <sheetData sheetId="6673">
        <row r="7">
          <cell r="AI7">
            <v>10000</v>
          </cell>
        </row>
      </sheetData>
      <sheetData sheetId="6674">
        <row r="7">
          <cell r="AI7">
            <v>10000</v>
          </cell>
        </row>
      </sheetData>
      <sheetData sheetId="6675">
        <row r="7">
          <cell r="AI7">
            <v>10000</v>
          </cell>
        </row>
      </sheetData>
      <sheetData sheetId="6676">
        <row r="7">
          <cell r="AI7">
            <v>10000</v>
          </cell>
        </row>
      </sheetData>
      <sheetData sheetId="6677">
        <row r="7">
          <cell r="AI7">
            <v>10000</v>
          </cell>
        </row>
      </sheetData>
      <sheetData sheetId="6678">
        <row r="7">
          <cell r="AI7">
            <v>10000</v>
          </cell>
        </row>
      </sheetData>
      <sheetData sheetId="6679">
        <row r="7">
          <cell r="AI7">
            <v>10000</v>
          </cell>
        </row>
      </sheetData>
      <sheetData sheetId="6680">
        <row r="7">
          <cell r="AI7">
            <v>10000</v>
          </cell>
        </row>
      </sheetData>
      <sheetData sheetId="6681">
        <row r="7">
          <cell r="AI7">
            <v>10000</v>
          </cell>
        </row>
      </sheetData>
      <sheetData sheetId="6682">
        <row r="7">
          <cell r="AI7">
            <v>10000</v>
          </cell>
        </row>
      </sheetData>
      <sheetData sheetId="6683">
        <row r="7">
          <cell r="AI7">
            <v>10000</v>
          </cell>
        </row>
      </sheetData>
      <sheetData sheetId="6684">
        <row r="7">
          <cell r="AI7">
            <v>10000</v>
          </cell>
        </row>
      </sheetData>
      <sheetData sheetId="6685">
        <row r="7">
          <cell r="AI7">
            <v>10000</v>
          </cell>
        </row>
      </sheetData>
      <sheetData sheetId="6686">
        <row r="7">
          <cell r="AI7">
            <v>10000</v>
          </cell>
        </row>
      </sheetData>
      <sheetData sheetId="6687">
        <row r="7">
          <cell r="AI7">
            <v>10000</v>
          </cell>
        </row>
      </sheetData>
      <sheetData sheetId="6688">
        <row r="7">
          <cell r="AI7">
            <v>10000</v>
          </cell>
        </row>
      </sheetData>
      <sheetData sheetId="6689">
        <row r="7">
          <cell r="AI7">
            <v>10000</v>
          </cell>
        </row>
      </sheetData>
      <sheetData sheetId="6690">
        <row r="7">
          <cell r="AI7">
            <v>10000</v>
          </cell>
        </row>
      </sheetData>
      <sheetData sheetId="6691">
        <row r="7">
          <cell r="AI7">
            <v>10000</v>
          </cell>
        </row>
      </sheetData>
      <sheetData sheetId="6692">
        <row r="7">
          <cell r="AI7">
            <v>10000</v>
          </cell>
        </row>
      </sheetData>
      <sheetData sheetId="6693">
        <row r="7">
          <cell r="AI7">
            <v>10000</v>
          </cell>
        </row>
      </sheetData>
      <sheetData sheetId="6694">
        <row r="7">
          <cell r="AI7">
            <v>10000</v>
          </cell>
        </row>
      </sheetData>
      <sheetData sheetId="6695">
        <row r="7">
          <cell r="AI7">
            <v>10000</v>
          </cell>
        </row>
      </sheetData>
      <sheetData sheetId="6696">
        <row r="7">
          <cell r="AI7">
            <v>10000</v>
          </cell>
        </row>
      </sheetData>
      <sheetData sheetId="6697">
        <row r="7">
          <cell r="AI7">
            <v>10000</v>
          </cell>
        </row>
      </sheetData>
      <sheetData sheetId="6698">
        <row r="7">
          <cell r="AI7">
            <v>10000</v>
          </cell>
        </row>
      </sheetData>
      <sheetData sheetId="6699">
        <row r="7">
          <cell r="AI7">
            <v>10000</v>
          </cell>
        </row>
      </sheetData>
      <sheetData sheetId="6700">
        <row r="7">
          <cell r="AI7">
            <v>10000</v>
          </cell>
        </row>
      </sheetData>
      <sheetData sheetId="6701">
        <row r="7">
          <cell r="AI7">
            <v>10000</v>
          </cell>
        </row>
      </sheetData>
      <sheetData sheetId="6702">
        <row r="7">
          <cell r="AI7">
            <v>10000</v>
          </cell>
        </row>
      </sheetData>
      <sheetData sheetId="6703">
        <row r="7">
          <cell r="AI7">
            <v>10000</v>
          </cell>
        </row>
      </sheetData>
      <sheetData sheetId="6704">
        <row r="7">
          <cell r="AI7">
            <v>10000</v>
          </cell>
        </row>
      </sheetData>
      <sheetData sheetId="6705">
        <row r="7">
          <cell r="AI7">
            <v>10000</v>
          </cell>
        </row>
      </sheetData>
      <sheetData sheetId="6706">
        <row r="7">
          <cell r="AI7">
            <v>10000</v>
          </cell>
        </row>
      </sheetData>
      <sheetData sheetId="6707">
        <row r="7">
          <cell r="AI7">
            <v>10000</v>
          </cell>
        </row>
      </sheetData>
      <sheetData sheetId="6708">
        <row r="7">
          <cell r="AI7">
            <v>10000</v>
          </cell>
        </row>
      </sheetData>
      <sheetData sheetId="6709">
        <row r="7">
          <cell r="AI7">
            <v>10000</v>
          </cell>
        </row>
      </sheetData>
      <sheetData sheetId="6710">
        <row r="7">
          <cell r="AI7">
            <v>10000</v>
          </cell>
        </row>
      </sheetData>
      <sheetData sheetId="6711">
        <row r="7">
          <cell r="AI7">
            <v>10000</v>
          </cell>
        </row>
      </sheetData>
      <sheetData sheetId="6712">
        <row r="7">
          <cell r="AI7">
            <v>10000</v>
          </cell>
        </row>
      </sheetData>
      <sheetData sheetId="6713">
        <row r="7">
          <cell r="AI7">
            <v>10000</v>
          </cell>
        </row>
      </sheetData>
      <sheetData sheetId="6714">
        <row r="7">
          <cell r="AI7">
            <v>10000</v>
          </cell>
        </row>
      </sheetData>
      <sheetData sheetId="6715">
        <row r="7">
          <cell r="AI7">
            <v>10000</v>
          </cell>
        </row>
      </sheetData>
      <sheetData sheetId="6716">
        <row r="7">
          <cell r="AI7">
            <v>10000</v>
          </cell>
        </row>
      </sheetData>
      <sheetData sheetId="6717">
        <row r="7">
          <cell r="AI7">
            <v>10000</v>
          </cell>
        </row>
      </sheetData>
      <sheetData sheetId="6718">
        <row r="7">
          <cell r="AI7">
            <v>10000</v>
          </cell>
        </row>
      </sheetData>
      <sheetData sheetId="6719">
        <row r="7">
          <cell r="AI7">
            <v>10000</v>
          </cell>
        </row>
      </sheetData>
      <sheetData sheetId="6720">
        <row r="7">
          <cell r="AI7">
            <v>10000</v>
          </cell>
        </row>
      </sheetData>
      <sheetData sheetId="6721">
        <row r="7">
          <cell r="AI7">
            <v>10000</v>
          </cell>
        </row>
      </sheetData>
      <sheetData sheetId="6722">
        <row r="7">
          <cell r="AI7">
            <v>10000</v>
          </cell>
        </row>
      </sheetData>
      <sheetData sheetId="6723">
        <row r="7">
          <cell r="AI7">
            <v>10000</v>
          </cell>
        </row>
      </sheetData>
      <sheetData sheetId="6724">
        <row r="7">
          <cell r="AI7">
            <v>10000</v>
          </cell>
        </row>
      </sheetData>
      <sheetData sheetId="6725">
        <row r="7">
          <cell r="AI7">
            <v>10000</v>
          </cell>
        </row>
      </sheetData>
      <sheetData sheetId="6726">
        <row r="7">
          <cell r="AI7">
            <v>10000</v>
          </cell>
        </row>
      </sheetData>
      <sheetData sheetId="6727">
        <row r="7">
          <cell r="AI7">
            <v>10000</v>
          </cell>
        </row>
      </sheetData>
      <sheetData sheetId="6728">
        <row r="7">
          <cell r="AI7">
            <v>10000</v>
          </cell>
        </row>
      </sheetData>
      <sheetData sheetId="6729">
        <row r="7">
          <cell r="AI7">
            <v>10000</v>
          </cell>
        </row>
      </sheetData>
      <sheetData sheetId="6730">
        <row r="7">
          <cell r="AI7">
            <v>10000</v>
          </cell>
        </row>
      </sheetData>
      <sheetData sheetId="6731">
        <row r="7">
          <cell r="AI7">
            <v>10000</v>
          </cell>
        </row>
      </sheetData>
      <sheetData sheetId="6732">
        <row r="7">
          <cell r="AI7">
            <v>10000</v>
          </cell>
        </row>
      </sheetData>
      <sheetData sheetId="6733">
        <row r="7">
          <cell r="AI7">
            <v>10000</v>
          </cell>
        </row>
      </sheetData>
      <sheetData sheetId="6734">
        <row r="7">
          <cell r="AI7">
            <v>10000</v>
          </cell>
        </row>
      </sheetData>
      <sheetData sheetId="6735">
        <row r="7">
          <cell r="AI7">
            <v>10000</v>
          </cell>
        </row>
      </sheetData>
      <sheetData sheetId="6736">
        <row r="7">
          <cell r="AI7">
            <v>10000</v>
          </cell>
        </row>
      </sheetData>
      <sheetData sheetId="6737">
        <row r="7">
          <cell r="AI7">
            <v>10000</v>
          </cell>
        </row>
      </sheetData>
      <sheetData sheetId="6738">
        <row r="7">
          <cell r="AI7">
            <v>10000</v>
          </cell>
        </row>
      </sheetData>
      <sheetData sheetId="6739">
        <row r="7">
          <cell r="AI7">
            <v>10000</v>
          </cell>
        </row>
      </sheetData>
      <sheetData sheetId="6740">
        <row r="7">
          <cell r="AI7">
            <v>10000</v>
          </cell>
        </row>
      </sheetData>
      <sheetData sheetId="6741">
        <row r="7">
          <cell r="AI7">
            <v>10000</v>
          </cell>
        </row>
      </sheetData>
      <sheetData sheetId="6742">
        <row r="7">
          <cell r="AI7">
            <v>10000</v>
          </cell>
        </row>
      </sheetData>
      <sheetData sheetId="6743">
        <row r="7">
          <cell r="AI7">
            <v>10000</v>
          </cell>
        </row>
      </sheetData>
      <sheetData sheetId="6744">
        <row r="7">
          <cell r="AI7">
            <v>10000</v>
          </cell>
        </row>
      </sheetData>
      <sheetData sheetId="6745">
        <row r="7">
          <cell r="AI7">
            <v>10000</v>
          </cell>
        </row>
      </sheetData>
      <sheetData sheetId="6746">
        <row r="7">
          <cell r="AI7">
            <v>10000</v>
          </cell>
        </row>
      </sheetData>
      <sheetData sheetId="6747">
        <row r="7">
          <cell r="AI7">
            <v>10000</v>
          </cell>
        </row>
      </sheetData>
      <sheetData sheetId="6748">
        <row r="7">
          <cell r="AI7">
            <v>10000</v>
          </cell>
        </row>
      </sheetData>
      <sheetData sheetId="6749">
        <row r="7">
          <cell r="AI7">
            <v>10000</v>
          </cell>
        </row>
      </sheetData>
      <sheetData sheetId="6750">
        <row r="7">
          <cell r="AI7">
            <v>10000</v>
          </cell>
        </row>
      </sheetData>
      <sheetData sheetId="6751">
        <row r="7">
          <cell r="AI7">
            <v>10000</v>
          </cell>
        </row>
      </sheetData>
      <sheetData sheetId="6752">
        <row r="7">
          <cell r="AI7">
            <v>10000</v>
          </cell>
        </row>
      </sheetData>
      <sheetData sheetId="6753">
        <row r="7">
          <cell r="AI7">
            <v>10000</v>
          </cell>
        </row>
      </sheetData>
      <sheetData sheetId="6754">
        <row r="7">
          <cell r="AI7">
            <v>10000</v>
          </cell>
        </row>
      </sheetData>
      <sheetData sheetId="6755">
        <row r="7">
          <cell r="AI7">
            <v>10000</v>
          </cell>
        </row>
      </sheetData>
      <sheetData sheetId="6756">
        <row r="7">
          <cell r="AI7">
            <v>10000</v>
          </cell>
        </row>
      </sheetData>
      <sheetData sheetId="6757">
        <row r="7">
          <cell r="AI7">
            <v>10000</v>
          </cell>
        </row>
      </sheetData>
      <sheetData sheetId="6758">
        <row r="7">
          <cell r="AI7">
            <v>10000</v>
          </cell>
        </row>
      </sheetData>
      <sheetData sheetId="6759">
        <row r="7">
          <cell r="AI7">
            <v>10000</v>
          </cell>
        </row>
      </sheetData>
      <sheetData sheetId="6760">
        <row r="7">
          <cell r="AI7">
            <v>10000</v>
          </cell>
        </row>
      </sheetData>
      <sheetData sheetId="6761">
        <row r="7">
          <cell r="AI7">
            <v>10000</v>
          </cell>
        </row>
      </sheetData>
      <sheetData sheetId="6762">
        <row r="7">
          <cell r="AI7">
            <v>10000</v>
          </cell>
        </row>
      </sheetData>
      <sheetData sheetId="6763">
        <row r="7">
          <cell r="AI7">
            <v>10000</v>
          </cell>
        </row>
      </sheetData>
      <sheetData sheetId="6764">
        <row r="7">
          <cell r="AI7">
            <v>10000</v>
          </cell>
        </row>
      </sheetData>
      <sheetData sheetId="6765">
        <row r="7">
          <cell r="AI7">
            <v>10000</v>
          </cell>
        </row>
      </sheetData>
      <sheetData sheetId="6766">
        <row r="7">
          <cell r="AI7">
            <v>10000</v>
          </cell>
        </row>
      </sheetData>
      <sheetData sheetId="6767">
        <row r="7">
          <cell r="AI7">
            <v>10000</v>
          </cell>
        </row>
      </sheetData>
      <sheetData sheetId="6768">
        <row r="7">
          <cell r="AI7">
            <v>10000</v>
          </cell>
        </row>
      </sheetData>
      <sheetData sheetId="6769">
        <row r="7">
          <cell r="AI7">
            <v>10000</v>
          </cell>
        </row>
      </sheetData>
      <sheetData sheetId="6770">
        <row r="7">
          <cell r="AI7">
            <v>10000</v>
          </cell>
        </row>
      </sheetData>
      <sheetData sheetId="6771">
        <row r="7">
          <cell r="AI7">
            <v>10000</v>
          </cell>
        </row>
      </sheetData>
      <sheetData sheetId="6772">
        <row r="7">
          <cell r="AI7">
            <v>10000</v>
          </cell>
        </row>
      </sheetData>
      <sheetData sheetId="6773">
        <row r="7">
          <cell r="AI7">
            <v>10000</v>
          </cell>
        </row>
      </sheetData>
      <sheetData sheetId="6774">
        <row r="7">
          <cell r="AI7">
            <v>10000</v>
          </cell>
        </row>
      </sheetData>
      <sheetData sheetId="6775">
        <row r="7">
          <cell r="AI7">
            <v>10000</v>
          </cell>
        </row>
      </sheetData>
      <sheetData sheetId="6776">
        <row r="7">
          <cell r="AI7">
            <v>10000</v>
          </cell>
        </row>
      </sheetData>
      <sheetData sheetId="6777">
        <row r="7">
          <cell r="AI7">
            <v>10000</v>
          </cell>
        </row>
      </sheetData>
      <sheetData sheetId="6778">
        <row r="7">
          <cell r="AI7">
            <v>10000</v>
          </cell>
        </row>
      </sheetData>
      <sheetData sheetId="6779">
        <row r="7">
          <cell r="AI7">
            <v>10000</v>
          </cell>
        </row>
      </sheetData>
      <sheetData sheetId="6780">
        <row r="7">
          <cell r="AI7">
            <v>10000</v>
          </cell>
        </row>
      </sheetData>
      <sheetData sheetId="6781">
        <row r="7">
          <cell r="AI7">
            <v>10000</v>
          </cell>
        </row>
      </sheetData>
      <sheetData sheetId="6782">
        <row r="7">
          <cell r="AI7">
            <v>10000</v>
          </cell>
        </row>
      </sheetData>
      <sheetData sheetId="6783">
        <row r="7">
          <cell r="AI7">
            <v>10000</v>
          </cell>
        </row>
      </sheetData>
      <sheetData sheetId="6784">
        <row r="7">
          <cell r="AI7">
            <v>10000</v>
          </cell>
        </row>
      </sheetData>
      <sheetData sheetId="6785">
        <row r="7">
          <cell r="AI7">
            <v>10000</v>
          </cell>
        </row>
      </sheetData>
      <sheetData sheetId="6786">
        <row r="7">
          <cell r="AI7">
            <v>10000</v>
          </cell>
        </row>
      </sheetData>
      <sheetData sheetId="6787">
        <row r="7">
          <cell r="AI7">
            <v>10000</v>
          </cell>
        </row>
      </sheetData>
      <sheetData sheetId="6788">
        <row r="7">
          <cell r="AI7">
            <v>10000</v>
          </cell>
        </row>
      </sheetData>
      <sheetData sheetId="6789">
        <row r="7">
          <cell r="AI7">
            <v>10000</v>
          </cell>
        </row>
      </sheetData>
      <sheetData sheetId="6790">
        <row r="7">
          <cell r="AI7">
            <v>10000</v>
          </cell>
        </row>
      </sheetData>
      <sheetData sheetId="6791">
        <row r="7">
          <cell r="AI7">
            <v>10000</v>
          </cell>
        </row>
      </sheetData>
      <sheetData sheetId="6792">
        <row r="7">
          <cell r="AI7">
            <v>10000</v>
          </cell>
        </row>
      </sheetData>
      <sheetData sheetId="6793">
        <row r="7">
          <cell r="AI7">
            <v>10000</v>
          </cell>
        </row>
      </sheetData>
      <sheetData sheetId="6794">
        <row r="7">
          <cell r="AI7">
            <v>10000</v>
          </cell>
        </row>
      </sheetData>
      <sheetData sheetId="6795">
        <row r="7">
          <cell r="AI7">
            <v>10000</v>
          </cell>
        </row>
      </sheetData>
      <sheetData sheetId="6796">
        <row r="7">
          <cell r="AI7">
            <v>10000</v>
          </cell>
        </row>
      </sheetData>
      <sheetData sheetId="6797">
        <row r="7">
          <cell r="AI7">
            <v>10000</v>
          </cell>
        </row>
      </sheetData>
      <sheetData sheetId="6798">
        <row r="7">
          <cell r="AI7">
            <v>10000</v>
          </cell>
        </row>
      </sheetData>
      <sheetData sheetId="6799">
        <row r="7">
          <cell r="AI7">
            <v>10000</v>
          </cell>
        </row>
      </sheetData>
      <sheetData sheetId="6800">
        <row r="7">
          <cell r="AI7">
            <v>10000</v>
          </cell>
        </row>
      </sheetData>
      <sheetData sheetId="6801">
        <row r="7">
          <cell r="AI7">
            <v>10000</v>
          </cell>
        </row>
      </sheetData>
      <sheetData sheetId="6802">
        <row r="7">
          <cell r="AI7">
            <v>10000</v>
          </cell>
        </row>
      </sheetData>
      <sheetData sheetId="6803">
        <row r="7">
          <cell r="AI7">
            <v>10000</v>
          </cell>
        </row>
      </sheetData>
      <sheetData sheetId="6804">
        <row r="7">
          <cell r="AI7">
            <v>10000</v>
          </cell>
        </row>
      </sheetData>
      <sheetData sheetId="6805">
        <row r="7">
          <cell r="AI7">
            <v>10000</v>
          </cell>
        </row>
      </sheetData>
      <sheetData sheetId="6806">
        <row r="7">
          <cell r="AI7">
            <v>10000</v>
          </cell>
        </row>
      </sheetData>
      <sheetData sheetId="6807">
        <row r="7">
          <cell r="AI7">
            <v>10000</v>
          </cell>
        </row>
      </sheetData>
      <sheetData sheetId="6808">
        <row r="7">
          <cell r="AI7">
            <v>10000</v>
          </cell>
        </row>
      </sheetData>
      <sheetData sheetId="6809">
        <row r="7">
          <cell r="AI7">
            <v>10000</v>
          </cell>
        </row>
      </sheetData>
      <sheetData sheetId="6810">
        <row r="7">
          <cell r="AI7">
            <v>10000</v>
          </cell>
        </row>
      </sheetData>
      <sheetData sheetId="6811">
        <row r="7">
          <cell r="AI7">
            <v>10000</v>
          </cell>
        </row>
      </sheetData>
      <sheetData sheetId="6812">
        <row r="7">
          <cell r="AI7">
            <v>10000</v>
          </cell>
        </row>
      </sheetData>
      <sheetData sheetId="6813">
        <row r="7">
          <cell r="AI7">
            <v>10000</v>
          </cell>
        </row>
      </sheetData>
      <sheetData sheetId="6814">
        <row r="7">
          <cell r="AI7">
            <v>10000</v>
          </cell>
        </row>
      </sheetData>
      <sheetData sheetId="6815">
        <row r="7">
          <cell r="AI7">
            <v>10000</v>
          </cell>
        </row>
      </sheetData>
      <sheetData sheetId="6816">
        <row r="7">
          <cell r="AI7">
            <v>10000</v>
          </cell>
        </row>
      </sheetData>
      <sheetData sheetId="6817">
        <row r="7">
          <cell r="AI7">
            <v>10000</v>
          </cell>
        </row>
      </sheetData>
      <sheetData sheetId="6818">
        <row r="7">
          <cell r="AI7">
            <v>10000</v>
          </cell>
        </row>
      </sheetData>
      <sheetData sheetId="6819">
        <row r="7">
          <cell r="AI7">
            <v>10000</v>
          </cell>
        </row>
      </sheetData>
      <sheetData sheetId="6820">
        <row r="7">
          <cell r="AI7">
            <v>10000</v>
          </cell>
        </row>
      </sheetData>
      <sheetData sheetId="6821">
        <row r="7">
          <cell r="AI7">
            <v>10000</v>
          </cell>
        </row>
      </sheetData>
      <sheetData sheetId="6822">
        <row r="7">
          <cell r="AI7">
            <v>10000</v>
          </cell>
        </row>
      </sheetData>
      <sheetData sheetId="6823">
        <row r="7">
          <cell r="AI7">
            <v>10000</v>
          </cell>
        </row>
      </sheetData>
      <sheetData sheetId="6824">
        <row r="7">
          <cell r="AI7">
            <v>10000</v>
          </cell>
        </row>
      </sheetData>
      <sheetData sheetId="6825">
        <row r="7">
          <cell r="AI7">
            <v>10000</v>
          </cell>
        </row>
      </sheetData>
      <sheetData sheetId="6826">
        <row r="7">
          <cell r="AI7">
            <v>10000</v>
          </cell>
        </row>
      </sheetData>
      <sheetData sheetId="6827">
        <row r="7">
          <cell r="AI7">
            <v>10000</v>
          </cell>
        </row>
      </sheetData>
      <sheetData sheetId="6828">
        <row r="7">
          <cell r="AI7">
            <v>10000</v>
          </cell>
        </row>
      </sheetData>
      <sheetData sheetId="6829">
        <row r="7">
          <cell r="AI7">
            <v>10000</v>
          </cell>
        </row>
      </sheetData>
      <sheetData sheetId="6830">
        <row r="7">
          <cell r="AI7">
            <v>10000</v>
          </cell>
        </row>
      </sheetData>
      <sheetData sheetId="6831">
        <row r="7">
          <cell r="AI7">
            <v>10000</v>
          </cell>
        </row>
      </sheetData>
      <sheetData sheetId="6832">
        <row r="7">
          <cell r="AI7">
            <v>10000</v>
          </cell>
        </row>
      </sheetData>
      <sheetData sheetId="6833">
        <row r="7">
          <cell r="AI7">
            <v>10000</v>
          </cell>
        </row>
      </sheetData>
      <sheetData sheetId="6834">
        <row r="7">
          <cell r="AI7">
            <v>10000</v>
          </cell>
        </row>
      </sheetData>
      <sheetData sheetId="6835">
        <row r="7">
          <cell r="AI7">
            <v>10000</v>
          </cell>
        </row>
      </sheetData>
      <sheetData sheetId="6836">
        <row r="7">
          <cell r="AI7">
            <v>10000</v>
          </cell>
        </row>
      </sheetData>
      <sheetData sheetId="6837">
        <row r="7">
          <cell r="AI7">
            <v>10000</v>
          </cell>
        </row>
      </sheetData>
      <sheetData sheetId="6838">
        <row r="7">
          <cell r="AI7">
            <v>10000</v>
          </cell>
        </row>
      </sheetData>
      <sheetData sheetId="6839">
        <row r="7">
          <cell r="AI7">
            <v>10000</v>
          </cell>
        </row>
      </sheetData>
      <sheetData sheetId="6840">
        <row r="7">
          <cell r="AI7">
            <v>10000</v>
          </cell>
        </row>
      </sheetData>
      <sheetData sheetId="6841">
        <row r="7">
          <cell r="AI7">
            <v>10000</v>
          </cell>
        </row>
      </sheetData>
      <sheetData sheetId="6842">
        <row r="7">
          <cell r="AI7">
            <v>10000</v>
          </cell>
        </row>
      </sheetData>
      <sheetData sheetId="6843">
        <row r="7">
          <cell r="AI7">
            <v>10000</v>
          </cell>
        </row>
      </sheetData>
      <sheetData sheetId="6844">
        <row r="7">
          <cell r="AI7">
            <v>10000</v>
          </cell>
        </row>
      </sheetData>
      <sheetData sheetId="6845">
        <row r="7">
          <cell r="AI7">
            <v>10000</v>
          </cell>
        </row>
      </sheetData>
      <sheetData sheetId="6846">
        <row r="7">
          <cell r="AI7">
            <v>10000</v>
          </cell>
        </row>
      </sheetData>
      <sheetData sheetId="6847">
        <row r="7">
          <cell r="AI7">
            <v>10000</v>
          </cell>
        </row>
      </sheetData>
      <sheetData sheetId="6848">
        <row r="7">
          <cell r="AI7">
            <v>10000</v>
          </cell>
        </row>
      </sheetData>
      <sheetData sheetId="6849">
        <row r="7">
          <cell r="AI7">
            <v>10000</v>
          </cell>
        </row>
      </sheetData>
      <sheetData sheetId="6850">
        <row r="7">
          <cell r="AI7">
            <v>10000</v>
          </cell>
        </row>
      </sheetData>
      <sheetData sheetId="6851">
        <row r="7">
          <cell r="AI7">
            <v>10000</v>
          </cell>
        </row>
      </sheetData>
      <sheetData sheetId="6852">
        <row r="7">
          <cell r="AI7">
            <v>10000</v>
          </cell>
        </row>
      </sheetData>
      <sheetData sheetId="6853">
        <row r="7">
          <cell r="AI7">
            <v>10000</v>
          </cell>
        </row>
      </sheetData>
      <sheetData sheetId="6854">
        <row r="7">
          <cell r="AI7">
            <v>10000</v>
          </cell>
        </row>
      </sheetData>
      <sheetData sheetId="6855">
        <row r="7">
          <cell r="AI7">
            <v>10000</v>
          </cell>
        </row>
      </sheetData>
      <sheetData sheetId="6856">
        <row r="7">
          <cell r="AI7">
            <v>10000</v>
          </cell>
        </row>
      </sheetData>
      <sheetData sheetId="6857">
        <row r="7">
          <cell r="AI7">
            <v>10000</v>
          </cell>
        </row>
      </sheetData>
      <sheetData sheetId="6858">
        <row r="7">
          <cell r="AI7">
            <v>10000</v>
          </cell>
        </row>
      </sheetData>
      <sheetData sheetId="6859">
        <row r="7">
          <cell r="AI7">
            <v>10000</v>
          </cell>
        </row>
      </sheetData>
      <sheetData sheetId="6860">
        <row r="7">
          <cell r="AI7">
            <v>10000</v>
          </cell>
        </row>
      </sheetData>
      <sheetData sheetId="6861">
        <row r="7">
          <cell r="AI7">
            <v>10000</v>
          </cell>
        </row>
      </sheetData>
      <sheetData sheetId="6862">
        <row r="7">
          <cell r="AI7">
            <v>10000</v>
          </cell>
        </row>
      </sheetData>
      <sheetData sheetId="6863">
        <row r="7">
          <cell r="AI7">
            <v>10000</v>
          </cell>
        </row>
      </sheetData>
      <sheetData sheetId="6864">
        <row r="7">
          <cell r="AI7">
            <v>10000</v>
          </cell>
        </row>
      </sheetData>
      <sheetData sheetId="6865">
        <row r="7">
          <cell r="AI7">
            <v>10000</v>
          </cell>
        </row>
      </sheetData>
      <sheetData sheetId="6866">
        <row r="7">
          <cell r="AI7">
            <v>10000</v>
          </cell>
        </row>
      </sheetData>
      <sheetData sheetId="6867">
        <row r="7">
          <cell r="AI7">
            <v>10000</v>
          </cell>
        </row>
      </sheetData>
      <sheetData sheetId="6868">
        <row r="7">
          <cell r="AI7">
            <v>10000</v>
          </cell>
        </row>
      </sheetData>
      <sheetData sheetId="6869">
        <row r="7">
          <cell r="AI7">
            <v>10000</v>
          </cell>
        </row>
      </sheetData>
      <sheetData sheetId="6870">
        <row r="7">
          <cell r="AI7">
            <v>10000</v>
          </cell>
        </row>
      </sheetData>
      <sheetData sheetId="6871">
        <row r="7">
          <cell r="AI7">
            <v>10000</v>
          </cell>
        </row>
      </sheetData>
      <sheetData sheetId="6872">
        <row r="7">
          <cell r="AI7">
            <v>10000</v>
          </cell>
        </row>
      </sheetData>
      <sheetData sheetId="6873">
        <row r="7">
          <cell r="AI7">
            <v>10000</v>
          </cell>
        </row>
      </sheetData>
      <sheetData sheetId="6874">
        <row r="7">
          <cell r="AI7">
            <v>10000</v>
          </cell>
        </row>
      </sheetData>
      <sheetData sheetId="6875">
        <row r="7">
          <cell r="AI7">
            <v>10000</v>
          </cell>
        </row>
      </sheetData>
      <sheetData sheetId="6876">
        <row r="7">
          <cell r="AI7">
            <v>10000</v>
          </cell>
        </row>
      </sheetData>
      <sheetData sheetId="6877">
        <row r="7">
          <cell r="AI7">
            <v>10000</v>
          </cell>
        </row>
      </sheetData>
      <sheetData sheetId="6878">
        <row r="7">
          <cell r="AI7">
            <v>10000</v>
          </cell>
        </row>
      </sheetData>
      <sheetData sheetId="6879">
        <row r="7">
          <cell r="AI7">
            <v>10000</v>
          </cell>
        </row>
      </sheetData>
      <sheetData sheetId="6880">
        <row r="7">
          <cell r="AI7">
            <v>10000</v>
          </cell>
        </row>
      </sheetData>
      <sheetData sheetId="6881">
        <row r="7">
          <cell r="AI7">
            <v>10000</v>
          </cell>
        </row>
      </sheetData>
      <sheetData sheetId="6882">
        <row r="7">
          <cell r="AI7">
            <v>10000</v>
          </cell>
        </row>
      </sheetData>
      <sheetData sheetId="6883">
        <row r="7">
          <cell r="AI7">
            <v>10000</v>
          </cell>
        </row>
      </sheetData>
      <sheetData sheetId="6884">
        <row r="7">
          <cell r="AI7">
            <v>10000</v>
          </cell>
        </row>
      </sheetData>
      <sheetData sheetId="6885">
        <row r="7">
          <cell r="AI7">
            <v>10000</v>
          </cell>
        </row>
      </sheetData>
      <sheetData sheetId="6886">
        <row r="7">
          <cell r="AI7">
            <v>10000</v>
          </cell>
        </row>
      </sheetData>
      <sheetData sheetId="6887">
        <row r="7">
          <cell r="AI7">
            <v>10000</v>
          </cell>
        </row>
      </sheetData>
      <sheetData sheetId="6888">
        <row r="7">
          <cell r="AI7">
            <v>10000</v>
          </cell>
        </row>
      </sheetData>
      <sheetData sheetId="6889">
        <row r="7">
          <cell r="AI7">
            <v>10000</v>
          </cell>
        </row>
      </sheetData>
      <sheetData sheetId="6890">
        <row r="7">
          <cell r="AI7">
            <v>10000</v>
          </cell>
        </row>
      </sheetData>
      <sheetData sheetId="6891">
        <row r="7">
          <cell r="AI7">
            <v>10000</v>
          </cell>
        </row>
      </sheetData>
      <sheetData sheetId="6892">
        <row r="7">
          <cell r="AI7">
            <v>10000</v>
          </cell>
        </row>
      </sheetData>
      <sheetData sheetId="6893">
        <row r="7">
          <cell r="AI7">
            <v>10000</v>
          </cell>
        </row>
      </sheetData>
      <sheetData sheetId="6894">
        <row r="7">
          <cell r="AI7">
            <v>10000</v>
          </cell>
        </row>
      </sheetData>
      <sheetData sheetId="6895">
        <row r="7">
          <cell r="AI7">
            <v>10000</v>
          </cell>
        </row>
      </sheetData>
      <sheetData sheetId="6896">
        <row r="7">
          <cell r="AI7">
            <v>10000</v>
          </cell>
        </row>
      </sheetData>
      <sheetData sheetId="6897">
        <row r="7">
          <cell r="AI7">
            <v>10000</v>
          </cell>
        </row>
      </sheetData>
      <sheetData sheetId="6898">
        <row r="7">
          <cell r="AI7">
            <v>10000</v>
          </cell>
        </row>
      </sheetData>
      <sheetData sheetId="6899">
        <row r="7">
          <cell r="AI7">
            <v>10000</v>
          </cell>
        </row>
      </sheetData>
      <sheetData sheetId="6900">
        <row r="7">
          <cell r="AI7">
            <v>10000</v>
          </cell>
        </row>
      </sheetData>
      <sheetData sheetId="6901">
        <row r="7">
          <cell r="AI7">
            <v>10000</v>
          </cell>
        </row>
      </sheetData>
      <sheetData sheetId="6902">
        <row r="7">
          <cell r="AI7">
            <v>10000</v>
          </cell>
        </row>
      </sheetData>
      <sheetData sheetId="6903">
        <row r="7">
          <cell r="AI7">
            <v>10000</v>
          </cell>
        </row>
      </sheetData>
      <sheetData sheetId="6904">
        <row r="7">
          <cell r="AI7">
            <v>10000</v>
          </cell>
        </row>
      </sheetData>
      <sheetData sheetId="6905">
        <row r="7">
          <cell r="AI7">
            <v>10000</v>
          </cell>
        </row>
      </sheetData>
      <sheetData sheetId="6906">
        <row r="7">
          <cell r="AI7">
            <v>10000</v>
          </cell>
        </row>
      </sheetData>
      <sheetData sheetId="6907">
        <row r="7">
          <cell r="AI7">
            <v>10000</v>
          </cell>
        </row>
      </sheetData>
      <sheetData sheetId="6908">
        <row r="7">
          <cell r="AI7">
            <v>10000</v>
          </cell>
        </row>
      </sheetData>
      <sheetData sheetId="6909">
        <row r="7">
          <cell r="AI7">
            <v>10000</v>
          </cell>
        </row>
      </sheetData>
      <sheetData sheetId="6910">
        <row r="7">
          <cell r="AI7">
            <v>10000</v>
          </cell>
        </row>
      </sheetData>
      <sheetData sheetId="6911">
        <row r="7">
          <cell r="AI7">
            <v>10000</v>
          </cell>
        </row>
      </sheetData>
      <sheetData sheetId="6912">
        <row r="7">
          <cell r="AI7">
            <v>10000</v>
          </cell>
        </row>
      </sheetData>
      <sheetData sheetId="6913">
        <row r="7">
          <cell r="AI7">
            <v>10000</v>
          </cell>
        </row>
      </sheetData>
      <sheetData sheetId="6914">
        <row r="7">
          <cell r="AI7">
            <v>10000</v>
          </cell>
        </row>
      </sheetData>
      <sheetData sheetId="6915">
        <row r="7">
          <cell r="AI7">
            <v>10000</v>
          </cell>
        </row>
      </sheetData>
      <sheetData sheetId="6916">
        <row r="7">
          <cell r="AI7">
            <v>10000</v>
          </cell>
        </row>
      </sheetData>
      <sheetData sheetId="6917">
        <row r="7">
          <cell r="AI7">
            <v>10000</v>
          </cell>
        </row>
      </sheetData>
      <sheetData sheetId="6918">
        <row r="7">
          <cell r="AI7">
            <v>10000</v>
          </cell>
        </row>
      </sheetData>
      <sheetData sheetId="6919">
        <row r="7">
          <cell r="AI7">
            <v>10000</v>
          </cell>
        </row>
      </sheetData>
      <sheetData sheetId="6920">
        <row r="7">
          <cell r="AI7">
            <v>10000</v>
          </cell>
        </row>
      </sheetData>
      <sheetData sheetId="6921">
        <row r="7">
          <cell r="AI7">
            <v>10000</v>
          </cell>
        </row>
      </sheetData>
      <sheetData sheetId="6922">
        <row r="7">
          <cell r="AI7">
            <v>10000</v>
          </cell>
        </row>
      </sheetData>
      <sheetData sheetId="6923">
        <row r="7">
          <cell r="AI7">
            <v>10000</v>
          </cell>
        </row>
      </sheetData>
      <sheetData sheetId="6924">
        <row r="7">
          <cell r="AI7">
            <v>10000</v>
          </cell>
        </row>
      </sheetData>
      <sheetData sheetId="6925">
        <row r="7">
          <cell r="AI7">
            <v>10000</v>
          </cell>
        </row>
      </sheetData>
      <sheetData sheetId="6926">
        <row r="7">
          <cell r="AI7">
            <v>10000</v>
          </cell>
        </row>
      </sheetData>
      <sheetData sheetId="6927">
        <row r="7">
          <cell r="AI7">
            <v>10000</v>
          </cell>
        </row>
      </sheetData>
      <sheetData sheetId="6928">
        <row r="7">
          <cell r="AI7">
            <v>10000</v>
          </cell>
        </row>
      </sheetData>
      <sheetData sheetId="6929">
        <row r="7">
          <cell r="AI7">
            <v>10000</v>
          </cell>
        </row>
      </sheetData>
      <sheetData sheetId="6930">
        <row r="7">
          <cell r="AI7">
            <v>10000</v>
          </cell>
        </row>
      </sheetData>
      <sheetData sheetId="6931">
        <row r="7">
          <cell r="AI7">
            <v>10000</v>
          </cell>
        </row>
      </sheetData>
      <sheetData sheetId="6932">
        <row r="7">
          <cell r="AI7">
            <v>10000</v>
          </cell>
        </row>
      </sheetData>
      <sheetData sheetId="6933">
        <row r="7">
          <cell r="AI7">
            <v>10000</v>
          </cell>
        </row>
      </sheetData>
      <sheetData sheetId="6934">
        <row r="7">
          <cell r="AI7">
            <v>10000</v>
          </cell>
        </row>
      </sheetData>
      <sheetData sheetId="6935">
        <row r="7">
          <cell r="AI7">
            <v>10000</v>
          </cell>
        </row>
      </sheetData>
      <sheetData sheetId="6936">
        <row r="7">
          <cell r="AI7">
            <v>10000</v>
          </cell>
        </row>
      </sheetData>
      <sheetData sheetId="6937">
        <row r="7">
          <cell r="AI7">
            <v>10000</v>
          </cell>
        </row>
      </sheetData>
      <sheetData sheetId="6938">
        <row r="7">
          <cell r="AI7">
            <v>10000</v>
          </cell>
        </row>
      </sheetData>
      <sheetData sheetId="6939">
        <row r="7">
          <cell r="AI7">
            <v>10000</v>
          </cell>
        </row>
      </sheetData>
      <sheetData sheetId="6940">
        <row r="7">
          <cell r="AI7">
            <v>10000</v>
          </cell>
        </row>
      </sheetData>
      <sheetData sheetId="6941">
        <row r="7">
          <cell r="AI7">
            <v>10000</v>
          </cell>
        </row>
      </sheetData>
      <sheetData sheetId="6942">
        <row r="7">
          <cell r="AI7">
            <v>10000</v>
          </cell>
        </row>
      </sheetData>
      <sheetData sheetId="6943">
        <row r="7">
          <cell r="AI7">
            <v>10000</v>
          </cell>
        </row>
      </sheetData>
      <sheetData sheetId="6944">
        <row r="7">
          <cell r="AI7">
            <v>10000</v>
          </cell>
        </row>
      </sheetData>
      <sheetData sheetId="6945">
        <row r="7">
          <cell r="AI7">
            <v>10000</v>
          </cell>
        </row>
      </sheetData>
      <sheetData sheetId="6946">
        <row r="7">
          <cell r="AI7">
            <v>10000</v>
          </cell>
        </row>
      </sheetData>
      <sheetData sheetId="6947">
        <row r="7">
          <cell r="AI7">
            <v>10000</v>
          </cell>
        </row>
      </sheetData>
      <sheetData sheetId="6948">
        <row r="7">
          <cell r="AI7">
            <v>10000</v>
          </cell>
        </row>
      </sheetData>
      <sheetData sheetId="6949">
        <row r="7">
          <cell r="AI7">
            <v>10000</v>
          </cell>
        </row>
      </sheetData>
      <sheetData sheetId="6950">
        <row r="7">
          <cell r="AI7">
            <v>10000</v>
          </cell>
        </row>
      </sheetData>
      <sheetData sheetId="6951">
        <row r="7">
          <cell r="AI7">
            <v>10000</v>
          </cell>
        </row>
      </sheetData>
      <sheetData sheetId="6952">
        <row r="7">
          <cell r="AI7">
            <v>10000</v>
          </cell>
        </row>
      </sheetData>
      <sheetData sheetId="6953">
        <row r="7">
          <cell r="AI7">
            <v>10000</v>
          </cell>
        </row>
      </sheetData>
      <sheetData sheetId="6954">
        <row r="7">
          <cell r="AI7">
            <v>10000</v>
          </cell>
        </row>
      </sheetData>
      <sheetData sheetId="6955">
        <row r="7">
          <cell r="AI7">
            <v>10000</v>
          </cell>
        </row>
      </sheetData>
      <sheetData sheetId="6956">
        <row r="7">
          <cell r="AI7">
            <v>10000</v>
          </cell>
        </row>
      </sheetData>
      <sheetData sheetId="6957">
        <row r="7">
          <cell r="AI7">
            <v>10000</v>
          </cell>
        </row>
      </sheetData>
      <sheetData sheetId="6958">
        <row r="7">
          <cell r="AI7">
            <v>10000</v>
          </cell>
        </row>
      </sheetData>
      <sheetData sheetId="6959">
        <row r="7">
          <cell r="AI7">
            <v>10000</v>
          </cell>
        </row>
      </sheetData>
      <sheetData sheetId="6960">
        <row r="7">
          <cell r="AI7">
            <v>10000</v>
          </cell>
        </row>
      </sheetData>
      <sheetData sheetId="6961">
        <row r="7">
          <cell r="AI7">
            <v>10000</v>
          </cell>
        </row>
      </sheetData>
      <sheetData sheetId="6962">
        <row r="7">
          <cell r="AI7">
            <v>10000</v>
          </cell>
        </row>
      </sheetData>
      <sheetData sheetId="6963">
        <row r="7">
          <cell r="AI7">
            <v>10000</v>
          </cell>
        </row>
      </sheetData>
      <sheetData sheetId="6964">
        <row r="7">
          <cell r="AI7">
            <v>10000</v>
          </cell>
        </row>
      </sheetData>
      <sheetData sheetId="6965">
        <row r="7">
          <cell r="AI7">
            <v>10000</v>
          </cell>
        </row>
      </sheetData>
      <sheetData sheetId="6966">
        <row r="7">
          <cell r="AI7">
            <v>10000</v>
          </cell>
        </row>
      </sheetData>
      <sheetData sheetId="6967">
        <row r="7">
          <cell r="AI7">
            <v>10000</v>
          </cell>
        </row>
      </sheetData>
      <sheetData sheetId="6968">
        <row r="7">
          <cell r="AI7">
            <v>10000</v>
          </cell>
        </row>
      </sheetData>
      <sheetData sheetId="6969">
        <row r="7">
          <cell r="AI7">
            <v>10000</v>
          </cell>
        </row>
      </sheetData>
      <sheetData sheetId="6970">
        <row r="7">
          <cell r="AI7">
            <v>10000</v>
          </cell>
        </row>
      </sheetData>
      <sheetData sheetId="6971">
        <row r="7">
          <cell r="AI7">
            <v>10000</v>
          </cell>
        </row>
      </sheetData>
      <sheetData sheetId="6972">
        <row r="7">
          <cell r="AI7">
            <v>10000</v>
          </cell>
        </row>
      </sheetData>
      <sheetData sheetId="6973">
        <row r="7">
          <cell r="AI7">
            <v>10000</v>
          </cell>
        </row>
      </sheetData>
      <sheetData sheetId="6974">
        <row r="7">
          <cell r="AI7">
            <v>10000</v>
          </cell>
        </row>
      </sheetData>
      <sheetData sheetId="6975">
        <row r="7">
          <cell r="AI7">
            <v>10000</v>
          </cell>
        </row>
      </sheetData>
      <sheetData sheetId="6976">
        <row r="7">
          <cell r="AI7">
            <v>10000</v>
          </cell>
        </row>
      </sheetData>
      <sheetData sheetId="6977">
        <row r="7">
          <cell r="AI7">
            <v>10000</v>
          </cell>
        </row>
      </sheetData>
      <sheetData sheetId="6978">
        <row r="7">
          <cell r="AI7">
            <v>10000</v>
          </cell>
        </row>
      </sheetData>
      <sheetData sheetId="6979">
        <row r="7">
          <cell r="AI7">
            <v>10000</v>
          </cell>
        </row>
      </sheetData>
      <sheetData sheetId="6980">
        <row r="7">
          <cell r="AI7">
            <v>10000</v>
          </cell>
        </row>
      </sheetData>
      <sheetData sheetId="6981">
        <row r="7">
          <cell r="AI7">
            <v>10000</v>
          </cell>
        </row>
      </sheetData>
      <sheetData sheetId="6982">
        <row r="7">
          <cell r="AI7">
            <v>10000</v>
          </cell>
        </row>
      </sheetData>
      <sheetData sheetId="6983">
        <row r="7">
          <cell r="AI7">
            <v>10000</v>
          </cell>
        </row>
      </sheetData>
      <sheetData sheetId="6984">
        <row r="7">
          <cell r="AI7">
            <v>10000</v>
          </cell>
        </row>
      </sheetData>
      <sheetData sheetId="6985">
        <row r="7">
          <cell r="AI7">
            <v>10000</v>
          </cell>
        </row>
      </sheetData>
      <sheetData sheetId="6986">
        <row r="7">
          <cell r="AI7">
            <v>10000</v>
          </cell>
        </row>
      </sheetData>
      <sheetData sheetId="6987">
        <row r="7">
          <cell r="AI7">
            <v>10000</v>
          </cell>
        </row>
      </sheetData>
      <sheetData sheetId="6988">
        <row r="7">
          <cell r="AI7">
            <v>10000</v>
          </cell>
        </row>
      </sheetData>
      <sheetData sheetId="6989">
        <row r="7">
          <cell r="AI7">
            <v>10000</v>
          </cell>
        </row>
      </sheetData>
      <sheetData sheetId="6990">
        <row r="7">
          <cell r="AI7">
            <v>10000</v>
          </cell>
        </row>
      </sheetData>
      <sheetData sheetId="6991">
        <row r="7">
          <cell r="AI7">
            <v>10000</v>
          </cell>
        </row>
      </sheetData>
      <sheetData sheetId="6992">
        <row r="7">
          <cell r="AI7">
            <v>10000</v>
          </cell>
        </row>
      </sheetData>
      <sheetData sheetId="6993">
        <row r="7">
          <cell r="AI7">
            <v>10000</v>
          </cell>
        </row>
      </sheetData>
      <sheetData sheetId="6994">
        <row r="7">
          <cell r="AI7">
            <v>10000</v>
          </cell>
        </row>
      </sheetData>
      <sheetData sheetId="6995">
        <row r="7">
          <cell r="AI7">
            <v>10000</v>
          </cell>
        </row>
      </sheetData>
      <sheetData sheetId="6996">
        <row r="7">
          <cell r="AI7">
            <v>10000</v>
          </cell>
        </row>
      </sheetData>
      <sheetData sheetId="6997">
        <row r="7">
          <cell r="AI7">
            <v>10000</v>
          </cell>
        </row>
      </sheetData>
      <sheetData sheetId="6998">
        <row r="7">
          <cell r="AI7">
            <v>10000</v>
          </cell>
        </row>
      </sheetData>
      <sheetData sheetId="6999">
        <row r="7">
          <cell r="AI7">
            <v>10000</v>
          </cell>
        </row>
      </sheetData>
      <sheetData sheetId="7000">
        <row r="7">
          <cell r="AI7">
            <v>10000</v>
          </cell>
        </row>
      </sheetData>
      <sheetData sheetId="7001">
        <row r="7">
          <cell r="AI7">
            <v>10000</v>
          </cell>
        </row>
      </sheetData>
      <sheetData sheetId="7002">
        <row r="7">
          <cell r="AI7">
            <v>10000</v>
          </cell>
        </row>
      </sheetData>
      <sheetData sheetId="7003">
        <row r="7">
          <cell r="AI7">
            <v>10000</v>
          </cell>
        </row>
      </sheetData>
      <sheetData sheetId="7004">
        <row r="7">
          <cell r="AI7">
            <v>10000</v>
          </cell>
        </row>
      </sheetData>
      <sheetData sheetId="7005">
        <row r="7">
          <cell r="AI7">
            <v>10000</v>
          </cell>
        </row>
      </sheetData>
      <sheetData sheetId="7006">
        <row r="7">
          <cell r="AI7">
            <v>10000</v>
          </cell>
        </row>
      </sheetData>
      <sheetData sheetId="7007">
        <row r="7">
          <cell r="AI7">
            <v>10000</v>
          </cell>
        </row>
      </sheetData>
      <sheetData sheetId="7008">
        <row r="7">
          <cell r="AI7">
            <v>10000</v>
          </cell>
        </row>
      </sheetData>
      <sheetData sheetId="7009">
        <row r="7">
          <cell r="AI7">
            <v>10000</v>
          </cell>
        </row>
      </sheetData>
      <sheetData sheetId="7010">
        <row r="7">
          <cell r="AI7">
            <v>10000</v>
          </cell>
        </row>
      </sheetData>
      <sheetData sheetId="7011">
        <row r="7">
          <cell r="AI7">
            <v>10000</v>
          </cell>
        </row>
      </sheetData>
      <sheetData sheetId="7012">
        <row r="7">
          <cell r="AI7">
            <v>10000</v>
          </cell>
        </row>
      </sheetData>
      <sheetData sheetId="7013">
        <row r="7">
          <cell r="AI7">
            <v>10000</v>
          </cell>
        </row>
      </sheetData>
      <sheetData sheetId="7014">
        <row r="7">
          <cell r="AI7">
            <v>10000</v>
          </cell>
        </row>
      </sheetData>
      <sheetData sheetId="7015">
        <row r="7">
          <cell r="AI7">
            <v>10000</v>
          </cell>
        </row>
      </sheetData>
      <sheetData sheetId="7016">
        <row r="7">
          <cell r="AI7">
            <v>10000</v>
          </cell>
        </row>
      </sheetData>
      <sheetData sheetId="7017">
        <row r="7">
          <cell r="AI7">
            <v>10000</v>
          </cell>
        </row>
      </sheetData>
      <sheetData sheetId="7018">
        <row r="7">
          <cell r="AI7">
            <v>10000</v>
          </cell>
        </row>
      </sheetData>
      <sheetData sheetId="7019">
        <row r="7">
          <cell r="AI7">
            <v>10000</v>
          </cell>
        </row>
      </sheetData>
      <sheetData sheetId="7020">
        <row r="7">
          <cell r="AI7">
            <v>10000</v>
          </cell>
        </row>
      </sheetData>
      <sheetData sheetId="7021">
        <row r="7">
          <cell r="AI7">
            <v>10000</v>
          </cell>
        </row>
      </sheetData>
      <sheetData sheetId="7022">
        <row r="7">
          <cell r="AI7">
            <v>10000</v>
          </cell>
        </row>
      </sheetData>
      <sheetData sheetId="7023">
        <row r="7">
          <cell r="AI7">
            <v>10000</v>
          </cell>
        </row>
      </sheetData>
      <sheetData sheetId="7024">
        <row r="7">
          <cell r="AI7">
            <v>10000</v>
          </cell>
        </row>
      </sheetData>
      <sheetData sheetId="7025">
        <row r="7">
          <cell r="AI7">
            <v>10000</v>
          </cell>
        </row>
      </sheetData>
      <sheetData sheetId="7026">
        <row r="7">
          <cell r="AI7">
            <v>10000</v>
          </cell>
        </row>
      </sheetData>
      <sheetData sheetId="7027">
        <row r="7">
          <cell r="AI7">
            <v>10000</v>
          </cell>
        </row>
      </sheetData>
      <sheetData sheetId="7028">
        <row r="7">
          <cell r="AI7">
            <v>10000</v>
          </cell>
        </row>
      </sheetData>
      <sheetData sheetId="7029">
        <row r="7">
          <cell r="AI7">
            <v>10000</v>
          </cell>
        </row>
      </sheetData>
      <sheetData sheetId="7030">
        <row r="7">
          <cell r="AI7">
            <v>10000</v>
          </cell>
        </row>
      </sheetData>
      <sheetData sheetId="7031">
        <row r="7">
          <cell r="AI7">
            <v>10000</v>
          </cell>
        </row>
      </sheetData>
      <sheetData sheetId="7032">
        <row r="7">
          <cell r="AI7">
            <v>10000</v>
          </cell>
        </row>
      </sheetData>
      <sheetData sheetId="7033">
        <row r="7">
          <cell r="AI7">
            <v>10000</v>
          </cell>
        </row>
      </sheetData>
      <sheetData sheetId="7034">
        <row r="7">
          <cell r="AI7">
            <v>10000</v>
          </cell>
        </row>
      </sheetData>
      <sheetData sheetId="7035">
        <row r="7">
          <cell r="AI7">
            <v>10000</v>
          </cell>
        </row>
      </sheetData>
      <sheetData sheetId="7036">
        <row r="7">
          <cell r="AI7">
            <v>10000</v>
          </cell>
        </row>
      </sheetData>
      <sheetData sheetId="7037">
        <row r="7">
          <cell r="AI7">
            <v>10000</v>
          </cell>
        </row>
      </sheetData>
      <sheetData sheetId="7038">
        <row r="7">
          <cell r="AI7">
            <v>10000</v>
          </cell>
        </row>
      </sheetData>
      <sheetData sheetId="7039">
        <row r="7">
          <cell r="AI7">
            <v>10000</v>
          </cell>
        </row>
      </sheetData>
      <sheetData sheetId="7040">
        <row r="7">
          <cell r="AI7">
            <v>10000</v>
          </cell>
        </row>
      </sheetData>
      <sheetData sheetId="7041">
        <row r="7">
          <cell r="AI7">
            <v>10000</v>
          </cell>
        </row>
      </sheetData>
      <sheetData sheetId="7042">
        <row r="7">
          <cell r="AI7">
            <v>10000</v>
          </cell>
        </row>
      </sheetData>
      <sheetData sheetId="7043">
        <row r="7">
          <cell r="AI7">
            <v>10000</v>
          </cell>
        </row>
      </sheetData>
      <sheetData sheetId="7044">
        <row r="7">
          <cell r="AI7">
            <v>10000</v>
          </cell>
        </row>
      </sheetData>
      <sheetData sheetId="7045">
        <row r="7">
          <cell r="AI7">
            <v>10000</v>
          </cell>
        </row>
      </sheetData>
      <sheetData sheetId="7046">
        <row r="7">
          <cell r="AI7">
            <v>10000</v>
          </cell>
        </row>
      </sheetData>
      <sheetData sheetId="7047">
        <row r="7">
          <cell r="AI7">
            <v>10000</v>
          </cell>
        </row>
      </sheetData>
      <sheetData sheetId="7048">
        <row r="7">
          <cell r="AI7">
            <v>10000</v>
          </cell>
        </row>
      </sheetData>
      <sheetData sheetId="7049">
        <row r="7">
          <cell r="AI7">
            <v>10000</v>
          </cell>
        </row>
      </sheetData>
      <sheetData sheetId="7050">
        <row r="7">
          <cell r="AI7">
            <v>10000</v>
          </cell>
        </row>
      </sheetData>
      <sheetData sheetId="7051">
        <row r="7">
          <cell r="AI7">
            <v>10000</v>
          </cell>
        </row>
      </sheetData>
      <sheetData sheetId="7052">
        <row r="7">
          <cell r="AI7">
            <v>10000</v>
          </cell>
        </row>
      </sheetData>
      <sheetData sheetId="7053">
        <row r="7">
          <cell r="AI7">
            <v>10000</v>
          </cell>
        </row>
      </sheetData>
      <sheetData sheetId="7054">
        <row r="7">
          <cell r="AI7">
            <v>10000</v>
          </cell>
        </row>
      </sheetData>
      <sheetData sheetId="7055">
        <row r="7">
          <cell r="AI7">
            <v>10000</v>
          </cell>
        </row>
      </sheetData>
      <sheetData sheetId="7056">
        <row r="7">
          <cell r="AI7">
            <v>10000</v>
          </cell>
        </row>
      </sheetData>
      <sheetData sheetId="7057">
        <row r="7">
          <cell r="AI7">
            <v>10000</v>
          </cell>
        </row>
      </sheetData>
      <sheetData sheetId="7058">
        <row r="7">
          <cell r="AI7">
            <v>10000</v>
          </cell>
        </row>
      </sheetData>
      <sheetData sheetId="7059">
        <row r="7">
          <cell r="AI7">
            <v>10000</v>
          </cell>
        </row>
      </sheetData>
      <sheetData sheetId="7060">
        <row r="7">
          <cell r="AI7">
            <v>10000</v>
          </cell>
        </row>
      </sheetData>
      <sheetData sheetId="7061">
        <row r="7">
          <cell r="AI7">
            <v>10000</v>
          </cell>
        </row>
      </sheetData>
      <sheetData sheetId="7062">
        <row r="7">
          <cell r="AI7">
            <v>10000</v>
          </cell>
        </row>
      </sheetData>
      <sheetData sheetId="7063">
        <row r="7">
          <cell r="AI7">
            <v>10000</v>
          </cell>
        </row>
      </sheetData>
      <sheetData sheetId="7064">
        <row r="7">
          <cell r="AI7">
            <v>10000</v>
          </cell>
        </row>
      </sheetData>
      <sheetData sheetId="7065">
        <row r="7">
          <cell r="AI7">
            <v>10000</v>
          </cell>
        </row>
      </sheetData>
      <sheetData sheetId="7066">
        <row r="7">
          <cell r="AI7">
            <v>10000</v>
          </cell>
        </row>
      </sheetData>
      <sheetData sheetId="7067">
        <row r="7">
          <cell r="AI7">
            <v>10000</v>
          </cell>
        </row>
      </sheetData>
      <sheetData sheetId="7068">
        <row r="7">
          <cell r="AI7">
            <v>10000</v>
          </cell>
        </row>
      </sheetData>
      <sheetData sheetId="7069">
        <row r="7">
          <cell r="AI7">
            <v>10000</v>
          </cell>
        </row>
      </sheetData>
      <sheetData sheetId="7070">
        <row r="7">
          <cell r="AI7">
            <v>10000</v>
          </cell>
        </row>
      </sheetData>
      <sheetData sheetId="7071">
        <row r="7">
          <cell r="AI7">
            <v>10000</v>
          </cell>
        </row>
      </sheetData>
      <sheetData sheetId="7072">
        <row r="7">
          <cell r="AI7">
            <v>10000</v>
          </cell>
        </row>
      </sheetData>
      <sheetData sheetId="7073">
        <row r="7">
          <cell r="AI7">
            <v>10000</v>
          </cell>
        </row>
      </sheetData>
      <sheetData sheetId="7074">
        <row r="7">
          <cell r="AI7">
            <v>10000</v>
          </cell>
        </row>
      </sheetData>
      <sheetData sheetId="7075">
        <row r="7">
          <cell r="AI7">
            <v>10000</v>
          </cell>
        </row>
      </sheetData>
      <sheetData sheetId="7076">
        <row r="7">
          <cell r="AI7">
            <v>10000</v>
          </cell>
        </row>
      </sheetData>
      <sheetData sheetId="7077">
        <row r="7">
          <cell r="AI7">
            <v>10000</v>
          </cell>
        </row>
      </sheetData>
      <sheetData sheetId="7078">
        <row r="7">
          <cell r="AI7">
            <v>10000</v>
          </cell>
        </row>
      </sheetData>
      <sheetData sheetId="7079">
        <row r="7">
          <cell r="AI7">
            <v>10000</v>
          </cell>
        </row>
      </sheetData>
      <sheetData sheetId="7080">
        <row r="7">
          <cell r="AI7">
            <v>10000</v>
          </cell>
        </row>
      </sheetData>
      <sheetData sheetId="7081">
        <row r="7">
          <cell r="AI7">
            <v>10000</v>
          </cell>
        </row>
      </sheetData>
      <sheetData sheetId="7082">
        <row r="7">
          <cell r="AI7">
            <v>10000</v>
          </cell>
        </row>
      </sheetData>
      <sheetData sheetId="7083">
        <row r="7">
          <cell r="AI7">
            <v>10000</v>
          </cell>
        </row>
      </sheetData>
      <sheetData sheetId="7084">
        <row r="7">
          <cell r="AI7">
            <v>10000</v>
          </cell>
        </row>
      </sheetData>
      <sheetData sheetId="7085">
        <row r="7">
          <cell r="AI7">
            <v>10000</v>
          </cell>
        </row>
      </sheetData>
      <sheetData sheetId="7086">
        <row r="7">
          <cell r="AI7">
            <v>10000</v>
          </cell>
        </row>
      </sheetData>
      <sheetData sheetId="7087">
        <row r="7">
          <cell r="AI7">
            <v>10000</v>
          </cell>
        </row>
      </sheetData>
      <sheetData sheetId="7088">
        <row r="7">
          <cell r="AI7">
            <v>10000</v>
          </cell>
        </row>
      </sheetData>
      <sheetData sheetId="7089">
        <row r="7">
          <cell r="AI7">
            <v>10000</v>
          </cell>
        </row>
      </sheetData>
      <sheetData sheetId="7090">
        <row r="7">
          <cell r="AI7">
            <v>10000</v>
          </cell>
        </row>
      </sheetData>
      <sheetData sheetId="7091">
        <row r="7">
          <cell r="AI7">
            <v>10000</v>
          </cell>
        </row>
      </sheetData>
      <sheetData sheetId="7092">
        <row r="7">
          <cell r="AI7">
            <v>10000</v>
          </cell>
        </row>
      </sheetData>
      <sheetData sheetId="7093">
        <row r="7">
          <cell r="AI7">
            <v>10000</v>
          </cell>
        </row>
      </sheetData>
      <sheetData sheetId="7094">
        <row r="7">
          <cell r="AI7">
            <v>10000</v>
          </cell>
        </row>
      </sheetData>
      <sheetData sheetId="7095">
        <row r="7">
          <cell r="AI7">
            <v>10000</v>
          </cell>
        </row>
      </sheetData>
      <sheetData sheetId="7096">
        <row r="7">
          <cell r="AI7">
            <v>10000</v>
          </cell>
        </row>
      </sheetData>
      <sheetData sheetId="7097">
        <row r="7">
          <cell r="AI7">
            <v>10000</v>
          </cell>
        </row>
      </sheetData>
      <sheetData sheetId="7098">
        <row r="7">
          <cell r="AI7">
            <v>10000</v>
          </cell>
        </row>
      </sheetData>
      <sheetData sheetId="7099">
        <row r="7">
          <cell r="AI7">
            <v>10000</v>
          </cell>
        </row>
      </sheetData>
      <sheetData sheetId="7100">
        <row r="7">
          <cell r="AI7">
            <v>10000</v>
          </cell>
        </row>
      </sheetData>
      <sheetData sheetId="7101">
        <row r="7">
          <cell r="AI7">
            <v>10000</v>
          </cell>
        </row>
      </sheetData>
      <sheetData sheetId="7102">
        <row r="7">
          <cell r="AI7">
            <v>10000</v>
          </cell>
        </row>
      </sheetData>
      <sheetData sheetId="7103">
        <row r="7">
          <cell r="AI7">
            <v>10000</v>
          </cell>
        </row>
      </sheetData>
      <sheetData sheetId="7104">
        <row r="7">
          <cell r="AI7">
            <v>10000</v>
          </cell>
        </row>
      </sheetData>
      <sheetData sheetId="7105">
        <row r="7">
          <cell r="AI7">
            <v>10000</v>
          </cell>
        </row>
      </sheetData>
      <sheetData sheetId="7106">
        <row r="7">
          <cell r="AI7">
            <v>10000</v>
          </cell>
        </row>
      </sheetData>
      <sheetData sheetId="7107">
        <row r="7">
          <cell r="AI7">
            <v>10000</v>
          </cell>
        </row>
      </sheetData>
      <sheetData sheetId="7108">
        <row r="7">
          <cell r="AI7">
            <v>10000</v>
          </cell>
        </row>
      </sheetData>
      <sheetData sheetId="7109">
        <row r="7">
          <cell r="AI7">
            <v>10000</v>
          </cell>
        </row>
      </sheetData>
      <sheetData sheetId="7110">
        <row r="7">
          <cell r="AI7">
            <v>10000</v>
          </cell>
        </row>
      </sheetData>
      <sheetData sheetId="7111">
        <row r="7">
          <cell r="AI7">
            <v>10000</v>
          </cell>
        </row>
      </sheetData>
      <sheetData sheetId="7112">
        <row r="7">
          <cell r="AI7">
            <v>10000</v>
          </cell>
        </row>
      </sheetData>
      <sheetData sheetId="7113">
        <row r="7">
          <cell r="AI7">
            <v>10000</v>
          </cell>
        </row>
      </sheetData>
      <sheetData sheetId="7114">
        <row r="7">
          <cell r="AI7">
            <v>10000</v>
          </cell>
        </row>
      </sheetData>
      <sheetData sheetId="7115">
        <row r="7">
          <cell r="AI7">
            <v>10000</v>
          </cell>
        </row>
      </sheetData>
      <sheetData sheetId="7116">
        <row r="7">
          <cell r="AI7">
            <v>10000</v>
          </cell>
        </row>
      </sheetData>
      <sheetData sheetId="7117">
        <row r="7">
          <cell r="AI7">
            <v>10000</v>
          </cell>
        </row>
      </sheetData>
      <sheetData sheetId="7118">
        <row r="7">
          <cell r="AI7">
            <v>10000</v>
          </cell>
        </row>
      </sheetData>
      <sheetData sheetId="7119">
        <row r="7">
          <cell r="AI7">
            <v>10000</v>
          </cell>
        </row>
      </sheetData>
      <sheetData sheetId="7120">
        <row r="7">
          <cell r="AI7">
            <v>10000</v>
          </cell>
        </row>
      </sheetData>
      <sheetData sheetId="7121">
        <row r="7">
          <cell r="AI7">
            <v>10000</v>
          </cell>
        </row>
      </sheetData>
      <sheetData sheetId="7122">
        <row r="7">
          <cell r="AI7">
            <v>10000</v>
          </cell>
        </row>
      </sheetData>
      <sheetData sheetId="7123">
        <row r="7">
          <cell r="AI7">
            <v>10000</v>
          </cell>
        </row>
      </sheetData>
      <sheetData sheetId="7124">
        <row r="7">
          <cell r="AI7">
            <v>10000</v>
          </cell>
        </row>
      </sheetData>
      <sheetData sheetId="7125">
        <row r="7">
          <cell r="AI7">
            <v>10000</v>
          </cell>
        </row>
      </sheetData>
      <sheetData sheetId="7126">
        <row r="7">
          <cell r="AI7">
            <v>10000</v>
          </cell>
        </row>
      </sheetData>
      <sheetData sheetId="7127">
        <row r="7">
          <cell r="AI7">
            <v>10000</v>
          </cell>
        </row>
      </sheetData>
      <sheetData sheetId="7128">
        <row r="7">
          <cell r="AI7">
            <v>10000</v>
          </cell>
        </row>
      </sheetData>
      <sheetData sheetId="7129">
        <row r="7">
          <cell r="AI7">
            <v>10000</v>
          </cell>
        </row>
      </sheetData>
      <sheetData sheetId="7130">
        <row r="7">
          <cell r="AI7">
            <v>10000</v>
          </cell>
        </row>
      </sheetData>
      <sheetData sheetId="7131">
        <row r="7">
          <cell r="AI7">
            <v>10000</v>
          </cell>
        </row>
      </sheetData>
      <sheetData sheetId="7132">
        <row r="7">
          <cell r="AI7">
            <v>10000</v>
          </cell>
        </row>
      </sheetData>
      <sheetData sheetId="7133">
        <row r="7">
          <cell r="AI7">
            <v>10000</v>
          </cell>
        </row>
      </sheetData>
      <sheetData sheetId="7134">
        <row r="7">
          <cell r="AI7">
            <v>10000</v>
          </cell>
        </row>
      </sheetData>
      <sheetData sheetId="7135">
        <row r="7">
          <cell r="AI7">
            <v>10000</v>
          </cell>
        </row>
      </sheetData>
      <sheetData sheetId="7136">
        <row r="7">
          <cell r="AI7">
            <v>10000</v>
          </cell>
        </row>
      </sheetData>
      <sheetData sheetId="7137">
        <row r="7">
          <cell r="AI7">
            <v>10000</v>
          </cell>
        </row>
      </sheetData>
      <sheetData sheetId="7138">
        <row r="7">
          <cell r="AI7">
            <v>10000</v>
          </cell>
        </row>
      </sheetData>
      <sheetData sheetId="7139">
        <row r="7">
          <cell r="AI7">
            <v>10000</v>
          </cell>
        </row>
      </sheetData>
      <sheetData sheetId="7140">
        <row r="7">
          <cell r="AI7">
            <v>10000</v>
          </cell>
        </row>
      </sheetData>
      <sheetData sheetId="7141">
        <row r="7">
          <cell r="AI7">
            <v>10000</v>
          </cell>
        </row>
      </sheetData>
      <sheetData sheetId="7142">
        <row r="7">
          <cell r="AI7">
            <v>10000</v>
          </cell>
        </row>
      </sheetData>
      <sheetData sheetId="7143">
        <row r="7">
          <cell r="AI7">
            <v>10000</v>
          </cell>
        </row>
      </sheetData>
      <sheetData sheetId="7144">
        <row r="7">
          <cell r="AI7">
            <v>10000</v>
          </cell>
        </row>
      </sheetData>
      <sheetData sheetId="7145">
        <row r="7">
          <cell r="AI7">
            <v>10000</v>
          </cell>
        </row>
      </sheetData>
      <sheetData sheetId="7146">
        <row r="7">
          <cell r="AI7">
            <v>10000</v>
          </cell>
        </row>
      </sheetData>
      <sheetData sheetId="7147">
        <row r="7">
          <cell r="AI7">
            <v>10000</v>
          </cell>
        </row>
      </sheetData>
      <sheetData sheetId="7148">
        <row r="7">
          <cell r="AI7">
            <v>10000</v>
          </cell>
        </row>
      </sheetData>
      <sheetData sheetId="7149">
        <row r="7">
          <cell r="AI7">
            <v>10000</v>
          </cell>
        </row>
      </sheetData>
      <sheetData sheetId="7150">
        <row r="7">
          <cell r="AI7">
            <v>10000</v>
          </cell>
        </row>
      </sheetData>
      <sheetData sheetId="7151">
        <row r="7">
          <cell r="AI7">
            <v>10000</v>
          </cell>
        </row>
      </sheetData>
      <sheetData sheetId="7152">
        <row r="7">
          <cell r="AI7">
            <v>10000</v>
          </cell>
        </row>
      </sheetData>
      <sheetData sheetId="7153">
        <row r="7">
          <cell r="AI7">
            <v>10000</v>
          </cell>
        </row>
      </sheetData>
      <sheetData sheetId="7154">
        <row r="7">
          <cell r="AI7">
            <v>10000</v>
          </cell>
        </row>
      </sheetData>
      <sheetData sheetId="7155">
        <row r="7">
          <cell r="AI7">
            <v>10000</v>
          </cell>
        </row>
      </sheetData>
      <sheetData sheetId="7156">
        <row r="7">
          <cell r="AI7">
            <v>10000</v>
          </cell>
        </row>
      </sheetData>
      <sheetData sheetId="7157">
        <row r="7">
          <cell r="AI7">
            <v>10000</v>
          </cell>
        </row>
      </sheetData>
      <sheetData sheetId="7158">
        <row r="7">
          <cell r="AI7">
            <v>10000</v>
          </cell>
        </row>
      </sheetData>
      <sheetData sheetId="7159">
        <row r="7">
          <cell r="AI7">
            <v>10000</v>
          </cell>
        </row>
      </sheetData>
      <sheetData sheetId="7160">
        <row r="7">
          <cell r="AI7">
            <v>10000</v>
          </cell>
        </row>
      </sheetData>
      <sheetData sheetId="7161">
        <row r="7">
          <cell r="AI7">
            <v>10000</v>
          </cell>
        </row>
      </sheetData>
      <sheetData sheetId="7162">
        <row r="7">
          <cell r="AI7">
            <v>10000</v>
          </cell>
        </row>
      </sheetData>
      <sheetData sheetId="7163">
        <row r="7">
          <cell r="AI7">
            <v>10000</v>
          </cell>
        </row>
      </sheetData>
      <sheetData sheetId="7164">
        <row r="7">
          <cell r="AI7">
            <v>10000</v>
          </cell>
        </row>
      </sheetData>
      <sheetData sheetId="7165">
        <row r="7">
          <cell r="AI7">
            <v>10000</v>
          </cell>
        </row>
      </sheetData>
      <sheetData sheetId="7166">
        <row r="7">
          <cell r="AI7">
            <v>10000</v>
          </cell>
        </row>
      </sheetData>
      <sheetData sheetId="7167">
        <row r="7">
          <cell r="AI7">
            <v>10000</v>
          </cell>
        </row>
      </sheetData>
      <sheetData sheetId="7168">
        <row r="7">
          <cell r="AI7">
            <v>10000</v>
          </cell>
        </row>
      </sheetData>
      <sheetData sheetId="7169">
        <row r="7">
          <cell r="AI7">
            <v>10000</v>
          </cell>
        </row>
      </sheetData>
      <sheetData sheetId="7170">
        <row r="7">
          <cell r="AI7">
            <v>10000</v>
          </cell>
        </row>
      </sheetData>
      <sheetData sheetId="7171">
        <row r="7">
          <cell r="AI7">
            <v>10000</v>
          </cell>
        </row>
      </sheetData>
      <sheetData sheetId="7172">
        <row r="7">
          <cell r="AI7">
            <v>10000</v>
          </cell>
        </row>
      </sheetData>
      <sheetData sheetId="7173">
        <row r="7">
          <cell r="AI7">
            <v>10000</v>
          </cell>
        </row>
      </sheetData>
      <sheetData sheetId="7174">
        <row r="7">
          <cell r="AI7">
            <v>10000</v>
          </cell>
        </row>
      </sheetData>
      <sheetData sheetId="7175">
        <row r="7">
          <cell r="AI7">
            <v>10000</v>
          </cell>
        </row>
      </sheetData>
      <sheetData sheetId="7176">
        <row r="7">
          <cell r="AI7">
            <v>10000</v>
          </cell>
        </row>
      </sheetData>
      <sheetData sheetId="7177">
        <row r="7">
          <cell r="AI7">
            <v>10000</v>
          </cell>
        </row>
      </sheetData>
      <sheetData sheetId="7178">
        <row r="7">
          <cell r="AI7">
            <v>10000</v>
          </cell>
        </row>
      </sheetData>
      <sheetData sheetId="7179">
        <row r="7">
          <cell r="AI7">
            <v>10000</v>
          </cell>
        </row>
      </sheetData>
      <sheetData sheetId="7180">
        <row r="7">
          <cell r="AI7">
            <v>10000</v>
          </cell>
        </row>
      </sheetData>
      <sheetData sheetId="7181">
        <row r="7">
          <cell r="AI7">
            <v>10000</v>
          </cell>
        </row>
      </sheetData>
      <sheetData sheetId="7182">
        <row r="7">
          <cell r="AI7">
            <v>10000</v>
          </cell>
        </row>
      </sheetData>
      <sheetData sheetId="7183">
        <row r="7">
          <cell r="AI7">
            <v>10000</v>
          </cell>
        </row>
      </sheetData>
      <sheetData sheetId="7184">
        <row r="7">
          <cell r="AI7">
            <v>10000</v>
          </cell>
        </row>
      </sheetData>
      <sheetData sheetId="7185">
        <row r="7">
          <cell r="AI7">
            <v>10000</v>
          </cell>
        </row>
      </sheetData>
      <sheetData sheetId="7186">
        <row r="7">
          <cell r="AI7">
            <v>10000</v>
          </cell>
        </row>
      </sheetData>
      <sheetData sheetId="7187">
        <row r="7">
          <cell r="AI7">
            <v>10000</v>
          </cell>
        </row>
      </sheetData>
      <sheetData sheetId="7188">
        <row r="7">
          <cell r="AI7">
            <v>10000</v>
          </cell>
        </row>
      </sheetData>
      <sheetData sheetId="7189">
        <row r="7">
          <cell r="AI7">
            <v>10000</v>
          </cell>
        </row>
      </sheetData>
      <sheetData sheetId="7190">
        <row r="7">
          <cell r="AI7">
            <v>10000</v>
          </cell>
        </row>
      </sheetData>
      <sheetData sheetId="7191">
        <row r="7">
          <cell r="AI7">
            <v>10000</v>
          </cell>
        </row>
      </sheetData>
      <sheetData sheetId="7192">
        <row r="7">
          <cell r="AI7">
            <v>10000</v>
          </cell>
        </row>
      </sheetData>
      <sheetData sheetId="7193">
        <row r="7">
          <cell r="AI7">
            <v>10000</v>
          </cell>
        </row>
      </sheetData>
      <sheetData sheetId="7194">
        <row r="7">
          <cell r="AI7">
            <v>10000</v>
          </cell>
        </row>
      </sheetData>
      <sheetData sheetId="7195">
        <row r="7">
          <cell r="AI7">
            <v>10000</v>
          </cell>
        </row>
      </sheetData>
      <sheetData sheetId="7196">
        <row r="7">
          <cell r="AI7">
            <v>10000</v>
          </cell>
        </row>
      </sheetData>
      <sheetData sheetId="7197">
        <row r="7">
          <cell r="AI7">
            <v>10000</v>
          </cell>
        </row>
      </sheetData>
      <sheetData sheetId="7198">
        <row r="7">
          <cell r="AI7">
            <v>10000</v>
          </cell>
        </row>
      </sheetData>
      <sheetData sheetId="7199">
        <row r="7">
          <cell r="AI7">
            <v>10000</v>
          </cell>
        </row>
      </sheetData>
      <sheetData sheetId="7200">
        <row r="7">
          <cell r="AI7">
            <v>10000</v>
          </cell>
        </row>
      </sheetData>
      <sheetData sheetId="7201">
        <row r="7">
          <cell r="AI7">
            <v>10000</v>
          </cell>
        </row>
      </sheetData>
      <sheetData sheetId="7202">
        <row r="7">
          <cell r="AI7">
            <v>10000</v>
          </cell>
        </row>
      </sheetData>
      <sheetData sheetId="7203">
        <row r="7">
          <cell r="AI7">
            <v>10000</v>
          </cell>
        </row>
      </sheetData>
      <sheetData sheetId="7204">
        <row r="7">
          <cell r="AI7">
            <v>10000</v>
          </cell>
        </row>
      </sheetData>
      <sheetData sheetId="7205">
        <row r="7">
          <cell r="AI7">
            <v>10000</v>
          </cell>
        </row>
      </sheetData>
      <sheetData sheetId="7206">
        <row r="7">
          <cell r="AI7">
            <v>10000</v>
          </cell>
        </row>
      </sheetData>
      <sheetData sheetId="7207">
        <row r="7">
          <cell r="AI7">
            <v>10000</v>
          </cell>
        </row>
      </sheetData>
      <sheetData sheetId="7208">
        <row r="7">
          <cell r="AI7">
            <v>10000</v>
          </cell>
        </row>
      </sheetData>
      <sheetData sheetId="7209">
        <row r="7">
          <cell r="AI7">
            <v>10000</v>
          </cell>
        </row>
      </sheetData>
      <sheetData sheetId="7210">
        <row r="7">
          <cell r="AI7">
            <v>10000</v>
          </cell>
        </row>
      </sheetData>
      <sheetData sheetId="7211">
        <row r="7">
          <cell r="AI7">
            <v>10000</v>
          </cell>
        </row>
      </sheetData>
      <sheetData sheetId="7212">
        <row r="7">
          <cell r="AI7">
            <v>10000</v>
          </cell>
        </row>
      </sheetData>
      <sheetData sheetId="7213">
        <row r="7">
          <cell r="AI7">
            <v>10000</v>
          </cell>
        </row>
      </sheetData>
      <sheetData sheetId="7214">
        <row r="7">
          <cell r="AI7">
            <v>10000</v>
          </cell>
        </row>
      </sheetData>
      <sheetData sheetId="7215">
        <row r="7">
          <cell r="AI7">
            <v>10000</v>
          </cell>
        </row>
      </sheetData>
      <sheetData sheetId="7216">
        <row r="7">
          <cell r="AI7">
            <v>10000</v>
          </cell>
        </row>
      </sheetData>
      <sheetData sheetId="7217">
        <row r="7">
          <cell r="AI7">
            <v>10000</v>
          </cell>
        </row>
      </sheetData>
      <sheetData sheetId="7218">
        <row r="7">
          <cell r="AI7">
            <v>10000</v>
          </cell>
        </row>
      </sheetData>
      <sheetData sheetId="7219">
        <row r="7">
          <cell r="AI7">
            <v>10000</v>
          </cell>
        </row>
      </sheetData>
      <sheetData sheetId="7220">
        <row r="7">
          <cell r="AI7">
            <v>10000</v>
          </cell>
        </row>
      </sheetData>
      <sheetData sheetId="7221">
        <row r="7">
          <cell r="AI7">
            <v>10000</v>
          </cell>
        </row>
      </sheetData>
      <sheetData sheetId="7222">
        <row r="7">
          <cell r="AI7">
            <v>10000</v>
          </cell>
        </row>
      </sheetData>
      <sheetData sheetId="7223">
        <row r="7">
          <cell r="AI7">
            <v>10000</v>
          </cell>
        </row>
      </sheetData>
      <sheetData sheetId="7224">
        <row r="7">
          <cell r="AI7">
            <v>10000</v>
          </cell>
        </row>
      </sheetData>
      <sheetData sheetId="7225">
        <row r="7">
          <cell r="AI7">
            <v>10000</v>
          </cell>
        </row>
      </sheetData>
      <sheetData sheetId="7226">
        <row r="7">
          <cell r="AI7">
            <v>10000</v>
          </cell>
        </row>
      </sheetData>
      <sheetData sheetId="7227">
        <row r="7">
          <cell r="AI7">
            <v>10000</v>
          </cell>
        </row>
      </sheetData>
      <sheetData sheetId="7228">
        <row r="7">
          <cell r="AI7">
            <v>10000</v>
          </cell>
        </row>
      </sheetData>
      <sheetData sheetId="7229">
        <row r="7">
          <cell r="AI7">
            <v>10000</v>
          </cell>
        </row>
      </sheetData>
      <sheetData sheetId="7230">
        <row r="7">
          <cell r="AI7">
            <v>10000</v>
          </cell>
        </row>
      </sheetData>
      <sheetData sheetId="7231">
        <row r="7">
          <cell r="AI7">
            <v>10000</v>
          </cell>
        </row>
      </sheetData>
      <sheetData sheetId="7232">
        <row r="7">
          <cell r="AI7">
            <v>10000</v>
          </cell>
        </row>
      </sheetData>
      <sheetData sheetId="7233">
        <row r="7">
          <cell r="AI7">
            <v>10000</v>
          </cell>
        </row>
      </sheetData>
      <sheetData sheetId="7234">
        <row r="7">
          <cell r="AI7">
            <v>10000</v>
          </cell>
        </row>
      </sheetData>
      <sheetData sheetId="7235">
        <row r="7">
          <cell r="AI7">
            <v>10000</v>
          </cell>
        </row>
      </sheetData>
      <sheetData sheetId="7236">
        <row r="7">
          <cell r="AI7">
            <v>10000</v>
          </cell>
        </row>
      </sheetData>
      <sheetData sheetId="7237">
        <row r="7">
          <cell r="AI7">
            <v>10000</v>
          </cell>
        </row>
      </sheetData>
      <sheetData sheetId="7238">
        <row r="7">
          <cell r="AI7">
            <v>10000</v>
          </cell>
        </row>
      </sheetData>
      <sheetData sheetId="7239">
        <row r="7">
          <cell r="AI7">
            <v>10000</v>
          </cell>
        </row>
      </sheetData>
      <sheetData sheetId="7240">
        <row r="7">
          <cell r="AI7">
            <v>10000</v>
          </cell>
        </row>
      </sheetData>
      <sheetData sheetId="7241">
        <row r="7">
          <cell r="AI7">
            <v>10000</v>
          </cell>
        </row>
      </sheetData>
      <sheetData sheetId="7242">
        <row r="7">
          <cell r="AI7">
            <v>10000</v>
          </cell>
        </row>
      </sheetData>
      <sheetData sheetId="7243">
        <row r="7">
          <cell r="AI7">
            <v>10000</v>
          </cell>
        </row>
      </sheetData>
      <sheetData sheetId="7244">
        <row r="7">
          <cell r="AI7">
            <v>10000</v>
          </cell>
        </row>
      </sheetData>
      <sheetData sheetId="7245">
        <row r="7">
          <cell r="AI7">
            <v>10000</v>
          </cell>
        </row>
      </sheetData>
      <sheetData sheetId="7246">
        <row r="7">
          <cell r="AI7">
            <v>10000</v>
          </cell>
        </row>
      </sheetData>
      <sheetData sheetId="7247">
        <row r="7">
          <cell r="AI7">
            <v>10000</v>
          </cell>
        </row>
      </sheetData>
      <sheetData sheetId="7248">
        <row r="7">
          <cell r="AI7">
            <v>10000</v>
          </cell>
        </row>
      </sheetData>
      <sheetData sheetId="7249">
        <row r="7">
          <cell r="AI7">
            <v>10000</v>
          </cell>
        </row>
      </sheetData>
      <sheetData sheetId="7250">
        <row r="7">
          <cell r="AI7">
            <v>10000</v>
          </cell>
        </row>
      </sheetData>
      <sheetData sheetId="7251">
        <row r="7">
          <cell r="AI7">
            <v>10000</v>
          </cell>
        </row>
      </sheetData>
      <sheetData sheetId="7252">
        <row r="7">
          <cell r="AI7">
            <v>10000</v>
          </cell>
        </row>
      </sheetData>
      <sheetData sheetId="7253">
        <row r="7">
          <cell r="AI7">
            <v>10000</v>
          </cell>
        </row>
      </sheetData>
      <sheetData sheetId="7254">
        <row r="7">
          <cell r="AI7">
            <v>10000</v>
          </cell>
        </row>
      </sheetData>
      <sheetData sheetId="7255">
        <row r="7">
          <cell r="AI7">
            <v>10000</v>
          </cell>
        </row>
      </sheetData>
      <sheetData sheetId="7256">
        <row r="7">
          <cell r="AI7">
            <v>10000</v>
          </cell>
        </row>
      </sheetData>
      <sheetData sheetId="7257">
        <row r="7">
          <cell r="AI7">
            <v>10000</v>
          </cell>
        </row>
      </sheetData>
      <sheetData sheetId="7258">
        <row r="7">
          <cell r="AI7">
            <v>10000</v>
          </cell>
        </row>
      </sheetData>
      <sheetData sheetId="7259">
        <row r="7">
          <cell r="AI7">
            <v>10000</v>
          </cell>
        </row>
      </sheetData>
      <sheetData sheetId="7260">
        <row r="7">
          <cell r="AI7">
            <v>10000</v>
          </cell>
        </row>
      </sheetData>
      <sheetData sheetId="7261">
        <row r="7">
          <cell r="AI7">
            <v>10000</v>
          </cell>
        </row>
      </sheetData>
      <sheetData sheetId="7262">
        <row r="7">
          <cell r="AI7">
            <v>10000</v>
          </cell>
        </row>
      </sheetData>
      <sheetData sheetId="7263">
        <row r="7">
          <cell r="AI7">
            <v>10000</v>
          </cell>
        </row>
      </sheetData>
      <sheetData sheetId="7264">
        <row r="7">
          <cell r="AI7">
            <v>10000</v>
          </cell>
        </row>
      </sheetData>
      <sheetData sheetId="7265">
        <row r="7">
          <cell r="AI7">
            <v>10000</v>
          </cell>
        </row>
      </sheetData>
      <sheetData sheetId="7266">
        <row r="7">
          <cell r="AI7">
            <v>10000</v>
          </cell>
        </row>
      </sheetData>
      <sheetData sheetId="7267">
        <row r="7">
          <cell r="AI7">
            <v>10000</v>
          </cell>
        </row>
      </sheetData>
      <sheetData sheetId="7268">
        <row r="7">
          <cell r="AI7">
            <v>10000</v>
          </cell>
        </row>
      </sheetData>
      <sheetData sheetId="7269">
        <row r="7">
          <cell r="AI7">
            <v>10000</v>
          </cell>
        </row>
      </sheetData>
      <sheetData sheetId="7270">
        <row r="7">
          <cell r="AI7">
            <v>10000</v>
          </cell>
        </row>
      </sheetData>
      <sheetData sheetId="7271">
        <row r="7">
          <cell r="AI7">
            <v>10000</v>
          </cell>
        </row>
      </sheetData>
      <sheetData sheetId="7272">
        <row r="7">
          <cell r="AI7">
            <v>10000</v>
          </cell>
        </row>
      </sheetData>
      <sheetData sheetId="7273">
        <row r="7">
          <cell r="AI7">
            <v>10000</v>
          </cell>
        </row>
      </sheetData>
      <sheetData sheetId="7274">
        <row r="7">
          <cell r="AI7">
            <v>10000</v>
          </cell>
        </row>
      </sheetData>
      <sheetData sheetId="7275">
        <row r="7">
          <cell r="AI7">
            <v>10000</v>
          </cell>
        </row>
      </sheetData>
      <sheetData sheetId="7276">
        <row r="7">
          <cell r="AI7">
            <v>10000</v>
          </cell>
        </row>
      </sheetData>
      <sheetData sheetId="7277">
        <row r="7">
          <cell r="AI7">
            <v>10000</v>
          </cell>
        </row>
      </sheetData>
      <sheetData sheetId="7278">
        <row r="7">
          <cell r="AI7">
            <v>10000</v>
          </cell>
        </row>
      </sheetData>
      <sheetData sheetId="7279">
        <row r="7">
          <cell r="AI7">
            <v>10000</v>
          </cell>
        </row>
      </sheetData>
      <sheetData sheetId="7280">
        <row r="7">
          <cell r="AI7">
            <v>10000</v>
          </cell>
        </row>
      </sheetData>
      <sheetData sheetId="7281">
        <row r="7">
          <cell r="AI7">
            <v>10000</v>
          </cell>
        </row>
      </sheetData>
      <sheetData sheetId="7282">
        <row r="7">
          <cell r="AI7">
            <v>10000</v>
          </cell>
        </row>
      </sheetData>
      <sheetData sheetId="7283">
        <row r="7">
          <cell r="AI7">
            <v>10000</v>
          </cell>
        </row>
      </sheetData>
      <sheetData sheetId="7284">
        <row r="7">
          <cell r="AI7">
            <v>10000</v>
          </cell>
        </row>
      </sheetData>
      <sheetData sheetId="7285">
        <row r="7">
          <cell r="AI7">
            <v>10000</v>
          </cell>
        </row>
      </sheetData>
      <sheetData sheetId="7286">
        <row r="7">
          <cell r="AI7">
            <v>10000</v>
          </cell>
        </row>
      </sheetData>
      <sheetData sheetId="7287">
        <row r="7">
          <cell r="AI7">
            <v>10000</v>
          </cell>
        </row>
      </sheetData>
      <sheetData sheetId="7288">
        <row r="7">
          <cell r="AI7">
            <v>10000</v>
          </cell>
        </row>
      </sheetData>
      <sheetData sheetId="7289">
        <row r="7">
          <cell r="AI7">
            <v>10000</v>
          </cell>
        </row>
      </sheetData>
      <sheetData sheetId="7290">
        <row r="7">
          <cell r="AI7">
            <v>10000</v>
          </cell>
        </row>
      </sheetData>
      <sheetData sheetId="7291">
        <row r="7">
          <cell r="AI7">
            <v>10000</v>
          </cell>
        </row>
      </sheetData>
      <sheetData sheetId="7292">
        <row r="7">
          <cell r="AI7">
            <v>10000</v>
          </cell>
        </row>
      </sheetData>
      <sheetData sheetId="7293">
        <row r="7">
          <cell r="AI7">
            <v>10000</v>
          </cell>
        </row>
      </sheetData>
      <sheetData sheetId="7294">
        <row r="7">
          <cell r="AI7">
            <v>10000</v>
          </cell>
        </row>
      </sheetData>
      <sheetData sheetId="7295">
        <row r="7">
          <cell r="AI7">
            <v>10000</v>
          </cell>
        </row>
      </sheetData>
      <sheetData sheetId="7296">
        <row r="7">
          <cell r="AI7">
            <v>10000</v>
          </cell>
        </row>
      </sheetData>
      <sheetData sheetId="7297">
        <row r="7">
          <cell r="AI7">
            <v>10000</v>
          </cell>
        </row>
      </sheetData>
      <sheetData sheetId="7298">
        <row r="7">
          <cell r="AI7">
            <v>10000</v>
          </cell>
        </row>
      </sheetData>
      <sheetData sheetId="7299">
        <row r="7">
          <cell r="AI7">
            <v>10000</v>
          </cell>
        </row>
      </sheetData>
      <sheetData sheetId="7300">
        <row r="7">
          <cell r="AI7">
            <v>10000</v>
          </cell>
        </row>
      </sheetData>
      <sheetData sheetId="7301">
        <row r="7">
          <cell r="AI7">
            <v>10000</v>
          </cell>
        </row>
      </sheetData>
      <sheetData sheetId="7302">
        <row r="7">
          <cell r="AI7">
            <v>10000</v>
          </cell>
        </row>
      </sheetData>
      <sheetData sheetId="7303">
        <row r="7">
          <cell r="AI7">
            <v>10000</v>
          </cell>
        </row>
      </sheetData>
      <sheetData sheetId="7304">
        <row r="7">
          <cell r="AI7">
            <v>10000</v>
          </cell>
        </row>
      </sheetData>
      <sheetData sheetId="7305">
        <row r="7">
          <cell r="AI7">
            <v>10000</v>
          </cell>
        </row>
      </sheetData>
      <sheetData sheetId="7306">
        <row r="7">
          <cell r="AI7">
            <v>10000</v>
          </cell>
        </row>
      </sheetData>
      <sheetData sheetId="7307">
        <row r="7">
          <cell r="AI7">
            <v>10000</v>
          </cell>
        </row>
      </sheetData>
      <sheetData sheetId="7308">
        <row r="7">
          <cell r="AI7">
            <v>10000</v>
          </cell>
        </row>
      </sheetData>
      <sheetData sheetId="7309">
        <row r="7">
          <cell r="AI7">
            <v>10000</v>
          </cell>
        </row>
      </sheetData>
      <sheetData sheetId="7310">
        <row r="7">
          <cell r="AI7">
            <v>10000</v>
          </cell>
        </row>
      </sheetData>
      <sheetData sheetId="7311">
        <row r="7">
          <cell r="AI7">
            <v>10000</v>
          </cell>
        </row>
      </sheetData>
      <sheetData sheetId="7312">
        <row r="7">
          <cell r="AI7">
            <v>10000</v>
          </cell>
        </row>
      </sheetData>
      <sheetData sheetId="7313">
        <row r="7">
          <cell r="AI7">
            <v>10000</v>
          </cell>
        </row>
      </sheetData>
      <sheetData sheetId="7314">
        <row r="7">
          <cell r="AI7">
            <v>10000</v>
          </cell>
        </row>
      </sheetData>
      <sheetData sheetId="7315">
        <row r="7">
          <cell r="AI7">
            <v>10000</v>
          </cell>
        </row>
      </sheetData>
      <sheetData sheetId="7316">
        <row r="7">
          <cell r="AI7">
            <v>10000</v>
          </cell>
        </row>
      </sheetData>
      <sheetData sheetId="7317">
        <row r="7">
          <cell r="AI7">
            <v>10000</v>
          </cell>
        </row>
      </sheetData>
      <sheetData sheetId="7318">
        <row r="7">
          <cell r="AI7">
            <v>10000</v>
          </cell>
        </row>
      </sheetData>
      <sheetData sheetId="7319">
        <row r="7">
          <cell r="AI7">
            <v>10000</v>
          </cell>
        </row>
      </sheetData>
      <sheetData sheetId="7320">
        <row r="7">
          <cell r="AI7">
            <v>10000</v>
          </cell>
        </row>
      </sheetData>
      <sheetData sheetId="7321">
        <row r="7">
          <cell r="AI7">
            <v>10000</v>
          </cell>
        </row>
      </sheetData>
      <sheetData sheetId="7322">
        <row r="7">
          <cell r="AI7">
            <v>10000</v>
          </cell>
        </row>
      </sheetData>
      <sheetData sheetId="7323">
        <row r="7">
          <cell r="AI7">
            <v>10000</v>
          </cell>
        </row>
      </sheetData>
      <sheetData sheetId="7324">
        <row r="7">
          <cell r="AI7">
            <v>10000</v>
          </cell>
        </row>
      </sheetData>
      <sheetData sheetId="7325">
        <row r="7">
          <cell r="AI7">
            <v>10000</v>
          </cell>
        </row>
      </sheetData>
      <sheetData sheetId="7326">
        <row r="7">
          <cell r="AI7">
            <v>10000</v>
          </cell>
        </row>
      </sheetData>
      <sheetData sheetId="7327">
        <row r="7">
          <cell r="AI7">
            <v>10000</v>
          </cell>
        </row>
      </sheetData>
      <sheetData sheetId="7328">
        <row r="7">
          <cell r="AI7">
            <v>10000</v>
          </cell>
        </row>
      </sheetData>
      <sheetData sheetId="7329">
        <row r="7">
          <cell r="AI7">
            <v>10000</v>
          </cell>
        </row>
      </sheetData>
      <sheetData sheetId="7330">
        <row r="7">
          <cell r="AI7">
            <v>10000</v>
          </cell>
        </row>
      </sheetData>
      <sheetData sheetId="7331">
        <row r="7">
          <cell r="AI7">
            <v>10000</v>
          </cell>
        </row>
      </sheetData>
      <sheetData sheetId="7332">
        <row r="7">
          <cell r="AI7">
            <v>10000</v>
          </cell>
        </row>
      </sheetData>
      <sheetData sheetId="7333">
        <row r="7">
          <cell r="AI7">
            <v>10000</v>
          </cell>
        </row>
      </sheetData>
      <sheetData sheetId="7334">
        <row r="7">
          <cell r="AI7">
            <v>10000</v>
          </cell>
        </row>
      </sheetData>
      <sheetData sheetId="7335">
        <row r="7">
          <cell r="AI7">
            <v>10000</v>
          </cell>
        </row>
      </sheetData>
      <sheetData sheetId="7336">
        <row r="7">
          <cell r="AI7">
            <v>10000</v>
          </cell>
        </row>
      </sheetData>
      <sheetData sheetId="7337">
        <row r="7">
          <cell r="AI7">
            <v>10000</v>
          </cell>
        </row>
      </sheetData>
      <sheetData sheetId="7338">
        <row r="7">
          <cell r="AI7">
            <v>10000</v>
          </cell>
        </row>
      </sheetData>
      <sheetData sheetId="7339">
        <row r="7">
          <cell r="AI7">
            <v>10000</v>
          </cell>
        </row>
      </sheetData>
      <sheetData sheetId="7340">
        <row r="7">
          <cell r="AI7">
            <v>10000</v>
          </cell>
        </row>
      </sheetData>
      <sheetData sheetId="7341">
        <row r="7">
          <cell r="AI7">
            <v>10000</v>
          </cell>
        </row>
      </sheetData>
      <sheetData sheetId="7342">
        <row r="7">
          <cell r="AI7">
            <v>10000</v>
          </cell>
        </row>
      </sheetData>
      <sheetData sheetId="7343">
        <row r="7">
          <cell r="AI7">
            <v>10000</v>
          </cell>
        </row>
      </sheetData>
      <sheetData sheetId="7344">
        <row r="7">
          <cell r="AI7">
            <v>10000</v>
          </cell>
        </row>
      </sheetData>
      <sheetData sheetId="7345">
        <row r="7">
          <cell r="AI7">
            <v>10000</v>
          </cell>
        </row>
      </sheetData>
      <sheetData sheetId="7346">
        <row r="7">
          <cell r="AI7">
            <v>10000</v>
          </cell>
        </row>
      </sheetData>
      <sheetData sheetId="7347">
        <row r="7">
          <cell r="AI7">
            <v>10000</v>
          </cell>
        </row>
      </sheetData>
      <sheetData sheetId="7348">
        <row r="7">
          <cell r="AI7">
            <v>10000</v>
          </cell>
        </row>
      </sheetData>
      <sheetData sheetId="7349">
        <row r="7">
          <cell r="AI7">
            <v>10000</v>
          </cell>
        </row>
      </sheetData>
      <sheetData sheetId="7350">
        <row r="7">
          <cell r="AI7">
            <v>10000</v>
          </cell>
        </row>
      </sheetData>
      <sheetData sheetId="7351">
        <row r="7">
          <cell r="AI7">
            <v>10000</v>
          </cell>
        </row>
      </sheetData>
      <sheetData sheetId="7352">
        <row r="7">
          <cell r="AI7">
            <v>10000</v>
          </cell>
        </row>
      </sheetData>
      <sheetData sheetId="7353">
        <row r="7">
          <cell r="AI7">
            <v>10000</v>
          </cell>
        </row>
      </sheetData>
      <sheetData sheetId="7354">
        <row r="7">
          <cell r="AI7">
            <v>10000</v>
          </cell>
        </row>
      </sheetData>
      <sheetData sheetId="7355">
        <row r="7">
          <cell r="AI7">
            <v>10000</v>
          </cell>
        </row>
      </sheetData>
      <sheetData sheetId="7356">
        <row r="7">
          <cell r="AI7">
            <v>10000</v>
          </cell>
        </row>
      </sheetData>
      <sheetData sheetId="7357">
        <row r="7">
          <cell r="AI7">
            <v>10000</v>
          </cell>
        </row>
      </sheetData>
      <sheetData sheetId="7358">
        <row r="7">
          <cell r="AI7">
            <v>10000</v>
          </cell>
        </row>
      </sheetData>
      <sheetData sheetId="7359">
        <row r="7">
          <cell r="AI7">
            <v>10000</v>
          </cell>
        </row>
      </sheetData>
      <sheetData sheetId="7360">
        <row r="7">
          <cell r="AI7">
            <v>10000</v>
          </cell>
        </row>
      </sheetData>
      <sheetData sheetId="7361">
        <row r="7">
          <cell r="AI7">
            <v>10000</v>
          </cell>
        </row>
      </sheetData>
      <sheetData sheetId="7362">
        <row r="7">
          <cell r="AI7">
            <v>10000</v>
          </cell>
        </row>
      </sheetData>
      <sheetData sheetId="7363">
        <row r="7">
          <cell r="AI7">
            <v>10000</v>
          </cell>
        </row>
      </sheetData>
      <sheetData sheetId="7364">
        <row r="7">
          <cell r="AI7">
            <v>10000</v>
          </cell>
        </row>
      </sheetData>
      <sheetData sheetId="7365">
        <row r="7">
          <cell r="AI7">
            <v>10000</v>
          </cell>
        </row>
      </sheetData>
      <sheetData sheetId="7366">
        <row r="7">
          <cell r="AI7">
            <v>10000</v>
          </cell>
        </row>
      </sheetData>
      <sheetData sheetId="7367">
        <row r="7">
          <cell r="AI7">
            <v>10000</v>
          </cell>
        </row>
      </sheetData>
      <sheetData sheetId="7368">
        <row r="7">
          <cell r="AI7">
            <v>10000</v>
          </cell>
        </row>
      </sheetData>
      <sheetData sheetId="7369">
        <row r="7">
          <cell r="AI7">
            <v>10000</v>
          </cell>
        </row>
      </sheetData>
      <sheetData sheetId="7370">
        <row r="7">
          <cell r="AI7">
            <v>10000</v>
          </cell>
        </row>
      </sheetData>
      <sheetData sheetId="7371">
        <row r="7">
          <cell r="AI7">
            <v>10000</v>
          </cell>
        </row>
      </sheetData>
      <sheetData sheetId="7372">
        <row r="7">
          <cell r="AI7">
            <v>10000</v>
          </cell>
        </row>
      </sheetData>
      <sheetData sheetId="7373">
        <row r="7">
          <cell r="AI7">
            <v>10000</v>
          </cell>
        </row>
      </sheetData>
      <sheetData sheetId="7374">
        <row r="7">
          <cell r="AI7">
            <v>10000</v>
          </cell>
        </row>
      </sheetData>
      <sheetData sheetId="7375">
        <row r="7">
          <cell r="AI7">
            <v>10000</v>
          </cell>
        </row>
      </sheetData>
      <sheetData sheetId="7376">
        <row r="7">
          <cell r="AI7">
            <v>10000</v>
          </cell>
        </row>
      </sheetData>
      <sheetData sheetId="7377">
        <row r="7">
          <cell r="AI7">
            <v>10000</v>
          </cell>
        </row>
      </sheetData>
      <sheetData sheetId="7378">
        <row r="7">
          <cell r="AI7">
            <v>10000</v>
          </cell>
        </row>
      </sheetData>
      <sheetData sheetId="7379">
        <row r="7">
          <cell r="AI7">
            <v>10000</v>
          </cell>
        </row>
      </sheetData>
      <sheetData sheetId="7380">
        <row r="7">
          <cell r="AI7">
            <v>10000</v>
          </cell>
        </row>
      </sheetData>
      <sheetData sheetId="7381">
        <row r="7">
          <cell r="AI7">
            <v>10000</v>
          </cell>
        </row>
      </sheetData>
      <sheetData sheetId="7382">
        <row r="7">
          <cell r="AI7">
            <v>10000</v>
          </cell>
        </row>
      </sheetData>
      <sheetData sheetId="7383">
        <row r="7">
          <cell r="AI7">
            <v>10000</v>
          </cell>
        </row>
      </sheetData>
      <sheetData sheetId="7384">
        <row r="7">
          <cell r="AI7">
            <v>10000</v>
          </cell>
        </row>
      </sheetData>
      <sheetData sheetId="7385">
        <row r="7">
          <cell r="AI7">
            <v>10000</v>
          </cell>
        </row>
      </sheetData>
      <sheetData sheetId="7386">
        <row r="7">
          <cell r="AI7">
            <v>10000</v>
          </cell>
        </row>
      </sheetData>
      <sheetData sheetId="7387">
        <row r="7">
          <cell r="AI7">
            <v>10000</v>
          </cell>
        </row>
      </sheetData>
      <sheetData sheetId="7388">
        <row r="7">
          <cell r="AI7">
            <v>10000</v>
          </cell>
        </row>
      </sheetData>
      <sheetData sheetId="7389">
        <row r="7">
          <cell r="AI7">
            <v>10000</v>
          </cell>
        </row>
      </sheetData>
      <sheetData sheetId="7390">
        <row r="7">
          <cell r="AI7">
            <v>10000</v>
          </cell>
        </row>
      </sheetData>
      <sheetData sheetId="7391">
        <row r="7">
          <cell r="AI7">
            <v>10000</v>
          </cell>
        </row>
      </sheetData>
      <sheetData sheetId="7392">
        <row r="7">
          <cell r="AI7">
            <v>10000</v>
          </cell>
        </row>
      </sheetData>
      <sheetData sheetId="7393">
        <row r="7">
          <cell r="AI7">
            <v>10000</v>
          </cell>
        </row>
      </sheetData>
      <sheetData sheetId="7394">
        <row r="7">
          <cell r="AI7">
            <v>10000</v>
          </cell>
        </row>
      </sheetData>
      <sheetData sheetId="7395">
        <row r="7">
          <cell r="AI7">
            <v>10000</v>
          </cell>
        </row>
      </sheetData>
      <sheetData sheetId="7396">
        <row r="7">
          <cell r="AI7">
            <v>10000</v>
          </cell>
        </row>
      </sheetData>
      <sheetData sheetId="7397">
        <row r="7">
          <cell r="AI7">
            <v>10000</v>
          </cell>
        </row>
      </sheetData>
      <sheetData sheetId="7398">
        <row r="7">
          <cell r="AI7">
            <v>10000</v>
          </cell>
        </row>
      </sheetData>
      <sheetData sheetId="7399">
        <row r="7">
          <cell r="AI7">
            <v>10000</v>
          </cell>
        </row>
      </sheetData>
      <sheetData sheetId="7400">
        <row r="7">
          <cell r="AI7">
            <v>10000</v>
          </cell>
        </row>
      </sheetData>
      <sheetData sheetId="7401">
        <row r="7">
          <cell r="AI7">
            <v>10000</v>
          </cell>
        </row>
      </sheetData>
      <sheetData sheetId="7402">
        <row r="7">
          <cell r="AI7">
            <v>10000</v>
          </cell>
        </row>
      </sheetData>
      <sheetData sheetId="7403">
        <row r="7">
          <cell r="AI7">
            <v>10000</v>
          </cell>
        </row>
      </sheetData>
      <sheetData sheetId="7404">
        <row r="7">
          <cell r="AI7">
            <v>10000</v>
          </cell>
        </row>
      </sheetData>
      <sheetData sheetId="7405">
        <row r="7">
          <cell r="AI7">
            <v>10000</v>
          </cell>
        </row>
      </sheetData>
      <sheetData sheetId="7406">
        <row r="7">
          <cell r="AI7">
            <v>10000</v>
          </cell>
        </row>
      </sheetData>
      <sheetData sheetId="7407">
        <row r="7">
          <cell r="AI7">
            <v>10000</v>
          </cell>
        </row>
      </sheetData>
      <sheetData sheetId="7408">
        <row r="7">
          <cell r="AI7">
            <v>10000</v>
          </cell>
        </row>
      </sheetData>
      <sheetData sheetId="7409">
        <row r="7">
          <cell r="AI7">
            <v>10000</v>
          </cell>
        </row>
      </sheetData>
      <sheetData sheetId="7410">
        <row r="7">
          <cell r="AI7">
            <v>10000</v>
          </cell>
        </row>
      </sheetData>
      <sheetData sheetId="7411">
        <row r="7">
          <cell r="AI7">
            <v>10000</v>
          </cell>
        </row>
      </sheetData>
      <sheetData sheetId="7412">
        <row r="7">
          <cell r="AI7">
            <v>10000</v>
          </cell>
        </row>
      </sheetData>
      <sheetData sheetId="7413">
        <row r="7">
          <cell r="AI7">
            <v>10000</v>
          </cell>
        </row>
      </sheetData>
      <sheetData sheetId="7414">
        <row r="7">
          <cell r="AI7">
            <v>10000</v>
          </cell>
        </row>
      </sheetData>
      <sheetData sheetId="7415">
        <row r="7">
          <cell r="AI7">
            <v>10000</v>
          </cell>
        </row>
      </sheetData>
      <sheetData sheetId="7416">
        <row r="7">
          <cell r="AI7">
            <v>10000</v>
          </cell>
        </row>
      </sheetData>
      <sheetData sheetId="7417">
        <row r="7">
          <cell r="AI7">
            <v>10000</v>
          </cell>
        </row>
      </sheetData>
      <sheetData sheetId="7418">
        <row r="7">
          <cell r="AI7">
            <v>10000</v>
          </cell>
        </row>
      </sheetData>
      <sheetData sheetId="7419">
        <row r="7">
          <cell r="AI7">
            <v>10000</v>
          </cell>
        </row>
      </sheetData>
      <sheetData sheetId="7420">
        <row r="7">
          <cell r="AI7">
            <v>10000</v>
          </cell>
        </row>
      </sheetData>
      <sheetData sheetId="7421">
        <row r="7">
          <cell r="AI7">
            <v>10000</v>
          </cell>
        </row>
      </sheetData>
      <sheetData sheetId="7422">
        <row r="7">
          <cell r="AI7">
            <v>10000</v>
          </cell>
        </row>
      </sheetData>
      <sheetData sheetId="7423">
        <row r="7">
          <cell r="AI7">
            <v>10000</v>
          </cell>
        </row>
      </sheetData>
      <sheetData sheetId="7424">
        <row r="7">
          <cell r="AI7">
            <v>10000</v>
          </cell>
        </row>
      </sheetData>
      <sheetData sheetId="7425">
        <row r="7">
          <cell r="AI7">
            <v>10000</v>
          </cell>
        </row>
      </sheetData>
      <sheetData sheetId="7426">
        <row r="7">
          <cell r="AI7">
            <v>10000</v>
          </cell>
        </row>
      </sheetData>
      <sheetData sheetId="7427">
        <row r="7">
          <cell r="AI7">
            <v>10000</v>
          </cell>
        </row>
      </sheetData>
      <sheetData sheetId="7428">
        <row r="7">
          <cell r="AI7">
            <v>10000</v>
          </cell>
        </row>
      </sheetData>
      <sheetData sheetId="7429">
        <row r="7">
          <cell r="AI7">
            <v>10000</v>
          </cell>
        </row>
      </sheetData>
      <sheetData sheetId="7430">
        <row r="7">
          <cell r="AI7">
            <v>10000</v>
          </cell>
        </row>
      </sheetData>
      <sheetData sheetId="7431">
        <row r="7">
          <cell r="AI7">
            <v>10000</v>
          </cell>
        </row>
      </sheetData>
      <sheetData sheetId="7432">
        <row r="7">
          <cell r="AI7">
            <v>10000</v>
          </cell>
        </row>
      </sheetData>
      <sheetData sheetId="7433">
        <row r="7">
          <cell r="AI7">
            <v>10000</v>
          </cell>
        </row>
      </sheetData>
      <sheetData sheetId="7434">
        <row r="7">
          <cell r="AI7">
            <v>10000</v>
          </cell>
        </row>
      </sheetData>
      <sheetData sheetId="7435">
        <row r="7">
          <cell r="AI7">
            <v>10000</v>
          </cell>
        </row>
      </sheetData>
      <sheetData sheetId="7436">
        <row r="7">
          <cell r="AI7">
            <v>10000</v>
          </cell>
        </row>
      </sheetData>
      <sheetData sheetId="7437">
        <row r="7">
          <cell r="AI7">
            <v>10000</v>
          </cell>
        </row>
      </sheetData>
      <sheetData sheetId="7438">
        <row r="7">
          <cell r="AI7">
            <v>10000</v>
          </cell>
        </row>
      </sheetData>
      <sheetData sheetId="7439">
        <row r="7">
          <cell r="AI7">
            <v>10000</v>
          </cell>
        </row>
      </sheetData>
      <sheetData sheetId="7440">
        <row r="7">
          <cell r="AI7">
            <v>10000</v>
          </cell>
        </row>
      </sheetData>
      <sheetData sheetId="7441">
        <row r="7">
          <cell r="AI7">
            <v>10000</v>
          </cell>
        </row>
      </sheetData>
      <sheetData sheetId="7442">
        <row r="7">
          <cell r="AI7">
            <v>10000</v>
          </cell>
        </row>
      </sheetData>
      <sheetData sheetId="7443">
        <row r="7">
          <cell r="AI7">
            <v>10000</v>
          </cell>
        </row>
      </sheetData>
      <sheetData sheetId="7444">
        <row r="7">
          <cell r="AI7">
            <v>10000</v>
          </cell>
        </row>
      </sheetData>
      <sheetData sheetId="7445">
        <row r="7">
          <cell r="AI7">
            <v>10000</v>
          </cell>
        </row>
      </sheetData>
      <sheetData sheetId="7446">
        <row r="7">
          <cell r="AI7">
            <v>10000</v>
          </cell>
        </row>
      </sheetData>
      <sheetData sheetId="7447">
        <row r="7">
          <cell r="AI7">
            <v>10000</v>
          </cell>
        </row>
      </sheetData>
      <sheetData sheetId="7448">
        <row r="7">
          <cell r="AI7">
            <v>10000</v>
          </cell>
        </row>
      </sheetData>
      <sheetData sheetId="7449">
        <row r="7">
          <cell r="AI7">
            <v>10000</v>
          </cell>
        </row>
      </sheetData>
      <sheetData sheetId="7450">
        <row r="7">
          <cell r="AI7">
            <v>10000</v>
          </cell>
        </row>
      </sheetData>
      <sheetData sheetId="7451">
        <row r="7">
          <cell r="AI7">
            <v>10000</v>
          </cell>
        </row>
      </sheetData>
      <sheetData sheetId="7452">
        <row r="7">
          <cell r="AI7">
            <v>10000</v>
          </cell>
        </row>
      </sheetData>
      <sheetData sheetId="7453">
        <row r="7">
          <cell r="AI7">
            <v>10000</v>
          </cell>
        </row>
      </sheetData>
      <sheetData sheetId="7454">
        <row r="7">
          <cell r="AI7">
            <v>10000</v>
          </cell>
        </row>
      </sheetData>
      <sheetData sheetId="7455">
        <row r="7">
          <cell r="AI7">
            <v>10000</v>
          </cell>
        </row>
      </sheetData>
      <sheetData sheetId="7456">
        <row r="7">
          <cell r="AI7">
            <v>10000</v>
          </cell>
        </row>
      </sheetData>
      <sheetData sheetId="7457">
        <row r="7">
          <cell r="AI7">
            <v>10000</v>
          </cell>
        </row>
      </sheetData>
      <sheetData sheetId="7458">
        <row r="7">
          <cell r="AI7">
            <v>10000</v>
          </cell>
        </row>
      </sheetData>
      <sheetData sheetId="7459">
        <row r="7">
          <cell r="AI7">
            <v>10000</v>
          </cell>
        </row>
      </sheetData>
      <sheetData sheetId="7460">
        <row r="7">
          <cell r="AI7">
            <v>10000</v>
          </cell>
        </row>
      </sheetData>
      <sheetData sheetId="7461">
        <row r="7">
          <cell r="AI7">
            <v>10000</v>
          </cell>
        </row>
      </sheetData>
      <sheetData sheetId="7462">
        <row r="7">
          <cell r="AI7">
            <v>10000</v>
          </cell>
        </row>
      </sheetData>
      <sheetData sheetId="7463">
        <row r="7">
          <cell r="AI7">
            <v>10000</v>
          </cell>
        </row>
      </sheetData>
      <sheetData sheetId="7464">
        <row r="7">
          <cell r="AI7">
            <v>10000</v>
          </cell>
        </row>
      </sheetData>
      <sheetData sheetId="7465">
        <row r="7">
          <cell r="AI7">
            <v>10000</v>
          </cell>
        </row>
      </sheetData>
      <sheetData sheetId="7466">
        <row r="7">
          <cell r="AI7">
            <v>10000</v>
          </cell>
        </row>
      </sheetData>
      <sheetData sheetId="7467">
        <row r="7">
          <cell r="AI7">
            <v>10000</v>
          </cell>
        </row>
      </sheetData>
      <sheetData sheetId="7468">
        <row r="7">
          <cell r="AI7">
            <v>10000</v>
          </cell>
        </row>
      </sheetData>
      <sheetData sheetId="7469">
        <row r="7">
          <cell r="AI7">
            <v>10000</v>
          </cell>
        </row>
      </sheetData>
      <sheetData sheetId="7470">
        <row r="7">
          <cell r="AI7">
            <v>10000</v>
          </cell>
        </row>
      </sheetData>
      <sheetData sheetId="7471">
        <row r="7">
          <cell r="AI7">
            <v>10000</v>
          </cell>
        </row>
      </sheetData>
      <sheetData sheetId="7472">
        <row r="7">
          <cell r="AI7">
            <v>10000</v>
          </cell>
        </row>
      </sheetData>
      <sheetData sheetId="7473">
        <row r="7">
          <cell r="AI7">
            <v>10000</v>
          </cell>
        </row>
      </sheetData>
      <sheetData sheetId="7474">
        <row r="7">
          <cell r="AI7">
            <v>10000</v>
          </cell>
        </row>
      </sheetData>
      <sheetData sheetId="7475">
        <row r="7">
          <cell r="AI7">
            <v>10000</v>
          </cell>
        </row>
      </sheetData>
      <sheetData sheetId="7476">
        <row r="7">
          <cell r="AI7">
            <v>10000</v>
          </cell>
        </row>
      </sheetData>
      <sheetData sheetId="7477">
        <row r="7">
          <cell r="AI7">
            <v>10000</v>
          </cell>
        </row>
      </sheetData>
      <sheetData sheetId="7478">
        <row r="7">
          <cell r="AI7">
            <v>10000</v>
          </cell>
        </row>
      </sheetData>
      <sheetData sheetId="7479">
        <row r="7">
          <cell r="AI7">
            <v>10000</v>
          </cell>
        </row>
      </sheetData>
      <sheetData sheetId="7480">
        <row r="7">
          <cell r="AI7">
            <v>10000</v>
          </cell>
        </row>
      </sheetData>
      <sheetData sheetId="7481">
        <row r="7">
          <cell r="AI7">
            <v>10000</v>
          </cell>
        </row>
      </sheetData>
      <sheetData sheetId="7482">
        <row r="7">
          <cell r="AI7">
            <v>10000</v>
          </cell>
        </row>
      </sheetData>
      <sheetData sheetId="7483">
        <row r="7">
          <cell r="AI7">
            <v>10000</v>
          </cell>
        </row>
      </sheetData>
      <sheetData sheetId="7484">
        <row r="7">
          <cell r="AI7">
            <v>10000</v>
          </cell>
        </row>
      </sheetData>
      <sheetData sheetId="7485">
        <row r="7">
          <cell r="AI7">
            <v>10000</v>
          </cell>
        </row>
      </sheetData>
      <sheetData sheetId="7486">
        <row r="7">
          <cell r="AI7">
            <v>10000</v>
          </cell>
        </row>
      </sheetData>
      <sheetData sheetId="7487">
        <row r="7">
          <cell r="AI7">
            <v>10000</v>
          </cell>
        </row>
      </sheetData>
      <sheetData sheetId="7488">
        <row r="7">
          <cell r="AI7">
            <v>10000</v>
          </cell>
        </row>
      </sheetData>
      <sheetData sheetId="7489">
        <row r="7">
          <cell r="AI7">
            <v>10000</v>
          </cell>
        </row>
      </sheetData>
      <sheetData sheetId="7490">
        <row r="7">
          <cell r="AI7">
            <v>10000</v>
          </cell>
        </row>
      </sheetData>
      <sheetData sheetId="7491">
        <row r="7">
          <cell r="AI7">
            <v>10000</v>
          </cell>
        </row>
      </sheetData>
      <sheetData sheetId="7492">
        <row r="7">
          <cell r="AI7">
            <v>10000</v>
          </cell>
        </row>
      </sheetData>
      <sheetData sheetId="7493">
        <row r="7">
          <cell r="AI7">
            <v>10000</v>
          </cell>
        </row>
      </sheetData>
      <sheetData sheetId="7494">
        <row r="7">
          <cell r="AI7">
            <v>10000</v>
          </cell>
        </row>
      </sheetData>
      <sheetData sheetId="7495">
        <row r="7">
          <cell r="AI7">
            <v>10000</v>
          </cell>
        </row>
      </sheetData>
      <sheetData sheetId="7496">
        <row r="7">
          <cell r="AI7">
            <v>10000</v>
          </cell>
        </row>
      </sheetData>
      <sheetData sheetId="7497">
        <row r="7">
          <cell r="AI7">
            <v>10000</v>
          </cell>
        </row>
      </sheetData>
      <sheetData sheetId="7498">
        <row r="7">
          <cell r="AI7">
            <v>10000</v>
          </cell>
        </row>
      </sheetData>
      <sheetData sheetId="7499">
        <row r="7">
          <cell r="AI7">
            <v>10000</v>
          </cell>
        </row>
      </sheetData>
      <sheetData sheetId="7500">
        <row r="7">
          <cell r="AI7">
            <v>10000</v>
          </cell>
        </row>
      </sheetData>
      <sheetData sheetId="7501">
        <row r="7">
          <cell r="AI7">
            <v>10000</v>
          </cell>
        </row>
      </sheetData>
      <sheetData sheetId="7502">
        <row r="7">
          <cell r="AI7">
            <v>10000</v>
          </cell>
        </row>
      </sheetData>
      <sheetData sheetId="7503">
        <row r="7">
          <cell r="AI7">
            <v>10000</v>
          </cell>
        </row>
      </sheetData>
      <sheetData sheetId="7504">
        <row r="7">
          <cell r="AI7">
            <v>10000</v>
          </cell>
        </row>
      </sheetData>
      <sheetData sheetId="7505">
        <row r="7">
          <cell r="AI7">
            <v>10000</v>
          </cell>
        </row>
      </sheetData>
      <sheetData sheetId="7506">
        <row r="7">
          <cell r="AI7">
            <v>10000</v>
          </cell>
        </row>
      </sheetData>
      <sheetData sheetId="7507">
        <row r="7">
          <cell r="AI7">
            <v>10000</v>
          </cell>
        </row>
      </sheetData>
      <sheetData sheetId="7508">
        <row r="7">
          <cell r="AI7">
            <v>10000</v>
          </cell>
        </row>
      </sheetData>
      <sheetData sheetId="7509">
        <row r="7">
          <cell r="AI7">
            <v>10000</v>
          </cell>
        </row>
      </sheetData>
      <sheetData sheetId="7510">
        <row r="7">
          <cell r="AI7">
            <v>10000</v>
          </cell>
        </row>
      </sheetData>
      <sheetData sheetId="7511">
        <row r="7">
          <cell r="AI7">
            <v>10000</v>
          </cell>
        </row>
      </sheetData>
      <sheetData sheetId="7512">
        <row r="7">
          <cell r="AI7">
            <v>10000</v>
          </cell>
        </row>
      </sheetData>
      <sheetData sheetId="7513">
        <row r="7">
          <cell r="AI7">
            <v>10000</v>
          </cell>
        </row>
      </sheetData>
      <sheetData sheetId="7514">
        <row r="7">
          <cell r="AI7">
            <v>10000</v>
          </cell>
        </row>
      </sheetData>
      <sheetData sheetId="7515">
        <row r="7">
          <cell r="AI7">
            <v>10000</v>
          </cell>
        </row>
      </sheetData>
      <sheetData sheetId="7516">
        <row r="7">
          <cell r="AI7">
            <v>10000</v>
          </cell>
        </row>
      </sheetData>
      <sheetData sheetId="7517">
        <row r="7">
          <cell r="AI7">
            <v>10000</v>
          </cell>
        </row>
      </sheetData>
      <sheetData sheetId="7518">
        <row r="7">
          <cell r="AI7">
            <v>10000</v>
          </cell>
        </row>
      </sheetData>
      <sheetData sheetId="7519">
        <row r="7">
          <cell r="AI7">
            <v>10000</v>
          </cell>
        </row>
      </sheetData>
      <sheetData sheetId="7520">
        <row r="7">
          <cell r="AI7">
            <v>10000</v>
          </cell>
        </row>
      </sheetData>
      <sheetData sheetId="7521">
        <row r="7">
          <cell r="AI7">
            <v>10000</v>
          </cell>
        </row>
      </sheetData>
      <sheetData sheetId="7522">
        <row r="7">
          <cell r="AI7">
            <v>10000</v>
          </cell>
        </row>
      </sheetData>
      <sheetData sheetId="7523">
        <row r="7">
          <cell r="AI7">
            <v>10000</v>
          </cell>
        </row>
      </sheetData>
      <sheetData sheetId="7524">
        <row r="7">
          <cell r="AI7">
            <v>10000</v>
          </cell>
        </row>
      </sheetData>
      <sheetData sheetId="7525">
        <row r="7">
          <cell r="AI7">
            <v>10000</v>
          </cell>
        </row>
      </sheetData>
      <sheetData sheetId="7526">
        <row r="7">
          <cell r="AI7">
            <v>10000</v>
          </cell>
        </row>
      </sheetData>
      <sheetData sheetId="7527">
        <row r="7">
          <cell r="AI7">
            <v>10000</v>
          </cell>
        </row>
      </sheetData>
      <sheetData sheetId="7528">
        <row r="7">
          <cell r="AI7">
            <v>10000</v>
          </cell>
        </row>
      </sheetData>
      <sheetData sheetId="7529">
        <row r="7">
          <cell r="AI7">
            <v>10000</v>
          </cell>
        </row>
      </sheetData>
      <sheetData sheetId="7530">
        <row r="7">
          <cell r="AI7">
            <v>10000</v>
          </cell>
        </row>
      </sheetData>
      <sheetData sheetId="7531">
        <row r="7">
          <cell r="AI7">
            <v>10000</v>
          </cell>
        </row>
      </sheetData>
      <sheetData sheetId="7532">
        <row r="7">
          <cell r="AI7">
            <v>10000</v>
          </cell>
        </row>
      </sheetData>
      <sheetData sheetId="7533">
        <row r="7">
          <cell r="AI7">
            <v>10000</v>
          </cell>
        </row>
      </sheetData>
      <sheetData sheetId="7534">
        <row r="7">
          <cell r="AI7">
            <v>10000</v>
          </cell>
        </row>
      </sheetData>
      <sheetData sheetId="7535">
        <row r="7">
          <cell r="AI7">
            <v>10000</v>
          </cell>
        </row>
      </sheetData>
      <sheetData sheetId="7536">
        <row r="7">
          <cell r="AI7">
            <v>10000</v>
          </cell>
        </row>
      </sheetData>
      <sheetData sheetId="7537">
        <row r="7">
          <cell r="AI7">
            <v>10000</v>
          </cell>
        </row>
      </sheetData>
      <sheetData sheetId="7538">
        <row r="7">
          <cell r="AI7">
            <v>10000</v>
          </cell>
        </row>
      </sheetData>
      <sheetData sheetId="7539">
        <row r="7">
          <cell r="AI7">
            <v>10000</v>
          </cell>
        </row>
      </sheetData>
      <sheetData sheetId="7540">
        <row r="7">
          <cell r="AI7">
            <v>10000</v>
          </cell>
        </row>
      </sheetData>
      <sheetData sheetId="7541">
        <row r="7">
          <cell r="AI7">
            <v>10000</v>
          </cell>
        </row>
      </sheetData>
      <sheetData sheetId="7542">
        <row r="7">
          <cell r="AI7">
            <v>10000</v>
          </cell>
        </row>
      </sheetData>
      <sheetData sheetId="7543">
        <row r="7">
          <cell r="AI7">
            <v>10000</v>
          </cell>
        </row>
      </sheetData>
      <sheetData sheetId="7544">
        <row r="7">
          <cell r="AI7">
            <v>10000</v>
          </cell>
        </row>
      </sheetData>
      <sheetData sheetId="7545">
        <row r="7">
          <cell r="AI7">
            <v>10000</v>
          </cell>
        </row>
      </sheetData>
      <sheetData sheetId="7546">
        <row r="7">
          <cell r="AI7">
            <v>10000</v>
          </cell>
        </row>
      </sheetData>
      <sheetData sheetId="7547">
        <row r="7">
          <cell r="AI7">
            <v>10000</v>
          </cell>
        </row>
      </sheetData>
      <sheetData sheetId="7548">
        <row r="7">
          <cell r="AI7">
            <v>10000</v>
          </cell>
        </row>
      </sheetData>
      <sheetData sheetId="7549">
        <row r="7">
          <cell r="AI7">
            <v>10000</v>
          </cell>
        </row>
      </sheetData>
      <sheetData sheetId="7550">
        <row r="7">
          <cell r="AI7">
            <v>10000</v>
          </cell>
        </row>
      </sheetData>
      <sheetData sheetId="7551">
        <row r="7">
          <cell r="AI7">
            <v>10000</v>
          </cell>
        </row>
      </sheetData>
      <sheetData sheetId="7552">
        <row r="7">
          <cell r="AI7">
            <v>10000</v>
          </cell>
        </row>
      </sheetData>
      <sheetData sheetId="7553">
        <row r="7">
          <cell r="AI7">
            <v>10000</v>
          </cell>
        </row>
      </sheetData>
      <sheetData sheetId="7554">
        <row r="7">
          <cell r="AI7">
            <v>10000</v>
          </cell>
        </row>
      </sheetData>
      <sheetData sheetId="7555">
        <row r="7">
          <cell r="AI7">
            <v>10000</v>
          </cell>
        </row>
      </sheetData>
      <sheetData sheetId="7556">
        <row r="7">
          <cell r="AI7">
            <v>10000</v>
          </cell>
        </row>
      </sheetData>
      <sheetData sheetId="7557">
        <row r="7">
          <cell r="AI7">
            <v>10000</v>
          </cell>
        </row>
      </sheetData>
      <sheetData sheetId="7558">
        <row r="7">
          <cell r="AI7">
            <v>10000</v>
          </cell>
        </row>
      </sheetData>
      <sheetData sheetId="7559">
        <row r="7">
          <cell r="AI7">
            <v>10000</v>
          </cell>
        </row>
      </sheetData>
      <sheetData sheetId="7560">
        <row r="7">
          <cell r="AI7">
            <v>10000</v>
          </cell>
        </row>
      </sheetData>
      <sheetData sheetId="7561">
        <row r="7">
          <cell r="AI7">
            <v>10000</v>
          </cell>
        </row>
      </sheetData>
      <sheetData sheetId="7562">
        <row r="7">
          <cell r="AI7">
            <v>10000</v>
          </cell>
        </row>
      </sheetData>
      <sheetData sheetId="7563">
        <row r="7">
          <cell r="AI7">
            <v>10000</v>
          </cell>
        </row>
      </sheetData>
      <sheetData sheetId="7564">
        <row r="7">
          <cell r="AI7">
            <v>10000</v>
          </cell>
        </row>
      </sheetData>
      <sheetData sheetId="7565">
        <row r="7">
          <cell r="AI7">
            <v>10000</v>
          </cell>
        </row>
      </sheetData>
      <sheetData sheetId="7566">
        <row r="7">
          <cell r="AI7">
            <v>10000</v>
          </cell>
        </row>
      </sheetData>
      <sheetData sheetId="7567">
        <row r="7">
          <cell r="AI7">
            <v>10000</v>
          </cell>
        </row>
      </sheetData>
      <sheetData sheetId="7568">
        <row r="7">
          <cell r="AI7">
            <v>10000</v>
          </cell>
        </row>
      </sheetData>
      <sheetData sheetId="7569">
        <row r="7">
          <cell r="AI7">
            <v>10000</v>
          </cell>
        </row>
      </sheetData>
      <sheetData sheetId="7570">
        <row r="7">
          <cell r="AI7">
            <v>10000</v>
          </cell>
        </row>
      </sheetData>
      <sheetData sheetId="7571">
        <row r="7">
          <cell r="AI7">
            <v>10000</v>
          </cell>
        </row>
      </sheetData>
      <sheetData sheetId="7572">
        <row r="7">
          <cell r="AI7">
            <v>10000</v>
          </cell>
        </row>
      </sheetData>
      <sheetData sheetId="7573">
        <row r="7">
          <cell r="AI7">
            <v>10000</v>
          </cell>
        </row>
      </sheetData>
      <sheetData sheetId="7574">
        <row r="7">
          <cell r="AI7">
            <v>10000</v>
          </cell>
        </row>
      </sheetData>
      <sheetData sheetId="7575">
        <row r="7">
          <cell r="AI7">
            <v>10000</v>
          </cell>
        </row>
      </sheetData>
      <sheetData sheetId="7576">
        <row r="7">
          <cell r="AI7">
            <v>10000</v>
          </cell>
        </row>
      </sheetData>
      <sheetData sheetId="7577">
        <row r="7">
          <cell r="AI7">
            <v>10000</v>
          </cell>
        </row>
      </sheetData>
      <sheetData sheetId="7578">
        <row r="7">
          <cell r="AI7">
            <v>10000</v>
          </cell>
        </row>
      </sheetData>
      <sheetData sheetId="7579">
        <row r="7">
          <cell r="AI7">
            <v>10000</v>
          </cell>
        </row>
      </sheetData>
      <sheetData sheetId="7580">
        <row r="7">
          <cell r="AI7">
            <v>10000</v>
          </cell>
        </row>
      </sheetData>
      <sheetData sheetId="7581">
        <row r="7">
          <cell r="AI7">
            <v>10000</v>
          </cell>
        </row>
      </sheetData>
      <sheetData sheetId="7582">
        <row r="7">
          <cell r="AI7">
            <v>10000</v>
          </cell>
        </row>
      </sheetData>
      <sheetData sheetId="7583">
        <row r="7">
          <cell r="AI7">
            <v>10000</v>
          </cell>
        </row>
      </sheetData>
      <sheetData sheetId="7584">
        <row r="7">
          <cell r="AI7">
            <v>10000</v>
          </cell>
        </row>
      </sheetData>
      <sheetData sheetId="7585">
        <row r="7">
          <cell r="AI7">
            <v>10000</v>
          </cell>
        </row>
      </sheetData>
      <sheetData sheetId="7586">
        <row r="7">
          <cell r="AI7">
            <v>10000</v>
          </cell>
        </row>
      </sheetData>
      <sheetData sheetId="7587">
        <row r="7">
          <cell r="AI7">
            <v>10000</v>
          </cell>
        </row>
      </sheetData>
      <sheetData sheetId="7588">
        <row r="7">
          <cell r="AI7">
            <v>10000</v>
          </cell>
        </row>
      </sheetData>
      <sheetData sheetId="7589">
        <row r="7">
          <cell r="AI7">
            <v>10000</v>
          </cell>
        </row>
      </sheetData>
      <sheetData sheetId="7590">
        <row r="7">
          <cell r="AI7">
            <v>10000</v>
          </cell>
        </row>
      </sheetData>
      <sheetData sheetId="7591">
        <row r="7">
          <cell r="AI7">
            <v>10000</v>
          </cell>
        </row>
      </sheetData>
      <sheetData sheetId="7592">
        <row r="7">
          <cell r="AI7">
            <v>10000</v>
          </cell>
        </row>
      </sheetData>
      <sheetData sheetId="7593">
        <row r="7">
          <cell r="AI7">
            <v>10000</v>
          </cell>
        </row>
      </sheetData>
      <sheetData sheetId="7594">
        <row r="7">
          <cell r="AI7">
            <v>10000</v>
          </cell>
        </row>
      </sheetData>
      <sheetData sheetId="7595">
        <row r="7">
          <cell r="AI7">
            <v>10000</v>
          </cell>
        </row>
      </sheetData>
      <sheetData sheetId="7596">
        <row r="7">
          <cell r="AI7">
            <v>10000</v>
          </cell>
        </row>
      </sheetData>
      <sheetData sheetId="7597">
        <row r="7">
          <cell r="AI7">
            <v>10000</v>
          </cell>
        </row>
      </sheetData>
      <sheetData sheetId="7598">
        <row r="7">
          <cell r="AI7">
            <v>10000</v>
          </cell>
        </row>
      </sheetData>
      <sheetData sheetId="7599">
        <row r="7">
          <cell r="AI7">
            <v>10000</v>
          </cell>
        </row>
      </sheetData>
      <sheetData sheetId="7600">
        <row r="7">
          <cell r="AI7">
            <v>10000</v>
          </cell>
        </row>
      </sheetData>
      <sheetData sheetId="7601">
        <row r="7">
          <cell r="AI7">
            <v>10000</v>
          </cell>
        </row>
      </sheetData>
      <sheetData sheetId="7602">
        <row r="7">
          <cell r="AI7">
            <v>10000</v>
          </cell>
        </row>
      </sheetData>
      <sheetData sheetId="7603">
        <row r="7">
          <cell r="AI7">
            <v>10000</v>
          </cell>
        </row>
      </sheetData>
      <sheetData sheetId="7604">
        <row r="7">
          <cell r="AI7">
            <v>10000</v>
          </cell>
        </row>
      </sheetData>
      <sheetData sheetId="7605">
        <row r="7">
          <cell r="AI7">
            <v>10000</v>
          </cell>
        </row>
      </sheetData>
      <sheetData sheetId="7606">
        <row r="7">
          <cell r="AI7">
            <v>10000</v>
          </cell>
        </row>
      </sheetData>
      <sheetData sheetId="7607">
        <row r="7">
          <cell r="AI7">
            <v>10000</v>
          </cell>
        </row>
      </sheetData>
      <sheetData sheetId="7608">
        <row r="7">
          <cell r="AI7">
            <v>10000</v>
          </cell>
        </row>
      </sheetData>
      <sheetData sheetId="7609">
        <row r="7">
          <cell r="AI7">
            <v>10000</v>
          </cell>
        </row>
      </sheetData>
      <sheetData sheetId="7610">
        <row r="7">
          <cell r="AI7">
            <v>10000</v>
          </cell>
        </row>
      </sheetData>
      <sheetData sheetId="7611">
        <row r="7">
          <cell r="AI7">
            <v>10000</v>
          </cell>
        </row>
      </sheetData>
      <sheetData sheetId="7612">
        <row r="7">
          <cell r="AI7">
            <v>10000</v>
          </cell>
        </row>
      </sheetData>
      <sheetData sheetId="7613">
        <row r="7">
          <cell r="AI7">
            <v>10000</v>
          </cell>
        </row>
      </sheetData>
      <sheetData sheetId="7614">
        <row r="7">
          <cell r="AI7">
            <v>10000</v>
          </cell>
        </row>
      </sheetData>
      <sheetData sheetId="7615">
        <row r="7">
          <cell r="AI7">
            <v>10000</v>
          </cell>
        </row>
      </sheetData>
      <sheetData sheetId="7616">
        <row r="7">
          <cell r="AI7">
            <v>10000</v>
          </cell>
        </row>
      </sheetData>
      <sheetData sheetId="7617">
        <row r="7">
          <cell r="AI7">
            <v>10000</v>
          </cell>
        </row>
      </sheetData>
      <sheetData sheetId="7618">
        <row r="7">
          <cell r="AI7">
            <v>10000</v>
          </cell>
        </row>
      </sheetData>
      <sheetData sheetId="7619">
        <row r="7">
          <cell r="AI7">
            <v>10000</v>
          </cell>
        </row>
      </sheetData>
      <sheetData sheetId="7620">
        <row r="7">
          <cell r="AI7">
            <v>10000</v>
          </cell>
        </row>
      </sheetData>
      <sheetData sheetId="7621">
        <row r="7">
          <cell r="AI7">
            <v>10000</v>
          </cell>
        </row>
      </sheetData>
      <sheetData sheetId="7622">
        <row r="7">
          <cell r="AI7">
            <v>10000</v>
          </cell>
        </row>
      </sheetData>
      <sheetData sheetId="7623">
        <row r="7">
          <cell r="AI7">
            <v>10000</v>
          </cell>
        </row>
      </sheetData>
      <sheetData sheetId="7624">
        <row r="7">
          <cell r="AI7">
            <v>10000</v>
          </cell>
        </row>
      </sheetData>
      <sheetData sheetId="7625">
        <row r="7">
          <cell r="AI7">
            <v>10000</v>
          </cell>
        </row>
      </sheetData>
      <sheetData sheetId="7626">
        <row r="7">
          <cell r="AI7">
            <v>10000</v>
          </cell>
        </row>
      </sheetData>
      <sheetData sheetId="7627">
        <row r="7">
          <cell r="AI7">
            <v>10000</v>
          </cell>
        </row>
      </sheetData>
      <sheetData sheetId="7628">
        <row r="7">
          <cell r="AI7">
            <v>10000</v>
          </cell>
        </row>
      </sheetData>
      <sheetData sheetId="7629">
        <row r="7">
          <cell r="AI7">
            <v>10000</v>
          </cell>
        </row>
      </sheetData>
      <sheetData sheetId="7630">
        <row r="7">
          <cell r="AI7">
            <v>10000</v>
          </cell>
        </row>
      </sheetData>
      <sheetData sheetId="7631">
        <row r="7">
          <cell r="AI7">
            <v>10000</v>
          </cell>
        </row>
      </sheetData>
      <sheetData sheetId="7632">
        <row r="7">
          <cell r="AI7">
            <v>10000</v>
          </cell>
        </row>
      </sheetData>
      <sheetData sheetId="7633">
        <row r="7">
          <cell r="AI7">
            <v>10000</v>
          </cell>
        </row>
      </sheetData>
      <sheetData sheetId="7634">
        <row r="7">
          <cell r="AI7">
            <v>10000</v>
          </cell>
        </row>
      </sheetData>
      <sheetData sheetId="7635">
        <row r="7">
          <cell r="AI7">
            <v>10000</v>
          </cell>
        </row>
      </sheetData>
      <sheetData sheetId="7636">
        <row r="7">
          <cell r="AI7">
            <v>10000</v>
          </cell>
        </row>
      </sheetData>
      <sheetData sheetId="7637">
        <row r="7">
          <cell r="AI7">
            <v>10000</v>
          </cell>
        </row>
      </sheetData>
      <sheetData sheetId="7638">
        <row r="7">
          <cell r="AI7">
            <v>10000</v>
          </cell>
        </row>
      </sheetData>
      <sheetData sheetId="7639">
        <row r="7">
          <cell r="AI7">
            <v>10000</v>
          </cell>
        </row>
      </sheetData>
      <sheetData sheetId="7640">
        <row r="7">
          <cell r="AI7">
            <v>10000</v>
          </cell>
        </row>
      </sheetData>
      <sheetData sheetId="7641">
        <row r="7">
          <cell r="AI7">
            <v>10000</v>
          </cell>
        </row>
      </sheetData>
      <sheetData sheetId="7642">
        <row r="7">
          <cell r="AI7">
            <v>10000</v>
          </cell>
        </row>
      </sheetData>
      <sheetData sheetId="7643">
        <row r="7">
          <cell r="AI7">
            <v>10000</v>
          </cell>
        </row>
      </sheetData>
      <sheetData sheetId="7644">
        <row r="7">
          <cell r="AI7">
            <v>10000</v>
          </cell>
        </row>
      </sheetData>
      <sheetData sheetId="7645">
        <row r="7">
          <cell r="AI7">
            <v>10000</v>
          </cell>
        </row>
      </sheetData>
      <sheetData sheetId="7646">
        <row r="7">
          <cell r="AI7">
            <v>10000</v>
          </cell>
        </row>
      </sheetData>
      <sheetData sheetId="7647">
        <row r="7">
          <cell r="AI7">
            <v>10000</v>
          </cell>
        </row>
      </sheetData>
      <sheetData sheetId="7648">
        <row r="7">
          <cell r="AI7">
            <v>10000</v>
          </cell>
        </row>
      </sheetData>
      <sheetData sheetId="7649">
        <row r="7">
          <cell r="AI7">
            <v>10000</v>
          </cell>
        </row>
      </sheetData>
      <sheetData sheetId="7650">
        <row r="7">
          <cell r="AI7">
            <v>10000</v>
          </cell>
        </row>
      </sheetData>
      <sheetData sheetId="7651">
        <row r="7">
          <cell r="AI7">
            <v>10000</v>
          </cell>
        </row>
      </sheetData>
      <sheetData sheetId="7652">
        <row r="7">
          <cell r="AI7">
            <v>10000</v>
          </cell>
        </row>
      </sheetData>
      <sheetData sheetId="7653">
        <row r="7">
          <cell r="AI7">
            <v>10000</v>
          </cell>
        </row>
      </sheetData>
      <sheetData sheetId="7654">
        <row r="7">
          <cell r="AI7">
            <v>10000</v>
          </cell>
        </row>
      </sheetData>
      <sheetData sheetId="7655">
        <row r="7">
          <cell r="AI7">
            <v>10000</v>
          </cell>
        </row>
      </sheetData>
      <sheetData sheetId="7656">
        <row r="7">
          <cell r="AI7">
            <v>10000</v>
          </cell>
        </row>
      </sheetData>
      <sheetData sheetId="7657">
        <row r="7">
          <cell r="AI7">
            <v>10000</v>
          </cell>
        </row>
      </sheetData>
      <sheetData sheetId="7658">
        <row r="7">
          <cell r="AI7">
            <v>10000</v>
          </cell>
        </row>
      </sheetData>
      <sheetData sheetId="7659">
        <row r="7">
          <cell r="AI7">
            <v>10000</v>
          </cell>
        </row>
      </sheetData>
      <sheetData sheetId="7660">
        <row r="7">
          <cell r="AI7">
            <v>10000</v>
          </cell>
        </row>
      </sheetData>
      <sheetData sheetId="7661">
        <row r="7">
          <cell r="AI7">
            <v>10000</v>
          </cell>
        </row>
      </sheetData>
      <sheetData sheetId="7662">
        <row r="7">
          <cell r="AI7">
            <v>10000</v>
          </cell>
        </row>
      </sheetData>
      <sheetData sheetId="7663">
        <row r="7">
          <cell r="AI7">
            <v>10000</v>
          </cell>
        </row>
      </sheetData>
      <sheetData sheetId="7664">
        <row r="7">
          <cell r="AI7">
            <v>10000</v>
          </cell>
        </row>
      </sheetData>
      <sheetData sheetId="7665">
        <row r="7">
          <cell r="AI7">
            <v>10000</v>
          </cell>
        </row>
      </sheetData>
      <sheetData sheetId="7666">
        <row r="7">
          <cell r="AI7">
            <v>10000</v>
          </cell>
        </row>
      </sheetData>
      <sheetData sheetId="7667">
        <row r="7">
          <cell r="AI7">
            <v>10000</v>
          </cell>
        </row>
      </sheetData>
      <sheetData sheetId="7668">
        <row r="7">
          <cell r="AI7">
            <v>10000</v>
          </cell>
        </row>
      </sheetData>
      <sheetData sheetId="7669">
        <row r="7">
          <cell r="AI7">
            <v>10000</v>
          </cell>
        </row>
      </sheetData>
      <sheetData sheetId="7670">
        <row r="7">
          <cell r="AI7">
            <v>10000</v>
          </cell>
        </row>
      </sheetData>
      <sheetData sheetId="7671">
        <row r="7">
          <cell r="AI7">
            <v>10000</v>
          </cell>
        </row>
      </sheetData>
      <sheetData sheetId="7672">
        <row r="7">
          <cell r="AI7">
            <v>10000</v>
          </cell>
        </row>
      </sheetData>
      <sheetData sheetId="7673">
        <row r="7">
          <cell r="AI7">
            <v>10000</v>
          </cell>
        </row>
      </sheetData>
      <sheetData sheetId="7674">
        <row r="7">
          <cell r="AI7">
            <v>10000</v>
          </cell>
        </row>
      </sheetData>
      <sheetData sheetId="7675">
        <row r="7">
          <cell r="AI7">
            <v>10000</v>
          </cell>
        </row>
      </sheetData>
      <sheetData sheetId="7676">
        <row r="7">
          <cell r="AI7">
            <v>10000</v>
          </cell>
        </row>
      </sheetData>
      <sheetData sheetId="7677">
        <row r="7">
          <cell r="AI7">
            <v>10000</v>
          </cell>
        </row>
      </sheetData>
      <sheetData sheetId="7678">
        <row r="7">
          <cell r="AI7">
            <v>10000</v>
          </cell>
        </row>
      </sheetData>
      <sheetData sheetId="7679">
        <row r="7">
          <cell r="AI7">
            <v>10000</v>
          </cell>
        </row>
      </sheetData>
      <sheetData sheetId="7680">
        <row r="7">
          <cell r="AI7">
            <v>10000</v>
          </cell>
        </row>
      </sheetData>
      <sheetData sheetId="7681">
        <row r="7">
          <cell r="AI7">
            <v>10000</v>
          </cell>
        </row>
      </sheetData>
      <sheetData sheetId="7682">
        <row r="7">
          <cell r="AI7">
            <v>10000</v>
          </cell>
        </row>
      </sheetData>
      <sheetData sheetId="7683">
        <row r="7">
          <cell r="AI7">
            <v>10000</v>
          </cell>
        </row>
      </sheetData>
      <sheetData sheetId="7684">
        <row r="7">
          <cell r="AI7">
            <v>10000</v>
          </cell>
        </row>
      </sheetData>
      <sheetData sheetId="7685">
        <row r="7">
          <cell r="AI7">
            <v>10000</v>
          </cell>
        </row>
      </sheetData>
      <sheetData sheetId="7686">
        <row r="7">
          <cell r="AI7">
            <v>10000</v>
          </cell>
        </row>
      </sheetData>
      <sheetData sheetId="7687">
        <row r="7">
          <cell r="AI7">
            <v>10000</v>
          </cell>
        </row>
      </sheetData>
      <sheetData sheetId="7688">
        <row r="7">
          <cell r="AI7">
            <v>10000</v>
          </cell>
        </row>
      </sheetData>
      <sheetData sheetId="7689">
        <row r="7">
          <cell r="AI7">
            <v>10000</v>
          </cell>
        </row>
      </sheetData>
      <sheetData sheetId="7690">
        <row r="7">
          <cell r="AI7">
            <v>10000</v>
          </cell>
        </row>
      </sheetData>
      <sheetData sheetId="7691">
        <row r="7">
          <cell r="AI7">
            <v>10000</v>
          </cell>
        </row>
      </sheetData>
      <sheetData sheetId="7692">
        <row r="7">
          <cell r="AI7">
            <v>10000</v>
          </cell>
        </row>
      </sheetData>
      <sheetData sheetId="7693">
        <row r="7">
          <cell r="AI7">
            <v>10000</v>
          </cell>
        </row>
      </sheetData>
      <sheetData sheetId="7694">
        <row r="7">
          <cell r="AI7">
            <v>10000</v>
          </cell>
        </row>
      </sheetData>
      <sheetData sheetId="7695">
        <row r="7">
          <cell r="AI7">
            <v>10000</v>
          </cell>
        </row>
      </sheetData>
      <sheetData sheetId="7696">
        <row r="7">
          <cell r="AI7">
            <v>10000</v>
          </cell>
        </row>
      </sheetData>
      <sheetData sheetId="7697">
        <row r="7">
          <cell r="AI7">
            <v>10000</v>
          </cell>
        </row>
      </sheetData>
      <sheetData sheetId="7698">
        <row r="7">
          <cell r="AI7">
            <v>10000</v>
          </cell>
        </row>
      </sheetData>
      <sheetData sheetId="7699">
        <row r="7">
          <cell r="AI7">
            <v>10000</v>
          </cell>
        </row>
      </sheetData>
      <sheetData sheetId="7700">
        <row r="7">
          <cell r="AI7">
            <v>10000</v>
          </cell>
        </row>
      </sheetData>
      <sheetData sheetId="7701">
        <row r="7">
          <cell r="AI7">
            <v>10000</v>
          </cell>
        </row>
      </sheetData>
      <sheetData sheetId="7702">
        <row r="7">
          <cell r="AI7">
            <v>10000</v>
          </cell>
        </row>
      </sheetData>
      <sheetData sheetId="7703">
        <row r="7">
          <cell r="AI7">
            <v>10000</v>
          </cell>
        </row>
      </sheetData>
      <sheetData sheetId="7704">
        <row r="7">
          <cell r="AI7">
            <v>10000</v>
          </cell>
        </row>
      </sheetData>
      <sheetData sheetId="7705">
        <row r="7">
          <cell r="AI7">
            <v>10000</v>
          </cell>
        </row>
      </sheetData>
      <sheetData sheetId="7706">
        <row r="7">
          <cell r="AI7">
            <v>10000</v>
          </cell>
        </row>
      </sheetData>
      <sheetData sheetId="7707">
        <row r="7">
          <cell r="AI7">
            <v>10000</v>
          </cell>
        </row>
      </sheetData>
      <sheetData sheetId="7708">
        <row r="7">
          <cell r="AI7">
            <v>10000</v>
          </cell>
        </row>
      </sheetData>
      <sheetData sheetId="7709">
        <row r="7">
          <cell r="AI7">
            <v>10000</v>
          </cell>
        </row>
      </sheetData>
      <sheetData sheetId="7710">
        <row r="7">
          <cell r="AI7">
            <v>10000</v>
          </cell>
        </row>
      </sheetData>
      <sheetData sheetId="7711">
        <row r="7">
          <cell r="AI7">
            <v>10000</v>
          </cell>
        </row>
      </sheetData>
      <sheetData sheetId="7712">
        <row r="7">
          <cell r="AI7">
            <v>10000</v>
          </cell>
        </row>
      </sheetData>
      <sheetData sheetId="7713">
        <row r="7">
          <cell r="AI7">
            <v>10000</v>
          </cell>
        </row>
      </sheetData>
      <sheetData sheetId="7714">
        <row r="7">
          <cell r="AI7">
            <v>10000</v>
          </cell>
        </row>
      </sheetData>
      <sheetData sheetId="7715">
        <row r="7">
          <cell r="AI7">
            <v>10000</v>
          </cell>
        </row>
      </sheetData>
      <sheetData sheetId="7716">
        <row r="7">
          <cell r="AI7">
            <v>10000</v>
          </cell>
        </row>
      </sheetData>
      <sheetData sheetId="7717">
        <row r="7">
          <cell r="AI7">
            <v>10000</v>
          </cell>
        </row>
      </sheetData>
      <sheetData sheetId="7718">
        <row r="7">
          <cell r="AI7">
            <v>10000</v>
          </cell>
        </row>
      </sheetData>
      <sheetData sheetId="7719">
        <row r="7">
          <cell r="AI7">
            <v>10000</v>
          </cell>
        </row>
      </sheetData>
      <sheetData sheetId="7720">
        <row r="7">
          <cell r="AI7">
            <v>10000</v>
          </cell>
        </row>
      </sheetData>
      <sheetData sheetId="7721">
        <row r="7">
          <cell r="AI7">
            <v>10000</v>
          </cell>
        </row>
      </sheetData>
      <sheetData sheetId="7722">
        <row r="7">
          <cell r="AI7">
            <v>10000</v>
          </cell>
        </row>
      </sheetData>
      <sheetData sheetId="7723">
        <row r="7">
          <cell r="AI7">
            <v>10000</v>
          </cell>
        </row>
      </sheetData>
      <sheetData sheetId="7724">
        <row r="7">
          <cell r="AI7">
            <v>10000</v>
          </cell>
        </row>
      </sheetData>
      <sheetData sheetId="7725">
        <row r="7">
          <cell r="AI7">
            <v>10000</v>
          </cell>
        </row>
      </sheetData>
      <sheetData sheetId="7726">
        <row r="7">
          <cell r="AI7">
            <v>10000</v>
          </cell>
        </row>
      </sheetData>
      <sheetData sheetId="7727">
        <row r="7">
          <cell r="AI7">
            <v>10000</v>
          </cell>
        </row>
      </sheetData>
      <sheetData sheetId="7728">
        <row r="7">
          <cell r="AI7">
            <v>10000</v>
          </cell>
        </row>
      </sheetData>
      <sheetData sheetId="7729">
        <row r="7">
          <cell r="AI7">
            <v>10000</v>
          </cell>
        </row>
      </sheetData>
      <sheetData sheetId="7730">
        <row r="7">
          <cell r="AI7">
            <v>10000</v>
          </cell>
        </row>
      </sheetData>
      <sheetData sheetId="7731">
        <row r="7">
          <cell r="AI7">
            <v>10000</v>
          </cell>
        </row>
      </sheetData>
      <sheetData sheetId="7732">
        <row r="7">
          <cell r="AI7">
            <v>10000</v>
          </cell>
        </row>
      </sheetData>
      <sheetData sheetId="7733">
        <row r="7">
          <cell r="AI7">
            <v>10000</v>
          </cell>
        </row>
      </sheetData>
      <sheetData sheetId="7734">
        <row r="7">
          <cell r="AI7">
            <v>10000</v>
          </cell>
        </row>
      </sheetData>
      <sheetData sheetId="7735">
        <row r="7">
          <cell r="AI7">
            <v>10000</v>
          </cell>
        </row>
      </sheetData>
      <sheetData sheetId="7736">
        <row r="7">
          <cell r="AI7">
            <v>10000</v>
          </cell>
        </row>
      </sheetData>
      <sheetData sheetId="7737">
        <row r="7">
          <cell r="AI7">
            <v>10000</v>
          </cell>
        </row>
      </sheetData>
      <sheetData sheetId="7738">
        <row r="7">
          <cell r="AI7">
            <v>10000</v>
          </cell>
        </row>
      </sheetData>
      <sheetData sheetId="7739">
        <row r="7">
          <cell r="AI7">
            <v>10000</v>
          </cell>
        </row>
      </sheetData>
      <sheetData sheetId="7740">
        <row r="7">
          <cell r="AI7">
            <v>10000</v>
          </cell>
        </row>
      </sheetData>
      <sheetData sheetId="7741">
        <row r="7">
          <cell r="AI7">
            <v>10000</v>
          </cell>
        </row>
      </sheetData>
      <sheetData sheetId="7742">
        <row r="7">
          <cell r="AI7">
            <v>10000</v>
          </cell>
        </row>
      </sheetData>
      <sheetData sheetId="7743">
        <row r="7">
          <cell r="AI7">
            <v>10000</v>
          </cell>
        </row>
      </sheetData>
      <sheetData sheetId="7744">
        <row r="7">
          <cell r="AI7">
            <v>10000</v>
          </cell>
        </row>
      </sheetData>
      <sheetData sheetId="7745">
        <row r="7">
          <cell r="AI7">
            <v>10000</v>
          </cell>
        </row>
      </sheetData>
      <sheetData sheetId="7746">
        <row r="7">
          <cell r="AI7">
            <v>10000</v>
          </cell>
        </row>
      </sheetData>
      <sheetData sheetId="7747">
        <row r="7">
          <cell r="AI7">
            <v>10000</v>
          </cell>
        </row>
      </sheetData>
      <sheetData sheetId="7748">
        <row r="7">
          <cell r="AI7">
            <v>10000</v>
          </cell>
        </row>
      </sheetData>
      <sheetData sheetId="7749">
        <row r="7">
          <cell r="AI7">
            <v>10000</v>
          </cell>
        </row>
      </sheetData>
      <sheetData sheetId="7750">
        <row r="7">
          <cell r="AI7">
            <v>10000</v>
          </cell>
        </row>
      </sheetData>
      <sheetData sheetId="7751">
        <row r="7">
          <cell r="AI7">
            <v>10000</v>
          </cell>
        </row>
      </sheetData>
      <sheetData sheetId="7752">
        <row r="7">
          <cell r="AI7">
            <v>10000</v>
          </cell>
        </row>
      </sheetData>
      <sheetData sheetId="7753">
        <row r="7">
          <cell r="AI7">
            <v>10000</v>
          </cell>
        </row>
      </sheetData>
      <sheetData sheetId="7754">
        <row r="7">
          <cell r="AI7">
            <v>10000</v>
          </cell>
        </row>
      </sheetData>
      <sheetData sheetId="7755">
        <row r="7">
          <cell r="AI7">
            <v>10000</v>
          </cell>
        </row>
      </sheetData>
      <sheetData sheetId="7756">
        <row r="7">
          <cell r="AI7">
            <v>10000</v>
          </cell>
        </row>
      </sheetData>
      <sheetData sheetId="7757">
        <row r="7">
          <cell r="AI7">
            <v>10000</v>
          </cell>
        </row>
      </sheetData>
      <sheetData sheetId="7758">
        <row r="7">
          <cell r="AI7">
            <v>10000</v>
          </cell>
        </row>
      </sheetData>
      <sheetData sheetId="7759">
        <row r="7">
          <cell r="AI7">
            <v>10000</v>
          </cell>
        </row>
      </sheetData>
      <sheetData sheetId="7760">
        <row r="7">
          <cell r="AI7">
            <v>10000</v>
          </cell>
        </row>
      </sheetData>
      <sheetData sheetId="7761">
        <row r="7">
          <cell r="AI7">
            <v>10000</v>
          </cell>
        </row>
      </sheetData>
      <sheetData sheetId="7762">
        <row r="7">
          <cell r="AI7">
            <v>10000</v>
          </cell>
        </row>
      </sheetData>
      <sheetData sheetId="7763">
        <row r="7">
          <cell r="AI7">
            <v>10000</v>
          </cell>
        </row>
      </sheetData>
      <sheetData sheetId="7764">
        <row r="7">
          <cell r="AI7">
            <v>10000</v>
          </cell>
        </row>
      </sheetData>
      <sheetData sheetId="7765">
        <row r="7">
          <cell r="AI7">
            <v>10000</v>
          </cell>
        </row>
      </sheetData>
      <sheetData sheetId="7766">
        <row r="7">
          <cell r="AI7">
            <v>10000</v>
          </cell>
        </row>
      </sheetData>
      <sheetData sheetId="7767">
        <row r="7">
          <cell r="AI7">
            <v>10000</v>
          </cell>
        </row>
      </sheetData>
      <sheetData sheetId="7768">
        <row r="7">
          <cell r="AI7">
            <v>10000</v>
          </cell>
        </row>
      </sheetData>
      <sheetData sheetId="7769">
        <row r="7">
          <cell r="AI7">
            <v>10000</v>
          </cell>
        </row>
      </sheetData>
      <sheetData sheetId="7770">
        <row r="7">
          <cell r="AI7">
            <v>10000</v>
          </cell>
        </row>
      </sheetData>
      <sheetData sheetId="7771">
        <row r="7">
          <cell r="AI7">
            <v>10000</v>
          </cell>
        </row>
      </sheetData>
      <sheetData sheetId="7772">
        <row r="7">
          <cell r="AI7">
            <v>10000</v>
          </cell>
        </row>
      </sheetData>
      <sheetData sheetId="7773">
        <row r="7">
          <cell r="AI7">
            <v>10000</v>
          </cell>
        </row>
      </sheetData>
      <sheetData sheetId="7774">
        <row r="7">
          <cell r="AI7">
            <v>10000</v>
          </cell>
        </row>
      </sheetData>
      <sheetData sheetId="7775">
        <row r="7">
          <cell r="AI7">
            <v>10000</v>
          </cell>
        </row>
      </sheetData>
      <sheetData sheetId="7776">
        <row r="7">
          <cell r="AI7">
            <v>10000</v>
          </cell>
        </row>
      </sheetData>
      <sheetData sheetId="7777">
        <row r="7">
          <cell r="AI7">
            <v>10000</v>
          </cell>
        </row>
      </sheetData>
      <sheetData sheetId="7778">
        <row r="7">
          <cell r="AI7">
            <v>10000</v>
          </cell>
        </row>
      </sheetData>
      <sheetData sheetId="7779">
        <row r="7">
          <cell r="AI7">
            <v>10000</v>
          </cell>
        </row>
      </sheetData>
      <sheetData sheetId="7780">
        <row r="7">
          <cell r="AI7">
            <v>10000</v>
          </cell>
        </row>
      </sheetData>
      <sheetData sheetId="7781">
        <row r="7">
          <cell r="AI7">
            <v>10000</v>
          </cell>
        </row>
      </sheetData>
      <sheetData sheetId="7782">
        <row r="7">
          <cell r="AI7">
            <v>10000</v>
          </cell>
        </row>
      </sheetData>
      <sheetData sheetId="7783">
        <row r="7">
          <cell r="AI7">
            <v>10000</v>
          </cell>
        </row>
      </sheetData>
      <sheetData sheetId="7784">
        <row r="7">
          <cell r="AI7">
            <v>10000</v>
          </cell>
        </row>
      </sheetData>
      <sheetData sheetId="7785">
        <row r="7">
          <cell r="AI7">
            <v>10000</v>
          </cell>
        </row>
      </sheetData>
      <sheetData sheetId="7786">
        <row r="7">
          <cell r="AI7">
            <v>10000</v>
          </cell>
        </row>
      </sheetData>
      <sheetData sheetId="7787">
        <row r="7">
          <cell r="AI7">
            <v>10000</v>
          </cell>
        </row>
      </sheetData>
      <sheetData sheetId="7788">
        <row r="7">
          <cell r="AI7">
            <v>10000</v>
          </cell>
        </row>
      </sheetData>
      <sheetData sheetId="7789">
        <row r="7">
          <cell r="AI7">
            <v>10000</v>
          </cell>
        </row>
      </sheetData>
      <sheetData sheetId="7790">
        <row r="7">
          <cell r="AI7">
            <v>10000</v>
          </cell>
        </row>
      </sheetData>
      <sheetData sheetId="7791">
        <row r="7">
          <cell r="AI7">
            <v>10000</v>
          </cell>
        </row>
      </sheetData>
      <sheetData sheetId="7792">
        <row r="7">
          <cell r="AI7">
            <v>10000</v>
          </cell>
        </row>
      </sheetData>
      <sheetData sheetId="7793">
        <row r="7">
          <cell r="AI7">
            <v>10000</v>
          </cell>
        </row>
      </sheetData>
      <sheetData sheetId="7794">
        <row r="7">
          <cell r="AI7">
            <v>10000</v>
          </cell>
        </row>
      </sheetData>
      <sheetData sheetId="7795">
        <row r="7">
          <cell r="AI7">
            <v>10000</v>
          </cell>
        </row>
      </sheetData>
      <sheetData sheetId="7796">
        <row r="7">
          <cell r="AI7">
            <v>10000</v>
          </cell>
        </row>
      </sheetData>
      <sheetData sheetId="7797">
        <row r="7">
          <cell r="AI7">
            <v>10000</v>
          </cell>
        </row>
      </sheetData>
      <sheetData sheetId="7798">
        <row r="7">
          <cell r="AI7">
            <v>10000</v>
          </cell>
        </row>
      </sheetData>
      <sheetData sheetId="7799">
        <row r="7">
          <cell r="AI7">
            <v>10000</v>
          </cell>
        </row>
      </sheetData>
      <sheetData sheetId="7800">
        <row r="7">
          <cell r="AI7">
            <v>10000</v>
          </cell>
        </row>
      </sheetData>
      <sheetData sheetId="7801">
        <row r="7">
          <cell r="AI7">
            <v>10000</v>
          </cell>
        </row>
      </sheetData>
      <sheetData sheetId="7802">
        <row r="7">
          <cell r="AI7">
            <v>10000</v>
          </cell>
        </row>
      </sheetData>
      <sheetData sheetId="7803">
        <row r="7">
          <cell r="AI7">
            <v>10000</v>
          </cell>
        </row>
      </sheetData>
      <sheetData sheetId="7804">
        <row r="7">
          <cell r="AI7">
            <v>10000</v>
          </cell>
        </row>
      </sheetData>
      <sheetData sheetId="7805">
        <row r="7">
          <cell r="AI7">
            <v>10000</v>
          </cell>
        </row>
      </sheetData>
      <sheetData sheetId="7806">
        <row r="7">
          <cell r="AI7">
            <v>10000</v>
          </cell>
        </row>
      </sheetData>
      <sheetData sheetId="7807">
        <row r="7">
          <cell r="AI7">
            <v>10000</v>
          </cell>
        </row>
      </sheetData>
      <sheetData sheetId="7808">
        <row r="7">
          <cell r="AI7">
            <v>10000</v>
          </cell>
        </row>
      </sheetData>
      <sheetData sheetId="7809">
        <row r="7">
          <cell r="AI7">
            <v>10000</v>
          </cell>
        </row>
      </sheetData>
      <sheetData sheetId="7810">
        <row r="7">
          <cell r="AI7">
            <v>10000</v>
          </cell>
        </row>
      </sheetData>
      <sheetData sheetId="7811">
        <row r="7">
          <cell r="AI7">
            <v>10000</v>
          </cell>
        </row>
      </sheetData>
      <sheetData sheetId="7812">
        <row r="7">
          <cell r="AI7">
            <v>10000</v>
          </cell>
        </row>
      </sheetData>
      <sheetData sheetId="7813">
        <row r="7">
          <cell r="AI7">
            <v>10000</v>
          </cell>
        </row>
      </sheetData>
      <sheetData sheetId="7814">
        <row r="7">
          <cell r="AI7">
            <v>10000</v>
          </cell>
        </row>
      </sheetData>
      <sheetData sheetId="7815">
        <row r="7">
          <cell r="AI7">
            <v>10000</v>
          </cell>
        </row>
      </sheetData>
      <sheetData sheetId="7816">
        <row r="7">
          <cell r="AI7">
            <v>10000</v>
          </cell>
        </row>
      </sheetData>
      <sheetData sheetId="7817">
        <row r="7">
          <cell r="AI7">
            <v>10000</v>
          </cell>
        </row>
      </sheetData>
      <sheetData sheetId="7818">
        <row r="7">
          <cell r="AI7">
            <v>10000</v>
          </cell>
        </row>
      </sheetData>
      <sheetData sheetId="7819">
        <row r="7">
          <cell r="AI7">
            <v>10000</v>
          </cell>
        </row>
      </sheetData>
      <sheetData sheetId="7820">
        <row r="7">
          <cell r="AI7">
            <v>10000</v>
          </cell>
        </row>
      </sheetData>
      <sheetData sheetId="7821">
        <row r="7">
          <cell r="AI7">
            <v>10000</v>
          </cell>
        </row>
      </sheetData>
      <sheetData sheetId="7822">
        <row r="7">
          <cell r="AI7">
            <v>10000</v>
          </cell>
        </row>
      </sheetData>
      <sheetData sheetId="7823">
        <row r="7">
          <cell r="AI7">
            <v>10000</v>
          </cell>
        </row>
      </sheetData>
      <sheetData sheetId="7824">
        <row r="7">
          <cell r="AI7">
            <v>10000</v>
          </cell>
        </row>
      </sheetData>
      <sheetData sheetId="7825">
        <row r="7">
          <cell r="AI7">
            <v>10000</v>
          </cell>
        </row>
      </sheetData>
      <sheetData sheetId="7826">
        <row r="7">
          <cell r="AI7">
            <v>10000</v>
          </cell>
        </row>
      </sheetData>
      <sheetData sheetId="7827">
        <row r="7">
          <cell r="AI7">
            <v>10000</v>
          </cell>
        </row>
      </sheetData>
      <sheetData sheetId="7828">
        <row r="7">
          <cell r="AI7">
            <v>10000</v>
          </cell>
        </row>
      </sheetData>
      <sheetData sheetId="7829">
        <row r="7">
          <cell r="AI7">
            <v>10000</v>
          </cell>
        </row>
      </sheetData>
      <sheetData sheetId="7830">
        <row r="7">
          <cell r="AI7">
            <v>10000</v>
          </cell>
        </row>
      </sheetData>
      <sheetData sheetId="7831">
        <row r="7">
          <cell r="AI7">
            <v>10000</v>
          </cell>
        </row>
      </sheetData>
      <sheetData sheetId="7832">
        <row r="7">
          <cell r="AI7">
            <v>10000</v>
          </cell>
        </row>
      </sheetData>
      <sheetData sheetId="7833">
        <row r="7">
          <cell r="AI7">
            <v>10000</v>
          </cell>
        </row>
      </sheetData>
      <sheetData sheetId="7834">
        <row r="7">
          <cell r="AI7">
            <v>10000</v>
          </cell>
        </row>
      </sheetData>
      <sheetData sheetId="7835">
        <row r="7">
          <cell r="AI7">
            <v>10000</v>
          </cell>
        </row>
      </sheetData>
      <sheetData sheetId="7836">
        <row r="7">
          <cell r="AI7">
            <v>10000</v>
          </cell>
        </row>
      </sheetData>
      <sheetData sheetId="7837">
        <row r="7">
          <cell r="AI7">
            <v>10000</v>
          </cell>
        </row>
      </sheetData>
      <sheetData sheetId="7838">
        <row r="7">
          <cell r="AI7">
            <v>10000</v>
          </cell>
        </row>
      </sheetData>
      <sheetData sheetId="7839">
        <row r="7">
          <cell r="AI7">
            <v>10000</v>
          </cell>
        </row>
      </sheetData>
      <sheetData sheetId="7840">
        <row r="7">
          <cell r="AI7">
            <v>10000</v>
          </cell>
        </row>
      </sheetData>
      <sheetData sheetId="7841">
        <row r="7">
          <cell r="AI7">
            <v>10000</v>
          </cell>
        </row>
      </sheetData>
      <sheetData sheetId="7842">
        <row r="7">
          <cell r="AI7">
            <v>10000</v>
          </cell>
        </row>
      </sheetData>
      <sheetData sheetId="7843">
        <row r="7">
          <cell r="AI7">
            <v>10000</v>
          </cell>
        </row>
      </sheetData>
      <sheetData sheetId="7844">
        <row r="7">
          <cell r="AI7">
            <v>10000</v>
          </cell>
        </row>
      </sheetData>
      <sheetData sheetId="7845">
        <row r="7">
          <cell r="AI7">
            <v>10000</v>
          </cell>
        </row>
      </sheetData>
      <sheetData sheetId="7846">
        <row r="7">
          <cell r="AI7">
            <v>10000</v>
          </cell>
        </row>
      </sheetData>
      <sheetData sheetId="7847">
        <row r="7">
          <cell r="AI7">
            <v>10000</v>
          </cell>
        </row>
      </sheetData>
      <sheetData sheetId="7848">
        <row r="7">
          <cell r="AI7">
            <v>10000</v>
          </cell>
        </row>
      </sheetData>
      <sheetData sheetId="7849">
        <row r="7">
          <cell r="AI7">
            <v>10000</v>
          </cell>
        </row>
      </sheetData>
      <sheetData sheetId="7850">
        <row r="7">
          <cell r="AI7">
            <v>10000</v>
          </cell>
        </row>
      </sheetData>
      <sheetData sheetId="7851">
        <row r="7">
          <cell r="AI7">
            <v>10000</v>
          </cell>
        </row>
      </sheetData>
      <sheetData sheetId="7852">
        <row r="7">
          <cell r="AI7">
            <v>10000</v>
          </cell>
        </row>
      </sheetData>
      <sheetData sheetId="7853">
        <row r="7">
          <cell r="AI7">
            <v>10000</v>
          </cell>
        </row>
      </sheetData>
      <sheetData sheetId="7854">
        <row r="7">
          <cell r="AI7">
            <v>10000</v>
          </cell>
        </row>
      </sheetData>
      <sheetData sheetId="7855">
        <row r="7">
          <cell r="AI7">
            <v>10000</v>
          </cell>
        </row>
      </sheetData>
      <sheetData sheetId="7856">
        <row r="7">
          <cell r="AI7">
            <v>10000</v>
          </cell>
        </row>
      </sheetData>
      <sheetData sheetId="7857">
        <row r="7">
          <cell r="AI7">
            <v>10000</v>
          </cell>
        </row>
      </sheetData>
      <sheetData sheetId="7858">
        <row r="7">
          <cell r="AI7">
            <v>10000</v>
          </cell>
        </row>
      </sheetData>
      <sheetData sheetId="7859">
        <row r="7">
          <cell r="AI7">
            <v>10000</v>
          </cell>
        </row>
      </sheetData>
      <sheetData sheetId="7860">
        <row r="7">
          <cell r="AI7">
            <v>10000</v>
          </cell>
        </row>
      </sheetData>
      <sheetData sheetId="7861">
        <row r="7">
          <cell r="AI7">
            <v>10000</v>
          </cell>
        </row>
      </sheetData>
      <sheetData sheetId="7862">
        <row r="7">
          <cell r="AI7">
            <v>10000</v>
          </cell>
        </row>
      </sheetData>
      <sheetData sheetId="7863">
        <row r="7">
          <cell r="AI7">
            <v>10000</v>
          </cell>
        </row>
      </sheetData>
      <sheetData sheetId="7864">
        <row r="7">
          <cell r="AI7">
            <v>10000</v>
          </cell>
        </row>
      </sheetData>
      <sheetData sheetId="7865">
        <row r="7">
          <cell r="AI7">
            <v>10000</v>
          </cell>
        </row>
      </sheetData>
      <sheetData sheetId="7866">
        <row r="7">
          <cell r="AI7">
            <v>10000</v>
          </cell>
        </row>
      </sheetData>
      <sheetData sheetId="7867">
        <row r="7">
          <cell r="AI7">
            <v>10000</v>
          </cell>
        </row>
      </sheetData>
      <sheetData sheetId="7868">
        <row r="7">
          <cell r="AI7">
            <v>10000</v>
          </cell>
        </row>
      </sheetData>
      <sheetData sheetId="7869">
        <row r="7">
          <cell r="AI7">
            <v>10000</v>
          </cell>
        </row>
      </sheetData>
      <sheetData sheetId="7870">
        <row r="7">
          <cell r="AI7">
            <v>10000</v>
          </cell>
        </row>
      </sheetData>
      <sheetData sheetId="7871">
        <row r="7">
          <cell r="AI7">
            <v>10000</v>
          </cell>
        </row>
      </sheetData>
      <sheetData sheetId="7872">
        <row r="7">
          <cell r="AI7">
            <v>10000</v>
          </cell>
        </row>
      </sheetData>
      <sheetData sheetId="7873">
        <row r="7">
          <cell r="AI7">
            <v>10000</v>
          </cell>
        </row>
      </sheetData>
      <sheetData sheetId="7874">
        <row r="7">
          <cell r="AI7">
            <v>10000</v>
          </cell>
        </row>
      </sheetData>
      <sheetData sheetId="7875">
        <row r="7">
          <cell r="AI7">
            <v>10000</v>
          </cell>
        </row>
      </sheetData>
      <sheetData sheetId="7876">
        <row r="7">
          <cell r="AI7">
            <v>10000</v>
          </cell>
        </row>
      </sheetData>
      <sheetData sheetId="7877">
        <row r="7">
          <cell r="AI7">
            <v>10000</v>
          </cell>
        </row>
      </sheetData>
      <sheetData sheetId="7878">
        <row r="7">
          <cell r="AI7">
            <v>10000</v>
          </cell>
        </row>
      </sheetData>
      <sheetData sheetId="7879">
        <row r="7">
          <cell r="AI7">
            <v>10000</v>
          </cell>
        </row>
      </sheetData>
      <sheetData sheetId="7880">
        <row r="7">
          <cell r="AI7">
            <v>10000</v>
          </cell>
        </row>
      </sheetData>
      <sheetData sheetId="7881">
        <row r="7">
          <cell r="AI7">
            <v>10000</v>
          </cell>
        </row>
      </sheetData>
      <sheetData sheetId="7882">
        <row r="7">
          <cell r="AI7">
            <v>10000</v>
          </cell>
        </row>
      </sheetData>
      <sheetData sheetId="7883">
        <row r="7">
          <cell r="AI7">
            <v>10000</v>
          </cell>
        </row>
      </sheetData>
      <sheetData sheetId="7884">
        <row r="7">
          <cell r="AI7">
            <v>10000</v>
          </cell>
        </row>
      </sheetData>
      <sheetData sheetId="7885">
        <row r="7">
          <cell r="AI7">
            <v>10000</v>
          </cell>
        </row>
      </sheetData>
      <sheetData sheetId="7886">
        <row r="7">
          <cell r="AI7">
            <v>10000</v>
          </cell>
        </row>
      </sheetData>
      <sheetData sheetId="7887">
        <row r="7">
          <cell r="AI7">
            <v>10000</v>
          </cell>
        </row>
      </sheetData>
      <sheetData sheetId="7888">
        <row r="7">
          <cell r="AI7">
            <v>10000</v>
          </cell>
        </row>
      </sheetData>
      <sheetData sheetId="7889">
        <row r="7">
          <cell r="AI7">
            <v>10000</v>
          </cell>
        </row>
      </sheetData>
      <sheetData sheetId="7890">
        <row r="7">
          <cell r="AI7">
            <v>10000</v>
          </cell>
        </row>
      </sheetData>
      <sheetData sheetId="7891">
        <row r="7">
          <cell r="AI7">
            <v>10000</v>
          </cell>
        </row>
      </sheetData>
      <sheetData sheetId="7892">
        <row r="7">
          <cell r="AI7">
            <v>10000</v>
          </cell>
        </row>
      </sheetData>
      <sheetData sheetId="7893">
        <row r="7">
          <cell r="AI7">
            <v>10000</v>
          </cell>
        </row>
      </sheetData>
      <sheetData sheetId="7894">
        <row r="7">
          <cell r="AI7">
            <v>10000</v>
          </cell>
        </row>
      </sheetData>
      <sheetData sheetId="7895">
        <row r="7">
          <cell r="AI7">
            <v>10000</v>
          </cell>
        </row>
      </sheetData>
      <sheetData sheetId="7896">
        <row r="7">
          <cell r="AI7">
            <v>10000</v>
          </cell>
        </row>
      </sheetData>
      <sheetData sheetId="7897">
        <row r="7">
          <cell r="AI7">
            <v>10000</v>
          </cell>
        </row>
      </sheetData>
      <sheetData sheetId="7898">
        <row r="7">
          <cell r="AI7">
            <v>10000</v>
          </cell>
        </row>
      </sheetData>
      <sheetData sheetId="7899">
        <row r="7">
          <cell r="AI7">
            <v>10000</v>
          </cell>
        </row>
      </sheetData>
      <sheetData sheetId="7900">
        <row r="7">
          <cell r="AI7">
            <v>10000</v>
          </cell>
        </row>
      </sheetData>
      <sheetData sheetId="7901">
        <row r="7">
          <cell r="AI7">
            <v>10000</v>
          </cell>
        </row>
      </sheetData>
      <sheetData sheetId="7902">
        <row r="7">
          <cell r="AI7">
            <v>10000</v>
          </cell>
        </row>
      </sheetData>
      <sheetData sheetId="7903">
        <row r="7">
          <cell r="AI7">
            <v>10000</v>
          </cell>
        </row>
      </sheetData>
      <sheetData sheetId="7904">
        <row r="7">
          <cell r="AI7">
            <v>10000</v>
          </cell>
        </row>
      </sheetData>
      <sheetData sheetId="7905">
        <row r="7">
          <cell r="AI7">
            <v>10000</v>
          </cell>
        </row>
      </sheetData>
      <sheetData sheetId="7906">
        <row r="7">
          <cell r="AI7">
            <v>10000</v>
          </cell>
        </row>
      </sheetData>
      <sheetData sheetId="7907">
        <row r="7">
          <cell r="AI7">
            <v>10000</v>
          </cell>
        </row>
      </sheetData>
      <sheetData sheetId="7908">
        <row r="7">
          <cell r="AI7">
            <v>10000</v>
          </cell>
        </row>
      </sheetData>
      <sheetData sheetId="7909">
        <row r="7">
          <cell r="AI7">
            <v>10000</v>
          </cell>
        </row>
      </sheetData>
      <sheetData sheetId="7910">
        <row r="7">
          <cell r="AI7">
            <v>10000</v>
          </cell>
        </row>
      </sheetData>
      <sheetData sheetId="7911">
        <row r="7">
          <cell r="AI7">
            <v>10000</v>
          </cell>
        </row>
      </sheetData>
      <sheetData sheetId="7912">
        <row r="7">
          <cell r="AI7">
            <v>10000</v>
          </cell>
        </row>
      </sheetData>
      <sheetData sheetId="7913">
        <row r="7">
          <cell r="AI7">
            <v>10000</v>
          </cell>
        </row>
      </sheetData>
      <sheetData sheetId="7914">
        <row r="7">
          <cell r="AI7">
            <v>10000</v>
          </cell>
        </row>
      </sheetData>
      <sheetData sheetId="7915">
        <row r="7">
          <cell r="AI7">
            <v>10000</v>
          </cell>
        </row>
      </sheetData>
      <sheetData sheetId="7916">
        <row r="7">
          <cell r="AI7">
            <v>10000</v>
          </cell>
        </row>
      </sheetData>
      <sheetData sheetId="7917">
        <row r="7">
          <cell r="AI7">
            <v>10000</v>
          </cell>
        </row>
      </sheetData>
      <sheetData sheetId="7918">
        <row r="7">
          <cell r="AI7">
            <v>10000</v>
          </cell>
        </row>
      </sheetData>
      <sheetData sheetId="7919">
        <row r="7">
          <cell r="AI7">
            <v>10000</v>
          </cell>
        </row>
      </sheetData>
      <sheetData sheetId="7920">
        <row r="7">
          <cell r="AI7">
            <v>10000</v>
          </cell>
        </row>
      </sheetData>
      <sheetData sheetId="7921">
        <row r="7">
          <cell r="AI7">
            <v>10000</v>
          </cell>
        </row>
      </sheetData>
      <sheetData sheetId="7922">
        <row r="7">
          <cell r="AI7">
            <v>10000</v>
          </cell>
        </row>
      </sheetData>
      <sheetData sheetId="7923">
        <row r="7">
          <cell r="AI7">
            <v>10000</v>
          </cell>
        </row>
      </sheetData>
      <sheetData sheetId="7924">
        <row r="7">
          <cell r="AI7">
            <v>10000</v>
          </cell>
        </row>
      </sheetData>
      <sheetData sheetId="7925">
        <row r="7">
          <cell r="AI7">
            <v>10000</v>
          </cell>
        </row>
      </sheetData>
      <sheetData sheetId="7926">
        <row r="7">
          <cell r="AI7">
            <v>10000</v>
          </cell>
        </row>
      </sheetData>
      <sheetData sheetId="7927">
        <row r="7">
          <cell r="AI7">
            <v>10000</v>
          </cell>
        </row>
      </sheetData>
      <sheetData sheetId="7928">
        <row r="7">
          <cell r="AI7">
            <v>10000</v>
          </cell>
        </row>
      </sheetData>
      <sheetData sheetId="7929">
        <row r="7">
          <cell r="AI7">
            <v>10000</v>
          </cell>
        </row>
      </sheetData>
      <sheetData sheetId="7930">
        <row r="7">
          <cell r="AI7">
            <v>10000</v>
          </cell>
        </row>
      </sheetData>
      <sheetData sheetId="7931">
        <row r="7">
          <cell r="AI7">
            <v>10000</v>
          </cell>
        </row>
      </sheetData>
      <sheetData sheetId="7932">
        <row r="7">
          <cell r="AI7">
            <v>10000</v>
          </cell>
        </row>
      </sheetData>
      <sheetData sheetId="7933">
        <row r="7">
          <cell r="AI7">
            <v>10000</v>
          </cell>
        </row>
      </sheetData>
      <sheetData sheetId="7934">
        <row r="7">
          <cell r="AI7">
            <v>10000</v>
          </cell>
        </row>
      </sheetData>
      <sheetData sheetId="7935">
        <row r="7">
          <cell r="AI7">
            <v>10000</v>
          </cell>
        </row>
      </sheetData>
      <sheetData sheetId="7936">
        <row r="7">
          <cell r="AI7">
            <v>10000</v>
          </cell>
        </row>
      </sheetData>
      <sheetData sheetId="7937">
        <row r="7">
          <cell r="AI7">
            <v>10000</v>
          </cell>
        </row>
      </sheetData>
      <sheetData sheetId="7938">
        <row r="7">
          <cell r="AI7">
            <v>10000</v>
          </cell>
        </row>
      </sheetData>
      <sheetData sheetId="7939">
        <row r="7">
          <cell r="AI7">
            <v>10000</v>
          </cell>
        </row>
      </sheetData>
      <sheetData sheetId="7940">
        <row r="7">
          <cell r="AI7">
            <v>10000</v>
          </cell>
        </row>
      </sheetData>
      <sheetData sheetId="7941">
        <row r="7">
          <cell r="AI7">
            <v>10000</v>
          </cell>
        </row>
      </sheetData>
      <sheetData sheetId="7942">
        <row r="7">
          <cell r="AI7">
            <v>10000</v>
          </cell>
        </row>
      </sheetData>
      <sheetData sheetId="7943">
        <row r="7">
          <cell r="AI7">
            <v>10000</v>
          </cell>
        </row>
      </sheetData>
      <sheetData sheetId="7944">
        <row r="7">
          <cell r="AI7">
            <v>10000</v>
          </cell>
        </row>
      </sheetData>
      <sheetData sheetId="7945">
        <row r="7">
          <cell r="AI7">
            <v>10000</v>
          </cell>
        </row>
      </sheetData>
      <sheetData sheetId="7946">
        <row r="7">
          <cell r="AI7">
            <v>10000</v>
          </cell>
        </row>
      </sheetData>
      <sheetData sheetId="7947">
        <row r="7">
          <cell r="AI7">
            <v>10000</v>
          </cell>
        </row>
      </sheetData>
      <sheetData sheetId="7948">
        <row r="7">
          <cell r="AI7">
            <v>10000</v>
          </cell>
        </row>
      </sheetData>
      <sheetData sheetId="7949">
        <row r="7">
          <cell r="AI7">
            <v>10000</v>
          </cell>
        </row>
      </sheetData>
      <sheetData sheetId="7950">
        <row r="7">
          <cell r="AI7">
            <v>10000</v>
          </cell>
        </row>
      </sheetData>
      <sheetData sheetId="7951">
        <row r="7">
          <cell r="AI7">
            <v>10000</v>
          </cell>
        </row>
      </sheetData>
      <sheetData sheetId="7952">
        <row r="7">
          <cell r="AI7">
            <v>10000</v>
          </cell>
        </row>
      </sheetData>
      <sheetData sheetId="7953">
        <row r="7">
          <cell r="AI7">
            <v>10000</v>
          </cell>
        </row>
      </sheetData>
      <sheetData sheetId="7954">
        <row r="7">
          <cell r="AI7">
            <v>10000</v>
          </cell>
        </row>
      </sheetData>
      <sheetData sheetId="7955">
        <row r="7">
          <cell r="AI7">
            <v>10000</v>
          </cell>
        </row>
      </sheetData>
      <sheetData sheetId="7956">
        <row r="7">
          <cell r="AI7">
            <v>10000</v>
          </cell>
        </row>
      </sheetData>
      <sheetData sheetId="7957">
        <row r="7">
          <cell r="AI7">
            <v>10000</v>
          </cell>
        </row>
      </sheetData>
      <sheetData sheetId="7958">
        <row r="7">
          <cell r="AI7">
            <v>10000</v>
          </cell>
        </row>
      </sheetData>
      <sheetData sheetId="7959">
        <row r="7">
          <cell r="AI7">
            <v>10000</v>
          </cell>
        </row>
      </sheetData>
      <sheetData sheetId="7960">
        <row r="7">
          <cell r="AI7">
            <v>10000</v>
          </cell>
        </row>
      </sheetData>
      <sheetData sheetId="7961">
        <row r="7">
          <cell r="AI7">
            <v>10000</v>
          </cell>
        </row>
      </sheetData>
      <sheetData sheetId="7962">
        <row r="7">
          <cell r="AI7">
            <v>10000</v>
          </cell>
        </row>
      </sheetData>
      <sheetData sheetId="7963">
        <row r="7">
          <cell r="AI7">
            <v>10000</v>
          </cell>
        </row>
      </sheetData>
      <sheetData sheetId="7964">
        <row r="7">
          <cell r="AI7">
            <v>10000</v>
          </cell>
        </row>
      </sheetData>
      <sheetData sheetId="7965">
        <row r="7">
          <cell r="AI7">
            <v>10000</v>
          </cell>
        </row>
      </sheetData>
      <sheetData sheetId="7966">
        <row r="7">
          <cell r="AI7">
            <v>10000</v>
          </cell>
        </row>
      </sheetData>
      <sheetData sheetId="7967">
        <row r="7">
          <cell r="AI7">
            <v>10000</v>
          </cell>
        </row>
      </sheetData>
      <sheetData sheetId="7968">
        <row r="7">
          <cell r="AI7">
            <v>10000</v>
          </cell>
        </row>
      </sheetData>
      <sheetData sheetId="7969">
        <row r="7">
          <cell r="AI7">
            <v>10000</v>
          </cell>
        </row>
      </sheetData>
      <sheetData sheetId="7970">
        <row r="7">
          <cell r="AI7">
            <v>10000</v>
          </cell>
        </row>
      </sheetData>
      <sheetData sheetId="7971">
        <row r="7">
          <cell r="AI7">
            <v>10000</v>
          </cell>
        </row>
      </sheetData>
      <sheetData sheetId="7972">
        <row r="7">
          <cell r="AI7">
            <v>10000</v>
          </cell>
        </row>
      </sheetData>
      <sheetData sheetId="7973">
        <row r="7">
          <cell r="AI7">
            <v>10000</v>
          </cell>
        </row>
      </sheetData>
      <sheetData sheetId="7974">
        <row r="7">
          <cell r="AI7">
            <v>10000</v>
          </cell>
        </row>
      </sheetData>
      <sheetData sheetId="7975">
        <row r="7">
          <cell r="AI7">
            <v>10000</v>
          </cell>
        </row>
      </sheetData>
      <sheetData sheetId="7976">
        <row r="7">
          <cell r="AI7">
            <v>10000</v>
          </cell>
        </row>
      </sheetData>
      <sheetData sheetId="7977">
        <row r="7">
          <cell r="AI7">
            <v>10000</v>
          </cell>
        </row>
      </sheetData>
      <sheetData sheetId="7978">
        <row r="7">
          <cell r="AI7">
            <v>10000</v>
          </cell>
        </row>
      </sheetData>
      <sheetData sheetId="7979">
        <row r="7">
          <cell r="AI7">
            <v>10000</v>
          </cell>
        </row>
      </sheetData>
      <sheetData sheetId="7980">
        <row r="7">
          <cell r="AI7">
            <v>10000</v>
          </cell>
        </row>
      </sheetData>
      <sheetData sheetId="7981">
        <row r="7">
          <cell r="AI7">
            <v>10000</v>
          </cell>
        </row>
      </sheetData>
      <sheetData sheetId="7982">
        <row r="7">
          <cell r="AI7">
            <v>10000</v>
          </cell>
        </row>
      </sheetData>
      <sheetData sheetId="7983">
        <row r="7">
          <cell r="AI7">
            <v>10000</v>
          </cell>
        </row>
      </sheetData>
      <sheetData sheetId="7984">
        <row r="7">
          <cell r="AI7">
            <v>10000</v>
          </cell>
        </row>
      </sheetData>
      <sheetData sheetId="7985">
        <row r="7">
          <cell r="AI7">
            <v>10000</v>
          </cell>
        </row>
      </sheetData>
      <sheetData sheetId="7986">
        <row r="7">
          <cell r="AI7">
            <v>10000</v>
          </cell>
        </row>
      </sheetData>
      <sheetData sheetId="7987">
        <row r="7">
          <cell r="AI7">
            <v>10000</v>
          </cell>
        </row>
      </sheetData>
      <sheetData sheetId="7988">
        <row r="7">
          <cell r="AI7">
            <v>10000</v>
          </cell>
        </row>
      </sheetData>
      <sheetData sheetId="7989">
        <row r="7">
          <cell r="AI7">
            <v>10000</v>
          </cell>
        </row>
      </sheetData>
      <sheetData sheetId="7990">
        <row r="7">
          <cell r="AI7">
            <v>10000</v>
          </cell>
        </row>
      </sheetData>
      <sheetData sheetId="7991">
        <row r="7">
          <cell r="AI7">
            <v>10000</v>
          </cell>
        </row>
      </sheetData>
      <sheetData sheetId="7992">
        <row r="7">
          <cell r="AI7">
            <v>10000</v>
          </cell>
        </row>
      </sheetData>
      <sheetData sheetId="7993">
        <row r="7">
          <cell r="AI7">
            <v>10000</v>
          </cell>
        </row>
      </sheetData>
      <sheetData sheetId="7994">
        <row r="7">
          <cell r="AI7">
            <v>10000</v>
          </cell>
        </row>
      </sheetData>
      <sheetData sheetId="7995">
        <row r="7">
          <cell r="AI7">
            <v>10000</v>
          </cell>
        </row>
      </sheetData>
      <sheetData sheetId="7996">
        <row r="7">
          <cell r="AI7">
            <v>10000</v>
          </cell>
        </row>
      </sheetData>
      <sheetData sheetId="7997">
        <row r="7">
          <cell r="AI7">
            <v>10000</v>
          </cell>
        </row>
      </sheetData>
      <sheetData sheetId="7998">
        <row r="7">
          <cell r="AI7">
            <v>10000</v>
          </cell>
        </row>
      </sheetData>
      <sheetData sheetId="7999">
        <row r="7">
          <cell r="AI7">
            <v>10000</v>
          </cell>
        </row>
      </sheetData>
      <sheetData sheetId="8000">
        <row r="7">
          <cell r="AI7">
            <v>10000</v>
          </cell>
        </row>
      </sheetData>
      <sheetData sheetId="8001">
        <row r="7">
          <cell r="AI7">
            <v>10000</v>
          </cell>
        </row>
      </sheetData>
      <sheetData sheetId="8002">
        <row r="7">
          <cell r="AI7">
            <v>10000</v>
          </cell>
        </row>
      </sheetData>
      <sheetData sheetId="8003">
        <row r="7">
          <cell r="AI7">
            <v>10000</v>
          </cell>
        </row>
      </sheetData>
      <sheetData sheetId="8004">
        <row r="7">
          <cell r="AI7">
            <v>10000</v>
          </cell>
        </row>
      </sheetData>
      <sheetData sheetId="8005">
        <row r="7">
          <cell r="AI7">
            <v>10000</v>
          </cell>
        </row>
      </sheetData>
      <sheetData sheetId="8006">
        <row r="7">
          <cell r="AI7">
            <v>10000</v>
          </cell>
        </row>
      </sheetData>
      <sheetData sheetId="8007">
        <row r="7">
          <cell r="AI7">
            <v>10000</v>
          </cell>
        </row>
      </sheetData>
      <sheetData sheetId="8008">
        <row r="7">
          <cell r="AI7">
            <v>10000</v>
          </cell>
        </row>
      </sheetData>
      <sheetData sheetId="8009">
        <row r="7">
          <cell r="AI7">
            <v>10000</v>
          </cell>
        </row>
      </sheetData>
      <sheetData sheetId="8010">
        <row r="7">
          <cell r="AI7">
            <v>10000</v>
          </cell>
        </row>
      </sheetData>
      <sheetData sheetId="8011">
        <row r="7">
          <cell r="AI7">
            <v>10000</v>
          </cell>
        </row>
      </sheetData>
      <sheetData sheetId="8012">
        <row r="7">
          <cell r="AI7">
            <v>10000</v>
          </cell>
        </row>
      </sheetData>
      <sheetData sheetId="8013">
        <row r="7">
          <cell r="AI7">
            <v>10000</v>
          </cell>
        </row>
      </sheetData>
      <sheetData sheetId="8014">
        <row r="7">
          <cell r="AI7">
            <v>10000</v>
          </cell>
        </row>
      </sheetData>
      <sheetData sheetId="8015">
        <row r="7">
          <cell r="AI7">
            <v>10000</v>
          </cell>
        </row>
      </sheetData>
      <sheetData sheetId="8016">
        <row r="7">
          <cell r="AI7">
            <v>10000</v>
          </cell>
        </row>
      </sheetData>
      <sheetData sheetId="8017">
        <row r="7">
          <cell r="AI7">
            <v>10000</v>
          </cell>
        </row>
      </sheetData>
      <sheetData sheetId="8018">
        <row r="7">
          <cell r="AI7">
            <v>10000</v>
          </cell>
        </row>
      </sheetData>
      <sheetData sheetId="8019">
        <row r="7">
          <cell r="AI7">
            <v>10000</v>
          </cell>
        </row>
      </sheetData>
      <sheetData sheetId="8020">
        <row r="7">
          <cell r="AI7">
            <v>10000</v>
          </cell>
        </row>
      </sheetData>
      <sheetData sheetId="8021">
        <row r="7">
          <cell r="AI7">
            <v>10000</v>
          </cell>
        </row>
      </sheetData>
      <sheetData sheetId="8022">
        <row r="7">
          <cell r="AI7">
            <v>10000</v>
          </cell>
        </row>
      </sheetData>
      <sheetData sheetId="8023">
        <row r="7">
          <cell r="AI7">
            <v>10000</v>
          </cell>
        </row>
      </sheetData>
      <sheetData sheetId="8024">
        <row r="7">
          <cell r="AI7">
            <v>10000</v>
          </cell>
        </row>
      </sheetData>
      <sheetData sheetId="8025">
        <row r="7">
          <cell r="AI7">
            <v>10000</v>
          </cell>
        </row>
      </sheetData>
      <sheetData sheetId="8026">
        <row r="7">
          <cell r="AI7">
            <v>10000</v>
          </cell>
        </row>
      </sheetData>
      <sheetData sheetId="8027">
        <row r="7">
          <cell r="AI7">
            <v>10000</v>
          </cell>
        </row>
      </sheetData>
      <sheetData sheetId="8028">
        <row r="7">
          <cell r="AI7">
            <v>10000</v>
          </cell>
        </row>
      </sheetData>
      <sheetData sheetId="8029">
        <row r="7">
          <cell r="AI7">
            <v>10000</v>
          </cell>
        </row>
      </sheetData>
      <sheetData sheetId="8030">
        <row r="7">
          <cell r="AI7">
            <v>10000</v>
          </cell>
        </row>
      </sheetData>
      <sheetData sheetId="8031">
        <row r="7">
          <cell r="AI7">
            <v>10000</v>
          </cell>
        </row>
      </sheetData>
      <sheetData sheetId="8032">
        <row r="7">
          <cell r="AI7">
            <v>10000</v>
          </cell>
        </row>
      </sheetData>
      <sheetData sheetId="8033">
        <row r="7">
          <cell r="AI7">
            <v>10000</v>
          </cell>
        </row>
      </sheetData>
      <sheetData sheetId="8034">
        <row r="7">
          <cell r="AI7">
            <v>10000</v>
          </cell>
        </row>
      </sheetData>
      <sheetData sheetId="8035">
        <row r="7">
          <cell r="AI7">
            <v>10000</v>
          </cell>
        </row>
      </sheetData>
      <sheetData sheetId="8036">
        <row r="7">
          <cell r="AI7">
            <v>10000</v>
          </cell>
        </row>
      </sheetData>
      <sheetData sheetId="8037">
        <row r="7">
          <cell r="AI7">
            <v>10000</v>
          </cell>
        </row>
      </sheetData>
      <sheetData sheetId="8038">
        <row r="7">
          <cell r="AI7">
            <v>10000</v>
          </cell>
        </row>
      </sheetData>
      <sheetData sheetId="8039">
        <row r="7">
          <cell r="AI7">
            <v>10000</v>
          </cell>
        </row>
      </sheetData>
      <sheetData sheetId="8040">
        <row r="7">
          <cell r="AI7">
            <v>10000</v>
          </cell>
        </row>
      </sheetData>
      <sheetData sheetId="8041">
        <row r="7">
          <cell r="AI7">
            <v>10000</v>
          </cell>
        </row>
      </sheetData>
      <sheetData sheetId="8042">
        <row r="7">
          <cell r="AI7">
            <v>10000</v>
          </cell>
        </row>
      </sheetData>
      <sheetData sheetId="8043">
        <row r="7">
          <cell r="AI7">
            <v>10000</v>
          </cell>
        </row>
      </sheetData>
      <sheetData sheetId="8044">
        <row r="7">
          <cell r="AI7">
            <v>10000</v>
          </cell>
        </row>
      </sheetData>
      <sheetData sheetId="8045">
        <row r="7">
          <cell r="AI7">
            <v>10000</v>
          </cell>
        </row>
      </sheetData>
      <sheetData sheetId="8046">
        <row r="7">
          <cell r="AI7">
            <v>10000</v>
          </cell>
        </row>
      </sheetData>
      <sheetData sheetId="8047">
        <row r="7">
          <cell r="AI7">
            <v>10000</v>
          </cell>
        </row>
      </sheetData>
      <sheetData sheetId="8048">
        <row r="7">
          <cell r="AI7">
            <v>10000</v>
          </cell>
        </row>
      </sheetData>
      <sheetData sheetId="8049">
        <row r="7">
          <cell r="AI7">
            <v>10000</v>
          </cell>
        </row>
      </sheetData>
      <sheetData sheetId="8050">
        <row r="7">
          <cell r="AI7">
            <v>10000</v>
          </cell>
        </row>
      </sheetData>
      <sheetData sheetId="8051">
        <row r="7">
          <cell r="AI7">
            <v>10000</v>
          </cell>
        </row>
      </sheetData>
      <sheetData sheetId="8052">
        <row r="7">
          <cell r="AI7">
            <v>10000</v>
          </cell>
        </row>
      </sheetData>
      <sheetData sheetId="8053">
        <row r="7">
          <cell r="AI7">
            <v>10000</v>
          </cell>
        </row>
      </sheetData>
      <sheetData sheetId="8054">
        <row r="7">
          <cell r="AI7">
            <v>10000</v>
          </cell>
        </row>
      </sheetData>
      <sheetData sheetId="8055">
        <row r="7">
          <cell r="AI7">
            <v>10000</v>
          </cell>
        </row>
      </sheetData>
      <sheetData sheetId="8056">
        <row r="7">
          <cell r="AI7">
            <v>10000</v>
          </cell>
        </row>
      </sheetData>
      <sheetData sheetId="8057">
        <row r="7">
          <cell r="AI7">
            <v>10000</v>
          </cell>
        </row>
      </sheetData>
      <sheetData sheetId="8058">
        <row r="7">
          <cell r="AI7">
            <v>10000</v>
          </cell>
        </row>
      </sheetData>
      <sheetData sheetId="8059">
        <row r="7">
          <cell r="AI7">
            <v>10000</v>
          </cell>
        </row>
      </sheetData>
      <sheetData sheetId="8060">
        <row r="7">
          <cell r="AI7">
            <v>10000</v>
          </cell>
        </row>
      </sheetData>
      <sheetData sheetId="8061">
        <row r="7">
          <cell r="AI7">
            <v>10000</v>
          </cell>
        </row>
      </sheetData>
      <sheetData sheetId="8062">
        <row r="7">
          <cell r="AI7">
            <v>10000</v>
          </cell>
        </row>
      </sheetData>
      <sheetData sheetId="8063">
        <row r="7">
          <cell r="AI7">
            <v>10000</v>
          </cell>
        </row>
      </sheetData>
      <sheetData sheetId="8064">
        <row r="7">
          <cell r="AI7">
            <v>10000</v>
          </cell>
        </row>
      </sheetData>
      <sheetData sheetId="8065">
        <row r="7">
          <cell r="AI7">
            <v>10000</v>
          </cell>
        </row>
      </sheetData>
      <sheetData sheetId="8066">
        <row r="7">
          <cell r="AI7">
            <v>10000</v>
          </cell>
        </row>
      </sheetData>
      <sheetData sheetId="8067">
        <row r="7">
          <cell r="AI7">
            <v>10000</v>
          </cell>
        </row>
      </sheetData>
      <sheetData sheetId="8068">
        <row r="7">
          <cell r="AI7">
            <v>10000</v>
          </cell>
        </row>
      </sheetData>
      <sheetData sheetId="8069">
        <row r="7">
          <cell r="AI7">
            <v>10000</v>
          </cell>
        </row>
      </sheetData>
      <sheetData sheetId="8070">
        <row r="7">
          <cell r="AI7">
            <v>10000</v>
          </cell>
        </row>
      </sheetData>
      <sheetData sheetId="8071">
        <row r="7">
          <cell r="AI7">
            <v>10000</v>
          </cell>
        </row>
      </sheetData>
      <sheetData sheetId="8072">
        <row r="7">
          <cell r="AI7">
            <v>10000</v>
          </cell>
        </row>
      </sheetData>
      <sheetData sheetId="8073">
        <row r="7">
          <cell r="AI7">
            <v>10000</v>
          </cell>
        </row>
      </sheetData>
      <sheetData sheetId="8074">
        <row r="7">
          <cell r="AI7">
            <v>10000</v>
          </cell>
        </row>
      </sheetData>
      <sheetData sheetId="8075">
        <row r="7">
          <cell r="AI7">
            <v>10000</v>
          </cell>
        </row>
      </sheetData>
      <sheetData sheetId="8076">
        <row r="7">
          <cell r="AI7">
            <v>10000</v>
          </cell>
        </row>
      </sheetData>
      <sheetData sheetId="8077">
        <row r="7">
          <cell r="AI7">
            <v>10000</v>
          </cell>
        </row>
      </sheetData>
      <sheetData sheetId="8078">
        <row r="7">
          <cell r="AI7">
            <v>10000</v>
          </cell>
        </row>
      </sheetData>
      <sheetData sheetId="8079">
        <row r="7">
          <cell r="AI7">
            <v>10000</v>
          </cell>
        </row>
      </sheetData>
      <sheetData sheetId="8080">
        <row r="7">
          <cell r="AI7">
            <v>10000</v>
          </cell>
        </row>
      </sheetData>
      <sheetData sheetId="8081">
        <row r="7">
          <cell r="AI7">
            <v>10000</v>
          </cell>
        </row>
      </sheetData>
      <sheetData sheetId="8082">
        <row r="7">
          <cell r="AI7">
            <v>10000</v>
          </cell>
        </row>
      </sheetData>
      <sheetData sheetId="8083">
        <row r="7">
          <cell r="AI7">
            <v>10000</v>
          </cell>
        </row>
      </sheetData>
      <sheetData sheetId="8084">
        <row r="7">
          <cell r="AI7">
            <v>10000</v>
          </cell>
        </row>
      </sheetData>
      <sheetData sheetId="8085">
        <row r="7">
          <cell r="AI7">
            <v>10000</v>
          </cell>
        </row>
      </sheetData>
      <sheetData sheetId="8086">
        <row r="7">
          <cell r="AI7">
            <v>10000</v>
          </cell>
        </row>
      </sheetData>
      <sheetData sheetId="8087">
        <row r="7">
          <cell r="AI7">
            <v>10000</v>
          </cell>
        </row>
      </sheetData>
      <sheetData sheetId="8088">
        <row r="7">
          <cell r="AI7">
            <v>10000</v>
          </cell>
        </row>
      </sheetData>
      <sheetData sheetId="8089">
        <row r="7">
          <cell r="AI7">
            <v>10000</v>
          </cell>
        </row>
      </sheetData>
      <sheetData sheetId="8090">
        <row r="7">
          <cell r="AI7">
            <v>10000</v>
          </cell>
        </row>
      </sheetData>
      <sheetData sheetId="8091">
        <row r="7">
          <cell r="AI7">
            <v>10000</v>
          </cell>
        </row>
      </sheetData>
      <sheetData sheetId="8092">
        <row r="7">
          <cell r="AI7">
            <v>10000</v>
          </cell>
        </row>
      </sheetData>
      <sheetData sheetId="8093">
        <row r="7">
          <cell r="AI7">
            <v>10000</v>
          </cell>
        </row>
      </sheetData>
      <sheetData sheetId="8094">
        <row r="7">
          <cell r="AI7">
            <v>10000</v>
          </cell>
        </row>
      </sheetData>
      <sheetData sheetId="8095">
        <row r="7">
          <cell r="AI7">
            <v>10000</v>
          </cell>
        </row>
      </sheetData>
      <sheetData sheetId="8096">
        <row r="7">
          <cell r="AI7">
            <v>10000</v>
          </cell>
        </row>
      </sheetData>
      <sheetData sheetId="8097">
        <row r="7">
          <cell r="AI7">
            <v>10000</v>
          </cell>
        </row>
      </sheetData>
      <sheetData sheetId="8098">
        <row r="7">
          <cell r="AI7">
            <v>10000</v>
          </cell>
        </row>
      </sheetData>
      <sheetData sheetId="8099">
        <row r="7">
          <cell r="AI7">
            <v>10000</v>
          </cell>
        </row>
      </sheetData>
      <sheetData sheetId="8100">
        <row r="7">
          <cell r="AI7">
            <v>10000</v>
          </cell>
        </row>
      </sheetData>
      <sheetData sheetId="8101">
        <row r="7">
          <cell r="AI7">
            <v>10000</v>
          </cell>
        </row>
      </sheetData>
      <sheetData sheetId="8102">
        <row r="7">
          <cell r="AI7">
            <v>10000</v>
          </cell>
        </row>
      </sheetData>
      <sheetData sheetId="8103">
        <row r="7">
          <cell r="AI7">
            <v>10000</v>
          </cell>
        </row>
      </sheetData>
      <sheetData sheetId="8104">
        <row r="7">
          <cell r="AI7">
            <v>10000</v>
          </cell>
        </row>
      </sheetData>
      <sheetData sheetId="8105">
        <row r="7">
          <cell r="AI7">
            <v>10000</v>
          </cell>
        </row>
      </sheetData>
      <sheetData sheetId="8106">
        <row r="7">
          <cell r="AI7">
            <v>10000</v>
          </cell>
        </row>
      </sheetData>
      <sheetData sheetId="8107">
        <row r="7">
          <cell r="AI7">
            <v>10000</v>
          </cell>
        </row>
      </sheetData>
      <sheetData sheetId="8108">
        <row r="7">
          <cell r="AI7">
            <v>10000</v>
          </cell>
        </row>
      </sheetData>
      <sheetData sheetId="8109">
        <row r="7">
          <cell r="AI7">
            <v>10000</v>
          </cell>
        </row>
      </sheetData>
      <sheetData sheetId="8110">
        <row r="7">
          <cell r="AI7">
            <v>10000</v>
          </cell>
        </row>
      </sheetData>
      <sheetData sheetId="8111">
        <row r="7">
          <cell r="AI7">
            <v>10000</v>
          </cell>
        </row>
      </sheetData>
      <sheetData sheetId="8112">
        <row r="7">
          <cell r="AI7">
            <v>10000</v>
          </cell>
        </row>
      </sheetData>
      <sheetData sheetId="8113">
        <row r="7">
          <cell r="AI7">
            <v>10000</v>
          </cell>
        </row>
      </sheetData>
      <sheetData sheetId="8114">
        <row r="7">
          <cell r="AI7">
            <v>10000</v>
          </cell>
        </row>
      </sheetData>
      <sheetData sheetId="8115">
        <row r="7">
          <cell r="AI7">
            <v>10000</v>
          </cell>
        </row>
      </sheetData>
      <sheetData sheetId="8116">
        <row r="7">
          <cell r="AI7">
            <v>10000</v>
          </cell>
        </row>
      </sheetData>
      <sheetData sheetId="8117">
        <row r="7">
          <cell r="AI7">
            <v>10000</v>
          </cell>
        </row>
      </sheetData>
      <sheetData sheetId="8118">
        <row r="7">
          <cell r="AI7">
            <v>10000</v>
          </cell>
        </row>
      </sheetData>
      <sheetData sheetId="8119">
        <row r="7">
          <cell r="AI7">
            <v>10000</v>
          </cell>
        </row>
      </sheetData>
      <sheetData sheetId="8120">
        <row r="7">
          <cell r="AI7">
            <v>10000</v>
          </cell>
        </row>
      </sheetData>
      <sheetData sheetId="8121">
        <row r="7">
          <cell r="AI7">
            <v>10000</v>
          </cell>
        </row>
      </sheetData>
      <sheetData sheetId="8122">
        <row r="7">
          <cell r="AI7">
            <v>10000</v>
          </cell>
        </row>
      </sheetData>
      <sheetData sheetId="8123">
        <row r="7">
          <cell r="AI7">
            <v>10000</v>
          </cell>
        </row>
      </sheetData>
      <sheetData sheetId="8124">
        <row r="7">
          <cell r="AI7">
            <v>10000</v>
          </cell>
        </row>
      </sheetData>
      <sheetData sheetId="8125">
        <row r="7">
          <cell r="AI7">
            <v>10000</v>
          </cell>
        </row>
      </sheetData>
      <sheetData sheetId="8126">
        <row r="7">
          <cell r="AI7">
            <v>10000</v>
          </cell>
        </row>
      </sheetData>
      <sheetData sheetId="8127">
        <row r="7">
          <cell r="AI7">
            <v>10000</v>
          </cell>
        </row>
      </sheetData>
      <sheetData sheetId="8128">
        <row r="7">
          <cell r="AI7">
            <v>10000</v>
          </cell>
        </row>
      </sheetData>
      <sheetData sheetId="8129">
        <row r="7">
          <cell r="AI7">
            <v>10000</v>
          </cell>
        </row>
      </sheetData>
      <sheetData sheetId="8130">
        <row r="7">
          <cell r="AI7">
            <v>10000</v>
          </cell>
        </row>
      </sheetData>
      <sheetData sheetId="8131">
        <row r="7">
          <cell r="AI7">
            <v>10000</v>
          </cell>
        </row>
      </sheetData>
      <sheetData sheetId="8132">
        <row r="7">
          <cell r="AI7">
            <v>10000</v>
          </cell>
        </row>
      </sheetData>
      <sheetData sheetId="8133">
        <row r="7">
          <cell r="AI7">
            <v>10000</v>
          </cell>
        </row>
      </sheetData>
      <sheetData sheetId="8134">
        <row r="7">
          <cell r="AI7">
            <v>10000</v>
          </cell>
        </row>
      </sheetData>
      <sheetData sheetId="8135">
        <row r="7">
          <cell r="AI7">
            <v>10000</v>
          </cell>
        </row>
      </sheetData>
      <sheetData sheetId="8136">
        <row r="7">
          <cell r="AI7">
            <v>10000</v>
          </cell>
        </row>
      </sheetData>
      <sheetData sheetId="8137">
        <row r="7">
          <cell r="AI7">
            <v>10000</v>
          </cell>
        </row>
      </sheetData>
      <sheetData sheetId="8138">
        <row r="7">
          <cell r="AI7">
            <v>10000</v>
          </cell>
        </row>
      </sheetData>
      <sheetData sheetId="8139">
        <row r="7">
          <cell r="AI7">
            <v>10000</v>
          </cell>
        </row>
      </sheetData>
      <sheetData sheetId="8140">
        <row r="7">
          <cell r="AI7">
            <v>10000</v>
          </cell>
        </row>
      </sheetData>
      <sheetData sheetId="8141">
        <row r="7">
          <cell r="AI7">
            <v>10000</v>
          </cell>
        </row>
      </sheetData>
      <sheetData sheetId="8142">
        <row r="7">
          <cell r="AI7">
            <v>10000</v>
          </cell>
        </row>
      </sheetData>
      <sheetData sheetId="8143">
        <row r="7">
          <cell r="AI7">
            <v>10000</v>
          </cell>
        </row>
      </sheetData>
      <sheetData sheetId="8144">
        <row r="7">
          <cell r="AI7">
            <v>10000</v>
          </cell>
        </row>
      </sheetData>
      <sheetData sheetId="8145">
        <row r="7">
          <cell r="AI7">
            <v>10000</v>
          </cell>
        </row>
      </sheetData>
      <sheetData sheetId="8146">
        <row r="7">
          <cell r="AI7">
            <v>10000</v>
          </cell>
        </row>
      </sheetData>
      <sheetData sheetId="8147">
        <row r="7">
          <cell r="AI7">
            <v>10000</v>
          </cell>
        </row>
      </sheetData>
      <sheetData sheetId="8148">
        <row r="7">
          <cell r="AI7">
            <v>10000</v>
          </cell>
        </row>
      </sheetData>
      <sheetData sheetId="8149">
        <row r="7">
          <cell r="AI7">
            <v>10000</v>
          </cell>
        </row>
      </sheetData>
      <sheetData sheetId="8150">
        <row r="7">
          <cell r="AI7">
            <v>10000</v>
          </cell>
        </row>
      </sheetData>
      <sheetData sheetId="8151">
        <row r="7">
          <cell r="AI7">
            <v>10000</v>
          </cell>
        </row>
      </sheetData>
      <sheetData sheetId="8152">
        <row r="7">
          <cell r="AI7">
            <v>10000</v>
          </cell>
        </row>
      </sheetData>
      <sheetData sheetId="8153">
        <row r="7">
          <cell r="AI7">
            <v>10000</v>
          </cell>
        </row>
      </sheetData>
      <sheetData sheetId="8154">
        <row r="7">
          <cell r="AI7">
            <v>10000</v>
          </cell>
        </row>
      </sheetData>
      <sheetData sheetId="8155">
        <row r="7">
          <cell r="AI7">
            <v>10000</v>
          </cell>
        </row>
      </sheetData>
      <sheetData sheetId="8156">
        <row r="7">
          <cell r="AI7">
            <v>10000</v>
          </cell>
        </row>
      </sheetData>
      <sheetData sheetId="8157">
        <row r="7">
          <cell r="AI7">
            <v>10000</v>
          </cell>
        </row>
      </sheetData>
      <sheetData sheetId="8158">
        <row r="7">
          <cell r="AI7">
            <v>10000</v>
          </cell>
        </row>
      </sheetData>
      <sheetData sheetId="8159">
        <row r="7">
          <cell r="AI7">
            <v>10000</v>
          </cell>
        </row>
      </sheetData>
      <sheetData sheetId="8160">
        <row r="7">
          <cell r="AI7">
            <v>10000</v>
          </cell>
        </row>
      </sheetData>
      <sheetData sheetId="8161">
        <row r="7">
          <cell r="AI7">
            <v>10000</v>
          </cell>
        </row>
      </sheetData>
      <sheetData sheetId="8162">
        <row r="7">
          <cell r="AI7">
            <v>10000</v>
          </cell>
        </row>
      </sheetData>
      <sheetData sheetId="8163">
        <row r="7">
          <cell r="AI7">
            <v>10000</v>
          </cell>
        </row>
      </sheetData>
      <sheetData sheetId="8164">
        <row r="7">
          <cell r="AI7">
            <v>10000</v>
          </cell>
        </row>
      </sheetData>
      <sheetData sheetId="8165">
        <row r="7">
          <cell r="AI7">
            <v>10000</v>
          </cell>
        </row>
      </sheetData>
      <sheetData sheetId="8166">
        <row r="7">
          <cell r="AI7">
            <v>10000</v>
          </cell>
        </row>
      </sheetData>
      <sheetData sheetId="8167">
        <row r="7">
          <cell r="AI7">
            <v>10000</v>
          </cell>
        </row>
      </sheetData>
      <sheetData sheetId="8168">
        <row r="7">
          <cell r="AI7">
            <v>10000</v>
          </cell>
        </row>
      </sheetData>
      <sheetData sheetId="8169">
        <row r="7">
          <cell r="AI7">
            <v>10000</v>
          </cell>
        </row>
      </sheetData>
      <sheetData sheetId="8170">
        <row r="7">
          <cell r="AI7">
            <v>10000</v>
          </cell>
        </row>
      </sheetData>
      <sheetData sheetId="8171">
        <row r="7">
          <cell r="AI7">
            <v>10000</v>
          </cell>
        </row>
      </sheetData>
      <sheetData sheetId="8172">
        <row r="7">
          <cell r="AI7">
            <v>10000</v>
          </cell>
        </row>
      </sheetData>
      <sheetData sheetId="8173">
        <row r="7">
          <cell r="AI7">
            <v>10000</v>
          </cell>
        </row>
      </sheetData>
      <sheetData sheetId="8174">
        <row r="7">
          <cell r="AI7">
            <v>10000</v>
          </cell>
        </row>
      </sheetData>
      <sheetData sheetId="8175">
        <row r="7">
          <cell r="AI7">
            <v>10000</v>
          </cell>
        </row>
      </sheetData>
      <sheetData sheetId="8176">
        <row r="7">
          <cell r="AI7">
            <v>10000</v>
          </cell>
        </row>
      </sheetData>
      <sheetData sheetId="8177">
        <row r="7">
          <cell r="AI7">
            <v>10000</v>
          </cell>
        </row>
      </sheetData>
      <sheetData sheetId="8178">
        <row r="7">
          <cell r="AI7">
            <v>10000</v>
          </cell>
        </row>
      </sheetData>
      <sheetData sheetId="8179">
        <row r="7">
          <cell r="AI7">
            <v>10000</v>
          </cell>
        </row>
      </sheetData>
      <sheetData sheetId="8180">
        <row r="7">
          <cell r="AI7">
            <v>10000</v>
          </cell>
        </row>
      </sheetData>
      <sheetData sheetId="8181">
        <row r="7">
          <cell r="AI7">
            <v>10000</v>
          </cell>
        </row>
      </sheetData>
      <sheetData sheetId="8182">
        <row r="7">
          <cell r="AI7">
            <v>10000</v>
          </cell>
        </row>
      </sheetData>
      <sheetData sheetId="8183">
        <row r="7">
          <cell r="AI7">
            <v>10000</v>
          </cell>
        </row>
      </sheetData>
      <sheetData sheetId="8184">
        <row r="7">
          <cell r="AI7">
            <v>10000</v>
          </cell>
        </row>
      </sheetData>
      <sheetData sheetId="8185">
        <row r="7">
          <cell r="AI7">
            <v>10000</v>
          </cell>
        </row>
      </sheetData>
      <sheetData sheetId="8186">
        <row r="7">
          <cell r="AI7">
            <v>10000</v>
          </cell>
        </row>
      </sheetData>
      <sheetData sheetId="8187">
        <row r="7">
          <cell r="AI7">
            <v>10000</v>
          </cell>
        </row>
      </sheetData>
      <sheetData sheetId="8188">
        <row r="7">
          <cell r="AI7">
            <v>10000</v>
          </cell>
        </row>
      </sheetData>
      <sheetData sheetId="8189">
        <row r="7">
          <cell r="AI7">
            <v>10000</v>
          </cell>
        </row>
      </sheetData>
      <sheetData sheetId="8190">
        <row r="7">
          <cell r="AI7">
            <v>10000</v>
          </cell>
        </row>
      </sheetData>
      <sheetData sheetId="8191">
        <row r="7">
          <cell r="AI7">
            <v>10000</v>
          </cell>
        </row>
      </sheetData>
      <sheetData sheetId="8192">
        <row r="7">
          <cell r="AI7">
            <v>10000</v>
          </cell>
        </row>
      </sheetData>
      <sheetData sheetId="8193">
        <row r="7">
          <cell r="AI7">
            <v>10000</v>
          </cell>
        </row>
      </sheetData>
      <sheetData sheetId="8194">
        <row r="7">
          <cell r="AI7">
            <v>10000</v>
          </cell>
        </row>
      </sheetData>
      <sheetData sheetId="8195">
        <row r="7">
          <cell r="AI7">
            <v>10000</v>
          </cell>
        </row>
      </sheetData>
      <sheetData sheetId="8196">
        <row r="7">
          <cell r="AI7">
            <v>10000</v>
          </cell>
        </row>
      </sheetData>
      <sheetData sheetId="8197">
        <row r="7">
          <cell r="AI7">
            <v>10000</v>
          </cell>
        </row>
      </sheetData>
      <sheetData sheetId="8198">
        <row r="7">
          <cell r="AI7">
            <v>10000</v>
          </cell>
        </row>
      </sheetData>
      <sheetData sheetId="8199">
        <row r="7">
          <cell r="AI7">
            <v>10000</v>
          </cell>
        </row>
      </sheetData>
      <sheetData sheetId="8200">
        <row r="7">
          <cell r="AI7">
            <v>10000</v>
          </cell>
        </row>
      </sheetData>
      <sheetData sheetId="8201">
        <row r="7">
          <cell r="AI7">
            <v>10000</v>
          </cell>
        </row>
      </sheetData>
      <sheetData sheetId="8202">
        <row r="7">
          <cell r="AI7">
            <v>10000</v>
          </cell>
        </row>
      </sheetData>
      <sheetData sheetId="8203">
        <row r="7">
          <cell r="AI7">
            <v>10000</v>
          </cell>
        </row>
      </sheetData>
      <sheetData sheetId="8204">
        <row r="7">
          <cell r="AI7">
            <v>10000</v>
          </cell>
        </row>
      </sheetData>
      <sheetData sheetId="8205">
        <row r="7">
          <cell r="AI7">
            <v>10000</v>
          </cell>
        </row>
      </sheetData>
      <sheetData sheetId="8206">
        <row r="7">
          <cell r="AI7">
            <v>10000</v>
          </cell>
        </row>
      </sheetData>
      <sheetData sheetId="8207">
        <row r="7">
          <cell r="AI7">
            <v>10000</v>
          </cell>
        </row>
      </sheetData>
      <sheetData sheetId="8208">
        <row r="7">
          <cell r="AI7">
            <v>10000</v>
          </cell>
        </row>
      </sheetData>
      <sheetData sheetId="8209">
        <row r="7">
          <cell r="AI7">
            <v>10000</v>
          </cell>
        </row>
      </sheetData>
      <sheetData sheetId="8210">
        <row r="7">
          <cell r="AI7">
            <v>10000</v>
          </cell>
        </row>
      </sheetData>
      <sheetData sheetId="8211">
        <row r="7">
          <cell r="AI7">
            <v>10000</v>
          </cell>
        </row>
      </sheetData>
      <sheetData sheetId="8212">
        <row r="7">
          <cell r="AI7">
            <v>10000</v>
          </cell>
        </row>
      </sheetData>
      <sheetData sheetId="8213">
        <row r="7">
          <cell r="AI7">
            <v>10000</v>
          </cell>
        </row>
      </sheetData>
      <sheetData sheetId="8214">
        <row r="7">
          <cell r="AI7">
            <v>10000</v>
          </cell>
        </row>
      </sheetData>
      <sheetData sheetId="8215">
        <row r="7">
          <cell r="AI7">
            <v>10000</v>
          </cell>
        </row>
      </sheetData>
      <sheetData sheetId="8216">
        <row r="7">
          <cell r="AI7">
            <v>10000</v>
          </cell>
        </row>
      </sheetData>
      <sheetData sheetId="8217">
        <row r="7">
          <cell r="AI7">
            <v>10000</v>
          </cell>
        </row>
      </sheetData>
      <sheetData sheetId="8218">
        <row r="7">
          <cell r="AI7">
            <v>10000</v>
          </cell>
        </row>
      </sheetData>
      <sheetData sheetId="8219">
        <row r="7">
          <cell r="AI7">
            <v>10000</v>
          </cell>
        </row>
      </sheetData>
      <sheetData sheetId="8220">
        <row r="7">
          <cell r="AI7">
            <v>10000</v>
          </cell>
        </row>
      </sheetData>
      <sheetData sheetId="8221">
        <row r="7">
          <cell r="AI7">
            <v>10000</v>
          </cell>
        </row>
      </sheetData>
      <sheetData sheetId="8222">
        <row r="7">
          <cell r="AI7">
            <v>10000</v>
          </cell>
        </row>
      </sheetData>
      <sheetData sheetId="8223">
        <row r="7">
          <cell r="AI7">
            <v>10000</v>
          </cell>
        </row>
      </sheetData>
      <sheetData sheetId="8224">
        <row r="7">
          <cell r="AI7">
            <v>10000</v>
          </cell>
        </row>
      </sheetData>
      <sheetData sheetId="8225">
        <row r="7">
          <cell r="AI7">
            <v>10000</v>
          </cell>
        </row>
      </sheetData>
      <sheetData sheetId="8226">
        <row r="7">
          <cell r="AI7">
            <v>10000</v>
          </cell>
        </row>
      </sheetData>
      <sheetData sheetId="8227">
        <row r="7">
          <cell r="AI7">
            <v>10000</v>
          </cell>
        </row>
      </sheetData>
      <sheetData sheetId="8228">
        <row r="7">
          <cell r="AI7">
            <v>10000</v>
          </cell>
        </row>
      </sheetData>
      <sheetData sheetId="8229">
        <row r="7">
          <cell r="AI7">
            <v>10000</v>
          </cell>
        </row>
      </sheetData>
      <sheetData sheetId="8230">
        <row r="7">
          <cell r="AI7">
            <v>10000</v>
          </cell>
        </row>
      </sheetData>
      <sheetData sheetId="8231">
        <row r="7">
          <cell r="AI7">
            <v>10000</v>
          </cell>
        </row>
      </sheetData>
      <sheetData sheetId="8232">
        <row r="7">
          <cell r="AI7">
            <v>10000</v>
          </cell>
        </row>
      </sheetData>
      <sheetData sheetId="8233">
        <row r="7">
          <cell r="AI7">
            <v>10000</v>
          </cell>
        </row>
      </sheetData>
      <sheetData sheetId="8234">
        <row r="7">
          <cell r="AI7">
            <v>10000</v>
          </cell>
        </row>
      </sheetData>
      <sheetData sheetId="8235">
        <row r="7">
          <cell r="AI7">
            <v>10000</v>
          </cell>
        </row>
      </sheetData>
      <sheetData sheetId="8236">
        <row r="7">
          <cell r="AI7">
            <v>10000</v>
          </cell>
        </row>
      </sheetData>
      <sheetData sheetId="8237">
        <row r="7">
          <cell r="AI7">
            <v>10000</v>
          </cell>
        </row>
      </sheetData>
      <sheetData sheetId="8238">
        <row r="7">
          <cell r="AI7">
            <v>10000</v>
          </cell>
        </row>
      </sheetData>
      <sheetData sheetId="8239">
        <row r="7">
          <cell r="AI7">
            <v>10000</v>
          </cell>
        </row>
      </sheetData>
      <sheetData sheetId="8240">
        <row r="7">
          <cell r="AI7">
            <v>10000</v>
          </cell>
        </row>
      </sheetData>
      <sheetData sheetId="8241">
        <row r="7">
          <cell r="AI7">
            <v>10000</v>
          </cell>
        </row>
      </sheetData>
      <sheetData sheetId="8242">
        <row r="7">
          <cell r="AI7">
            <v>10000</v>
          </cell>
        </row>
      </sheetData>
      <sheetData sheetId="8243">
        <row r="7">
          <cell r="AI7">
            <v>10000</v>
          </cell>
        </row>
      </sheetData>
      <sheetData sheetId="8244">
        <row r="7">
          <cell r="AI7">
            <v>10000</v>
          </cell>
        </row>
      </sheetData>
      <sheetData sheetId="8245">
        <row r="7">
          <cell r="AI7">
            <v>10000</v>
          </cell>
        </row>
      </sheetData>
      <sheetData sheetId="8246">
        <row r="7">
          <cell r="AI7">
            <v>10000</v>
          </cell>
        </row>
      </sheetData>
      <sheetData sheetId="8247">
        <row r="7">
          <cell r="AI7">
            <v>10000</v>
          </cell>
        </row>
      </sheetData>
      <sheetData sheetId="8248">
        <row r="7">
          <cell r="AI7">
            <v>10000</v>
          </cell>
        </row>
      </sheetData>
      <sheetData sheetId="8249">
        <row r="7">
          <cell r="AI7">
            <v>10000</v>
          </cell>
        </row>
      </sheetData>
      <sheetData sheetId="8250">
        <row r="7">
          <cell r="AI7">
            <v>10000</v>
          </cell>
        </row>
      </sheetData>
      <sheetData sheetId="8251">
        <row r="7">
          <cell r="AI7">
            <v>10000</v>
          </cell>
        </row>
      </sheetData>
      <sheetData sheetId="8252">
        <row r="7">
          <cell r="AI7">
            <v>10000</v>
          </cell>
        </row>
      </sheetData>
      <sheetData sheetId="8253">
        <row r="7">
          <cell r="AI7">
            <v>10000</v>
          </cell>
        </row>
      </sheetData>
      <sheetData sheetId="8254">
        <row r="7">
          <cell r="AI7">
            <v>10000</v>
          </cell>
        </row>
      </sheetData>
      <sheetData sheetId="8255">
        <row r="7">
          <cell r="AI7">
            <v>10000</v>
          </cell>
        </row>
      </sheetData>
      <sheetData sheetId="8256">
        <row r="7">
          <cell r="AI7">
            <v>10000</v>
          </cell>
        </row>
      </sheetData>
      <sheetData sheetId="8257">
        <row r="7">
          <cell r="AI7">
            <v>10000</v>
          </cell>
        </row>
      </sheetData>
      <sheetData sheetId="8258">
        <row r="7">
          <cell r="AI7">
            <v>10000</v>
          </cell>
        </row>
      </sheetData>
      <sheetData sheetId="8259">
        <row r="7">
          <cell r="AI7">
            <v>10000</v>
          </cell>
        </row>
      </sheetData>
      <sheetData sheetId="8260">
        <row r="7">
          <cell r="AI7">
            <v>10000</v>
          </cell>
        </row>
      </sheetData>
      <sheetData sheetId="8261">
        <row r="7">
          <cell r="AI7">
            <v>10000</v>
          </cell>
        </row>
      </sheetData>
      <sheetData sheetId="8262">
        <row r="7">
          <cell r="AI7">
            <v>10000</v>
          </cell>
        </row>
      </sheetData>
      <sheetData sheetId="8263">
        <row r="7">
          <cell r="AI7">
            <v>10000</v>
          </cell>
        </row>
      </sheetData>
      <sheetData sheetId="8264">
        <row r="7">
          <cell r="AI7">
            <v>10000</v>
          </cell>
        </row>
      </sheetData>
      <sheetData sheetId="8265">
        <row r="7">
          <cell r="AI7">
            <v>10000</v>
          </cell>
        </row>
      </sheetData>
      <sheetData sheetId="8266">
        <row r="7">
          <cell r="AI7">
            <v>10000</v>
          </cell>
        </row>
      </sheetData>
      <sheetData sheetId="8267">
        <row r="7">
          <cell r="AI7">
            <v>10000</v>
          </cell>
        </row>
      </sheetData>
      <sheetData sheetId="8268">
        <row r="7">
          <cell r="AI7">
            <v>10000</v>
          </cell>
        </row>
      </sheetData>
      <sheetData sheetId="8269">
        <row r="7">
          <cell r="AI7">
            <v>10000</v>
          </cell>
        </row>
      </sheetData>
      <sheetData sheetId="8270">
        <row r="7">
          <cell r="AI7">
            <v>10000</v>
          </cell>
        </row>
      </sheetData>
      <sheetData sheetId="8271">
        <row r="7">
          <cell r="AI7">
            <v>10000</v>
          </cell>
        </row>
      </sheetData>
      <sheetData sheetId="8272">
        <row r="7">
          <cell r="AI7">
            <v>10000</v>
          </cell>
        </row>
      </sheetData>
      <sheetData sheetId="8273">
        <row r="7">
          <cell r="AI7">
            <v>10000</v>
          </cell>
        </row>
      </sheetData>
      <sheetData sheetId="8274">
        <row r="7">
          <cell r="AI7">
            <v>10000</v>
          </cell>
        </row>
      </sheetData>
      <sheetData sheetId="8275">
        <row r="7">
          <cell r="AI7">
            <v>10000</v>
          </cell>
        </row>
      </sheetData>
      <sheetData sheetId="8276">
        <row r="7">
          <cell r="AI7">
            <v>10000</v>
          </cell>
        </row>
      </sheetData>
      <sheetData sheetId="8277">
        <row r="7">
          <cell r="AI7">
            <v>10000</v>
          </cell>
        </row>
      </sheetData>
      <sheetData sheetId="8278">
        <row r="7">
          <cell r="AI7">
            <v>10000</v>
          </cell>
        </row>
      </sheetData>
      <sheetData sheetId="8279">
        <row r="7">
          <cell r="AI7">
            <v>10000</v>
          </cell>
        </row>
      </sheetData>
      <sheetData sheetId="8280">
        <row r="7">
          <cell r="AI7">
            <v>10000</v>
          </cell>
        </row>
      </sheetData>
      <sheetData sheetId="8281">
        <row r="7">
          <cell r="AI7">
            <v>10000</v>
          </cell>
        </row>
      </sheetData>
      <sheetData sheetId="8282">
        <row r="7">
          <cell r="AI7">
            <v>10000</v>
          </cell>
        </row>
      </sheetData>
      <sheetData sheetId="8283">
        <row r="7">
          <cell r="AI7">
            <v>10000</v>
          </cell>
        </row>
      </sheetData>
      <sheetData sheetId="8284">
        <row r="7">
          <cell r="AI7">
            <v>10000</v>
          </cell>
        </row>
      </sheetData>
      <sheetData sheetId="8285">
        <row r="7">
          <cell r="AI7">
            <v>10000</v>
          </cell>
        </row>
      </sheetData>
      <sheetData sheetId="8286">
        <row r="7">
          <cell r="AI7">
            <v>10000</v>
          </cell>
        </row>
      </sheetData>
      <sheetData sheetId="8287">
        <row r="7">
          <cell r="AI7">
            <v>10000</v>
          </cell>
        </row>
      </sheetData>
      <sheetData sheetId="8288">
        <row r="7">
          <cell r="AI7">
            <v>10000</v>
          </cell>
        </row>
      </sheetData>
      <sheetData sheetId="8289">
        <row r="7">
          <cell r="AI7">
            <v>10000</v>
          </cell>
        </row>
      </sheetData>
      <sheetData sheetId="8290">
        <row r="7">
          <cell r="AI7">
            <v>10000</v>
          </cell>
        </row>
      </sheetData>
      <sheetData sheetId="8291">
        <row r="7">
          <cell r="AI7">
            <v>10000</v>
          </cell>
        </row>
      </sheetData>
      <sheetData sheetId="8292">
        <row r="7">
          <cell r="AI7">
            <v>10000</v>
          </cell>
        </row>
      </sheetData>
      <sheetData sheetId="8293">
        <row r="7">
          <cell r="AI7">
            <v>10000</v>
          </cell>
        </row>
      </sheetData>
      <sheetData sheetId="8294">
        <row r="7">
          <cell r="AI7">
            <v>10000</v>
          </cell>
        </row>
      </sheetData>
      <sheetData sheetId="8295">
        <row r="7">
          <cell r="AI7">
            <v>10000</v>
          </cell>
        </row>
      </sheetData>
      <sheetData sheetId="8296">
        <row r="7">
          <cell r="AI7">
            <v>10000</v>
          </cell>
        </row>
      </sheetData>
      <sheetData sheetId="8297">
        <row r="7">
          <cell r="AI7">
            <v>10000</v>
          </cell>
        </row>
      </sheetData>
      <sheetData sheetId="8298">
        <row r="7">
          <cell r="AI7">
            <v>10000</v>
          </cell>
        </row>
      </sheetData>
      <sheetData sheetId="8299">
        <row r="7">
          <cell r="AI7">
            <v>10000</v>
          </cell>
        </row>
      </sheetData>
      <sheetData sheetId="8300">
        <row r="7">
          <cell r="AI7">
            <v>10000</v>
          </cell>
        </row>
      </sheetData>
      <sheetData sheetId="8301">
        <row r="7">
          <cell r="AI7">
            <v>10000</v>
          </cell>
        </row>
      </sheetData>
      <sheetData sheetId="8302">
        <row r="7">
          <cell r="AI7">
            <v>10000</v>
          </cell>
        </row>
      </sheetData>
      <sheetData sheetId="8303">
        <row r="7">
          <cell r="AI7">
            <v>10000</v>
          </cell>
        </row>
      </sheetData>
      <sheetData sheetId="8304">
        <row r="7">
          <cell r="AI7">
            <v>10000</v>
          </cell>
        </row>
      </sheetData>
      <sheetData sheetId="8305">
        <row r="7">
          <cell r="AI7">
            <v>10000</v>
          </cell>
        </row>
      </sheetData>
      <sheetData sheetId="8306">
        <row r="7">
          <cell r="AI7">
            <v>10000</v>
          </cell>
        </row>
      </sheetData>
      <sheetData sheetId="8307">
        <row r="7">
          <cell r="AI7">
            <v>10000</v>
          </cell>
        </row>
      </sheetData>
      <sheetData sheetId="8308">
        <row r="7">
          <cell r="AI7">
            <v>10000</v>
          </cell>
        </row>
      </sheetData>
      <sheetData sheetId="8309">
        <row r="7">
          <cell r="AI7">
            <v>10000</v>
          </cell>
        </row>
      </sheetData>
      <sheetData sheetId="8310">
        <row r="7">
          <cell r="AI7">
            <v>10000</v>
          </cell>
        </row>
      </sheetData>
      <sheetData sheetId="8311">
        <row r="7">
          <cell r="AI7">
            <v>10000</v>
          </cell>
        </row>
      </sheetData>
      <sheetData sheetId="8312">
        <row r="7">
          <cell r="AI7">
            <v>10000</v>
          </cell>
        </row>
      </sheetData>
      <sheetData sheetId="8313">
        <row r="7">
          <cell r="AI7">
            <v>10000</v>
          </cell>
        </row>
      </sheetData>
      <sheetData sheetId="8314">
        <row r="7">
          <cell r="AI7">
            <v>10000</v>
          </cell>
        </row>
      </sheetData>
      <sheetData sheetId="8315">
        <row r="7">
          <cell r="AI7">
            <v>10000</v>
          </cell>
        </row>
      </sheetData>
      <sheetData sheetId="8316">
        <row r="7">
          <cell r="AI7">
            <v>10000</v>
          </cell>
        </row>
      </sheetData>
      <sheetData sheetId="8317">
        <row r="7">
          <cell r="AI7">
            <v>10000</v>
          </cell>
        </row>
      </sheetData>
      <sheetData sheetId="8318">
        <row r="7">
          <cell r="AI7">
            <v>10000</v>
          </cell>
        </row>
      </sheetData>
      <sheetData sheetId="8319">
        <row r="7">
          <cell r="AI7">
            <v>10000</v>
          </cell>
        </row>
      </sheetData>
      <sheetData sheetId="8320">
        <row r="7">
          <cell r="AI7">
            <v>10000</v>
          </cell>
        </row>
      </sheetData>
      <sheetData sheetId="8321">
        <row r="7">
          <cell r="AI7">
            <v>10000</v>
          </cell>
        </row>
      </sheetData>
      <sheetData sheetId="8322">
        <row r="7">
          <cell r="AI7">
            <v>10000</v>
          </cell>
        </row>
      </sheetData>
      <sheetData sheetId="8323">
        <row r="7">
          <cell r="AI7">
            <v>10000</v>
          </cell>
        </row>
      </sheetData>
      <sheetData sheetId="8324">
        <row r="7">
          <cell r="AI7">
            <v>10000</v>
          </cell>
        </row>
      </sheetData>
      <sheetData sheetId="8325">
        <row r="7">
          <cell r="AI7">
            <v>10000</v>
          </cell>
        </row>
      </sheetData>
      <sheetData sheetId="8326">
        <row r="7">
          <cell r="AI7">
            <v>10000</v>
          </cell>
        </row>
      </sheetData>
      <sheetData sheetId="8327">
        <row r="7">
          <cell r="AI7">
            <v>10000</v>
          </cell>
        </row>
      </sheetData>
      <sheetData sheetId="8328">
        <row r="7">
          <cell r="AI7">
            <v>10000</v>
          </cell>
        </row>
      </sheetData>
      <sheetData sheetId="8329">
        <row r="7">
          <cell r="AI7">
            <v>10000</v>
          </cell>
        </row>
      </sheetData>
      <sheetData sheetId="8330">
        <row r="7">
          <cell r="AI7">
            <v>10000</v>
          </cell>
        </row>
      </sheetData>
      <sheetData sheetId="8331">
        <row r="7">
          <cell r="AI7">
            <v>10000</v>
          </cell>
        </row>
      </sheetData>
      <sheetData sheetId="8332">
        <row r="7">
          <cell r="AI7">
            <v>10000</v>
          </cell>
        </row>
      </sheetData>
      <sheetData sheetId="8333">
        <row r="7">
          <cell r="AI7">
            <v>10000</v>
          </cell>
        </row>
      </sheetData>
      <sheetData sheetId="8334">
        <row r="7">
          <cell r="AI7">
            <v>10000</v>
          </cell>
        </row>
      </sheetData>
      <sheetData sheetId="8335">
        <row r="7">
          <cell r="AI7">
            <v>10000</v>
          </cell>
        </row>
      </sheetData>
      <sheetData sheetId="8336">
        <row r="7">
          <cell r="AI7">
            <v>10000</v>
          </cell>
        </row>
      </sheetData>
      <sheetData sheetId="8337">
        <row r="7">
          <cell r="AI7">
            <v>10000</v>
          </cell>
        </row>
      </sheetData>
      <sheetData sheetId="8338">
        <row r="7">
          <cell r="AI7">
            <v>10000</v>
          </cell>
        </row>
      </sheetData>
      <sheetData sheetId="8339">
        <row r="7">
          <cell r="AI7">
            <v>10000</v>
          </cell>
        </row>
      </sheetData>
      <sheetData sheetId="8340">
        <row r="7">
          <cell r="AI7">
            <v>10000</v>
          </cell>
        </row>
      </sheetData>
      <sheetData sheetId="8341">
        <row r="7">
          <cell r="AI7">
            <v>10000</v>
          </cell>
        </row>
      </sheetData>
      <sheetData sheetId="8342">
        <row r="7">
          <cell r="AI7">
            <v>10000</v>
          </cell>
        </row>
      </sheetData>
      <sheetData sheetId="8343">
        <row r="7">
          <cell r="AI7">
            <v>10000</v>
          </cell>
        </row>
      </sheetData>
      <sheetData sheetId="8344">
        <row r="7">
          <cell r="AI7">
            <v>10000</v>
          </cell>
        </row>
      </sheetData>
      <sheetData sheetId="8345">
        <row r="7">
          <cell r="AI7">
            <v>10000</v>
          </cell>
        </row>
      </sheetData>
      <sheetData sheetId="8346">
        <row r="7">
          <cell r="AI7">
            <v>10000</v>
          </cell>
        </row>
      </sheetData>
      <sheetData sheetId="8347">
        <row r="7">
          <cell r="AI7">
            <v>10000</v>
          </cell>
        </row>
      </sheetData>
      <sheetData sheetId="8348">
        <row r="7">
          <cell r="AI7">
            <v>10000</v>
          </cell>
        </row>
      </sheetData>
      <sheetData sheetId="8349">
        <row r="7">
          <cell r="AI7">
            <v>10000</v>
          </cell>
        </row>
      </sheetData>
      <sheetData sheetId="8350">
        <row r="7">
          <cell r="AI7">
            <v>10000</v>
          </cell>
        </row>
      </sheetData>
      <sheetData sheetId="8351">
        <row r="7">
          <cell r="AI7">
            <v>10000</v>
          </cell>
        </row>
      </sheetData>
      <sheetData sheetId="8352">
        <row r="7">
          <cell r="AI7">
            <v>10000</v>
          </cell>
        </row>
      </sheetData>
      <sheetData sheetId="8353">
        <row r="7">
          <cell r="AI7">
            <v>10000</v>
          </cell>
        </row>
      </sheetData>
      <sheetData sheetId="8354">
        <row r="7">
          <cell r="AI7">
            <v>10000</v>
          </cell>
        </row>
      </sheetData>
      <sheetData sheetId="8355">
        <row r="7">
          <cell r="AI7">
            <v>10000</v>
          </cell>
        </row>
      </sheetData>
      <sheetData sheetId="8356">
        <row r="7">
          <cell r="AI7">
            <v>10000</v>
          </cell>
        </row>
      </sheetData>
      <sheetData sheetId="8357">
        <row r="7">
          <cell r="AI7">
            <v>10000</v>
          </cell>
        </row>
      </sheetData>
      <sheetData sheetId="8358">
        <row r="7">
          <cell r="AI7">
            <v>10000</v>
          </cell>
        </row>
      </sheetData>
      <sheetData sheetId="8359">
        <row r="7">
          <cell r="AI7">
            <v>10000</v>
          </cell>
        </row>
      </sheetData>
      <sheetData sheetId="8360">
        <row r="7">
          <cell r="AI7">
            <v>10000</v>
          </cell>
        </row>
      </sheetData>
      <sheetData sheetId="8361">
        <row r="7">
          <cell r="AI7">
            <v>10000</v>
          </cell>
        </row>
      </sheetData>
      <sheetData sheetId="8362">
        <row r="7">
          <cell r="AI7">
            <v>10000</v>
          </cell>
        </row>
      </sheetData>
      <sheetData sheetId="8363">
        <row r="7">
          <cell r="AI7">
            <v>10000</v>
          </cell>
        </row>
      </sheetData>
      <sheetData sheetId="8364">
        <row r="7">
          <cell r="AI7">
            <v>10000</v>
          </cell>
        </row>
      </sheetData>
      <sheetData sheetId="8365">
        <row r="7">
          <cell r="AI7">
            <v>10000</v>
          </cell>
        </row>
      </sheetData>
      <sheetData sheetId="8366">
        <row r="7">
          <cell r="AI7">
            <v>10000</v>
          </cell>
        </row>
      </sheetData>
      <sheetData sheetId="8367">
        <row r="7">
          <cell r="AI7">
            <v>10000</v>
          </cell>
        </row>
      </sheetData>
      <sheetData sheetId="8368">
        <row r="7">
          <cell r="AI7">
            <v>10000</v>
          </cell>
        </row>
      </sheetData>
      <sheetData sheetId="8369">
        <row r="7">
          <cell r="AI7">
            <v>10000</v>
          </cell>
        </row>
      </sheetData>
      <sheetData sheetId="8370">
        <row r="7">
          <cell r="AI7">
            <v>10000</v>
          </cell>
        </row>
      </sheetData>
      <sheetData sheetId="8371">
        <row r="7">
          <cell r="AI7">
            <v>10000</v>
          </cell>
        </row>
      </sheetData>
      <sheetData sheetId="8372">
        <row r="7">
          <cell r="AI7">
            <v>10000</v>
          </cell>
        </row>
      </sheetData>
      <sheetData sheetId="8373">
        <row r="7">
          <cell r="AI7">
            <v>10000</v>
          </cell>
        </row>
      </sheetData>
      <sheetData sheetId="8374">
        <row r="7">
          <cell r="AI7">
            <v>10000</v>
          </cell>
        </row>
      </sheetData>
      <sheetData sheetId="8375">
        <row r="7">
          <cell r="AI7">
            <v>10000</v>
          </cell>
        </row>
      </sheetData>
      <sheetData sheetId="8376">
        <row r="7">
          <cell r="AI7">
            <v>10000</v>
          </cell>
        </row>
      </sheetData>
      <sheetData sheetId="8377">
        <row r="7">
          <cell r="AI7">
            <v>10000</v>
          </cell>
        </row>
      </sheetData>
      <sheetData sheetId="8378">
        <row r="7">
          <cell r="AI7">
            <v>10000</v>
          </cell>
        </row>
      </sheetData>
      <sheetData sheetId="8379">
        <row r="7">
          <cell r="AI7">
            <v>10000</v>
          </cell>
        </row>
      </sheetData>
      <sheetData sheetId="8380">
        <row r="7">
          <cell r="AI7">
            <v>10000</v>
          </cell>
        </row>
      </sheetData>
      <sheetData sheetId="8381">
        <row r="7">
          <cell r="AI7">
            <v>10000</v>
          </cell>
        </row>
      </sheetData>
      <sheetData sheetId="8382">
        <row r="7">
          <cell r="AI7">
            <v>10000</v>
          </cell>
        </row>
      </sheetData>
      <sheetData sheetId="8383">
        <row r="7">
          <cell r="AI7">
            <v>10000</v>
          </cell>
        </row>
      </sheetData>
      <sheetData sheetId="8384">
        <row r="7">
          <cell r="AI7">
            <v>10000</v>
          </cell>
        </row>
      </sheetData>
      <sheetData sheetId="8385">
        <row r="7">
          <cell r="AI7">
            <v>10000</v>
          </cell>
        </row>
      </sheetData>
      <sheetData sheetId="8386">
        <row r="7">
          <cell r="AI7">
            <v>10000</v>
          </cell>
        </row>
      </sheetData>
      <sheetData sheetId="8387">
        <row r="7">
          <cell r="AI7">
            <v>10000</v>
          </cell>
        </row>
      </sheetData>
      <sheetData sheetId="8388">
        <row r="7">
          <cell r="AI7">
            <v>10000</v>
          </cell>
        </row>
      </sheetData>
      <sheetData sheetId="8389">
        <row r="7">
          <cell r="AI7">
            <v>10000</v>
          </cell>
        </row>
      </sheetData>
      <sheetData sheetId="8390">
        <row r="7">
          <cell r="AI7">
            <v>10000</v>
          </cell>
        </row>
      </sheetData>
      <sheetData sheetId="8391">
        <row r="7">
          <cell r="AI7">
            <v>10000</v>
          </cell>
        </row>
      </sheetData>
      <sheetData sheetId="8392">
        <row r="7">
          <cell r="AI7">
            <v>10000</v>
          </cell>
        </row>
      </sheetData>
      <sheetData sheetId="8393">
        <row r="7">
          <cell r="AI7">
            <v>10000</v>
          </cell>
        </row>
      </sheetData>
      <sheetData sheetId="8394">
        <row r="7">
          <cell r="AI7">
            <v>10000</v>
          </cell>
        </row>
      </sheetData>
      <sheetData sheetId="8395">
        <row r="7">
          <cell r="AI7">
            <v>10000</v>
          </cell>
        </row>
      </sheetData>
      <sheetData sheetId="8396">
        <row r="7">
          <cell r="AI7">
            <v>10000</v>
          </cell>
        </row>
      </sheetData>
      <sheetData sheetId="8397">
        <row r="7">
          <cell r="AI7">
            <v>10000</v>
          </cell>
        </row>
      </sheetData>
      <sheetData sheetId="8398">
        <row r="7">
          <cell r="AI7">
            <v>10000</v>
          </cell>
        </row>
      </sheetData>
      <sheetData sheetId="8399">
        <row r="7">
          <cell r="AI7">
            <v>10000</v>
          </cell>
        </row>
      </sheetData>
      <sheetData sheetId="8400">
        <row r="7">
          <cell r="AI7">
            <v>10000</v>
          </cell>
        </row>
      </sheetData>
      <sheetData sheetId="8401">
        <row r="7">
          <cell r="AI7">
            <v>10000</v>
          </cell>
        </row>
      </sheetData>
      <sheetData sheetId="8402">
        <row r="7">
          <cell r="AI7">
            <v>10000</v>
          </cell>
        </row>
      </sheetData>
      <sheetData sheetId="8403">
        <row r="7">
          <cell r="AI7">
            <v>10000</v>
          </cell>
        </row>
      </sheetData>
      <sheetData sheetId="8404">
        <row r="7">
          <cell r="AI7">
            <v>10000</v>
          </cell>
        </row>
      </sheetData>
      <sheetData sheetId="8405">
        <row r="7">
          <cell r="AI7">
            <v>10000</v>
          </cell>
        </row>
      </sheetData>
      <sheetData sheetId="8406">
        <row r="7">
          <cell r="AI7">
            <v>10000</v>
          </cell>
        </row>
      </sheetData>
      <sheetData sheetId="8407">
        <row r="7">
          <cell r="AI7">
            <v>10000</v>
          </cell>
        </row>
      </sheetData>
      <sheetData sheetId="8408">
        <row r="7">
          <cell r="AI7">
            <v>10000</v>
          </cell>
        </row>
      </sheetData>
      <sheetData sheetId="8409">
        <row r="7">
          <cell r="AI7">
            <v>10000</v>
          </cell>
        </row>
      </sheetData>
      <sheetData sheetId="8410">
        <row r="7">
          <cell r="AI7">
            <v>10000</v>
          </cell>
        </row>
      </sheetData>
      <sheetData sheetId="8411">
        <row r="7">
          <cell r="AI7">
            <v>10000</v>
          </cell>
        </row>
      </sheetData>
      <sheetData sheetId="8412">
        <row r="7">
          <cell r="AI7">
            <v>10000</v>
          </cell>
        </row>
      </sheetData>
      <sheetData sheetId="8413">
        <row r="7">
          <cell r="AI7">
            <v>10000</v>
          </cell>
        </row>
      </sheetData>
      <sheetData sheetId="8414">
        <row r="7">
          <cell r="AI7">
            <v>10000</v>
          </cell>
        </row>
      </sheetData>
      <sheetData sheetId="8415">
        <row r="7">
          <cell r="AI7">
            <v>10000</v>
          </cell>
        </row>
      </sheetData>
      <sheetData sheetId="8416">
        <row r="7">
          <cell r="AI7">
            <v>10000</v>
          </cell>
        </row>
      </sheetData>
      <sheetData sheetId="8417">
        <row r="7">
          <cell r="AI7">
            <v>10000</v>
          </cell>
        </row>
      </sheetData>
      <sheetData sheetId="8418">
        <row r="7">
          <cell r="AI7">
            <v>10000</v>
          </cell>
        </row>
      </sheetData>
      <sheetData sheetId="8419">
        <row r="7">
          <cell r="AI7">
            <v>10000</v>
          </cell>
        </row>
      </sheetData>
      <sheetData sheetId="8420">
        <row r="7">
          <cell r="AI7">
            <v>10000</v>
          </cell>
        </row>
      </sheetData>
      <sheetData sheetId="8421">
        <row r="7">
          <cell r="AI7">
            <v>10000</v>
          </cell>
        </row>
      </sheetData>
      <sheetData sheetId="8422">
        <row r="7">
          <cell r="AI7">
            <v>10000</v>
          </cell>
        </row>
      </sheetData>
      <sheetData sheetId="8423">
        <row r="7">
          <cell r="AI7">
            <v>10000</v>
          </cell>
        </row>
      </sheetData>
      <sheetData sheetId="8424">
        <row r="7">
          <cell r="AI7">
            <v>10000</v>
          </cell>
        </row>
      </sheetData>
      <sheetData sheetId="8425">
        <row r="7">
          <cell r="AI7">
            <v>10000</v>
          </cell>
        </row>
      </sheetData>
      <sheetData sheetId="8426">
        <row r="7">
          <cell r="AI7">
            <v>10000</v>
          </cell>
        </row>
      </sheetData>
      <sheetData sheetId="8427">
        <row r="7">
          <cell r="AI7">
            <v>10000</v>
          </cell>
        </row>
      </sheetData>
      <sheetData sheetId="8428">
        <row r="7">
          <cell r="AI7">
            <v>10000</v>
          </cell>
        </row>
      </sheetData>
      <sheetData sheetId="8429">
        <row r="7">
          <cell r="AI7">
            <v>10000</v>
          </cell>
        </row>
      </sheetData>
      <sheetData sheetId="8430">
        <row r="7">
          <cell r="AI7">
            <v>10000</v>
          </cell>
        </row>
      </sheetData>
      <sheetData sheetId="8431">
        <row r="7">
          <cell r="AI7">
            <v>10000</v>
          </cell>
        </row>
      </sheetData>
      <sheetData sheetId="8432">
        <row r="7">
          <cell r="AI7">
            <v>10000</v>
          </cell>
        </row>
      </sheetData>
      <sheetData sheetId="8433">
        <row r="7">
          <cell r="AI7">
            <v>10000</v>
          </cell>
        </row>
      </sheetData>
      <sheetData sheetId="8434">
        <row r="7">
          <cell r="AI7">
            <v>10000</v>
          </cell>
        </row>
      </sheetData>
      <sheetData sheetId="8435">
        <row r="7">
          <cell r="AI7">
            <v>10000</v>
          </cell>
        </row>
      </sheetData>
      <sheetData sheetId="8436">
        <row r="7">
          <cell r="AI7">
            <v>10000</v>
          </cell>
        </row>
      </sheetData>
      <sheetData sheetId="8437">
        <row r="7">
          <cell r="AI7">
            <v>10000</v>
          </cell>
        </row>
      </sheetData>
      <sheetData sheetId="8438">
        <row r="7">
          <cell r="AI7">
            <v>10000</v>
          </cell>
        </row>
      </sheetData>
      <sheetData sheetId="8439">
        <row r="7">
          <cell r="AI7">
            <v>10000</v>
          </cell>
        </row>
      </sheetData>
      <sheetData sheetId="8440">
        <row r="7">
          <cell r="AI7">
            <v>10000</v>
          </cell>
        </row>
      </sheetData>
      <sheetData sheetId="8441">
        <row r="7">
          <cell r="AI7">
            <v>10000</v>
          </cell>
        </row>
      </sheetData>
      <sheetData sheetId="8442">
        <row r="7">
          <cell r="AI7">
            <v>10000</v>
          </cell>
        </row>
      </sheetData>
      <sheetData sheetId="8443">
        <row r="7">
          <cell r="AI7">
            <v>10000</v>
          </cell>
        </row>
      </sheetData>
      <sheetData sheetId="8444">
        <row r="7">
          <cell r="AI7">
            <v>10000</v>
          </cell>
        </row>
      </sheetData>
      <sheetData sheetId="8445">
        <row r="7">
          <cell r="AI7">
            <v>10000</v>
          </cell>
        </row>
      </sheetData>
      <sheetData sheetId="8446">
        <row r="7">
          <cell r="AI7">
            <v>10000</v>
          </cell>
        </row>
      </sheetData>
      <sheetData sheetId="8447">
        <row r="7">
          <cell r="AI7">
            <v>10000</v>
          </cell>
        </row>
      </sheetData>
      <sheetData sheetId="8448">
        <row r="7">
          <cell r="AI7">
            <v>10000</v>
          </cell>
        </row>
      </sheetData>
      <sheetData sheetId="8449">
        <row r="7">
          <cell r="AI7">
            <v>10000</v>
          </cell>
        </row>
      </sheetData>
      <sheetData sheetId="8450">
        <row r="7">
          <cell r="AI7">
            <v>10000</v>
          </cell>
        </row>
      </sheetData>
      <sheetData sheetId="8451">
        <row r="7">
          <cell r="AI7">
            <v>10000</v>
          </cell>
        </row>
      </sheetData>
      <sheetData sheetId="8452">
        <row r="7">
          <cell r="AI7">
            <v>10000</v>
          </cell>
        </row>
      </sheetData>
      <sheetData sheetId="8453">
        <row r="7">
          <cell r="AI7">
            <v>10000</v>
          </cell>
        </row>
      </sheetData>
      <sheetData sheetId="8454">
        <row r="7">
          <cell r="AI7">
            <v>10000</v>
          </cell>
        </row>
      </sheetData>
      <sheetData sheetId="8455">
        <row r="7">
          <cell r="AI7">
            <v>10000</v>
          </cell>
        </row>
      </sheetData>
      <sheetData sheetId="8456">
        <row r="7">
          <cell r="AI7">
            <v>10000</v>
          </cell>
        </row>
      </sheetData>
      <sheetData sheetId="8457">
        <row r="7">
          <cell r="AI7">
            <v>10000</v>
          </cell>
        </row>
      </sheetData>
      <sheetData sheetId="8458">
        <row r="7">
          <cell r="AI7">
            <v>10000</v>
          </cell>
        </row>
      </sheetData>
      <sheetData sheetId="8459">
        <row r="7">
          <cell r="AI7">
            <v>10000</v>
          </cell>
        </row>
      </sheetData>
      <sheetData sheetId="8460">
        <row r="7">
          <cell r="AI7">
            <v>10000</v>
          </cell>
        </row>
      </sheetData>
      <sheetData sheetId="8461">
        <row r="7">
          <cell r="AI7">
            <v>10000</v>
          </cell>
        </row>
      </sheetData>
      <sheetData sheetId="8462">
        <row r="7">
          <cell r="AI7">
            <v>10000</v>
          </cell>
        </row>
      </sheetData>
      <sheetData sheetId="8463">
        <row r="7">
          <cell r="AI7">
            <v>10000</v>
          </cell>
        </row>
      </sheetData>
      <sheetData sheetId="8464">
        <row r="7">
          <cell r="AI7">
            <v>10000</v>
          </cell>
        </row>
      </sheetData>
      <sheetData sheetId="8465">
        <row r="7">
          <cell r="AI7">
            <v>10000</v>
          </cell>
        </row>
      </sheetData>
      <sheetData sheetId="8466">
        <row r="7">
          <cell r="AI7">
            <v>10000</v>
          </cell>
        </row>
      </sheetData>
      <sheetData sheetId="8467">
        <row r="7">
          <cell r="AI7">
            <v>10000</v>
          </cell>
        </row>
      </sheetData>
      <sheetData sheetId="8468">
        <row r="7">
          <cell r="AI7">
            <v>10000</v>
          </cell>
        </row>
      </sheetData>
      <sheetData sheetId="8469">
        <row r="7">
          <cell r="AI7">
            <v>10000</v>
          </cell>
        </row>
      </sheetData>
      <sheetData sheetId="8470">
        <row r="7">
          <cell r="AI7">
            <v>10000</v>
          </cell>
        </row>
      </sheetData>
      <sheetData sheetId="8471">
        <row r="7">
          <cell r="AI7">
            <v>10000</v>
          </cell>
        </row>
      </sheetData>
      <sheetData sheetId="8472">
        <row r="7">
          <cell r="AI7">
            <v>10000</v>
          </cell>
        </row>
      </sheetData>
      <sheetData sheetId="8473">
        <row r="7">
          <cell r="AI7">
            <v>10000</v>
          </cell>
        </row>
      </sheetData>
      <sheetData sheetId="8474">
        <row r="7">
          <cell r="AI7">
            <v>10000</v>
          </cell>
        </row>
      </sheetData>
      <sheetData sheetId="8475">
        <row r="7">
          <cell r="AI7">
            <v>10000</v>
          </cell>
        </row>
      </sheetData>
      <sheetData sheetId="8476">
        <row r="7">
          <cell r="AI7">
            <v>10000</v>
          </cell>
        </row>
      </sheetData>
      <sheetData sheetId="8477">
        <row r="7">
          <cell r="AI7">
            <v>10000</v>
          </cell>
        </row>
      </sheetData>
      <sheetData sheetId="8478">
        <row r="7">
          <cell r="AI7">
            <v>10000</v>
          </cell>
        </row>
      </sheetData>
      <sheetData sheetId="8479">
        <row r="7">
          <cell r="AI7">
            <v>10000</v>
          </cell>
        </row>
      </sheetData>
      <sheetData sheetId="8480">
        <row r="7">
          <cell r="AI7">
            <v>10000</v>
          </cell>
        </row>
      </sheetData>
      <sheetData sheetId="8481">
        <row r="7">
          <cell r="AI7">
            <v>10000</v>
          </cell>
        </row>
      </sheetData>
      <sheetData sheetId="8482">
        <row r="7">
          <cell r="AI7">
            <v>10000</v>
          </cell>
        </row>
      </sheetData>
      <sheetData sheetId="8483">
        <row r="7">
          <cell r="AI7">
            <v>10000</v>
          </cell>
        </row>
      </sheetData>
      <sheetData sheetId="8484">
        <row r="7">
          <cell r="AI7">
            <v>10000</v>
          </cell>
        </row>
      </sheetData>
      <sheetData sheetId="8485">
        <row r="7">
          <cell r="AI7">
            <v>10000</v>
          </cell>
        </row>
      </sheetData>
      <sheetData sheetId="8486">
        <row r="7">
          <cell r="AI7">
            <v>10000</v>
          </cell>
        </row>
      </sheetData>
      <sheetData sheetId="8487">
        <row r="7">
          <cell r="AI7">
            <v>10000</v>
          </cell>
        </row>
      </sheetData>
      <sheetData sheetId="8488">
        <row r="7">
          <cell r="AI7">
            <v>10000</v>
          </cell>
        </row>
      </sheetData>
      <sheetData sheetId="8489">
        <row r="7">
          <cell r="AI7">
            <v>10000</v>
          </cell>
        </row>
      </sheetData>
      <sheetData sheetId="8490">
        <row r="7">
          <cell r="AI7">
            <v>10000</v>
          </cell>
        </row>
      </sheetData>
      <sheetData sheetId="8491">
        <row r="7">
          <cell r="AI7">
            <v>10000</v>
          </cell>
        </row>
      </sheetData>
      <sheetData sheetId="8492">
        <row r="7">
          <cell r="AI7">
            <v>10000</v>
          </cell>
        </row>
      </sheetData>
      <sheetData sheetId="8493">
        <row r="7">
          <cell r="AI7">
            <v>10000</v>
          </cell>
        </row>
      </sheetData>
      <sheetData sheetId="8494">
        <row r="7">
          <cell r="AI7">
            <v>10000</v>
          </cell>
        </row>
      </sheetData>
      <sheetData sheetId="8495">
        <row r="7">
          <cell r="AI7">
            <v>10000</v>
          </cell>
        </row>
      </sheetData>
      <sheetData sheetId="8496">
        <row r="7">
          <cell r="AI7">
            <v>10000</v>
          </cell>
        </row>
      </sheetData>
      <sheetData sheetId="8497">
        <row r="7">
          <cell r="AI7">
            <v>10000</v>
          </cell>
        </row>
      </sheetData>
      <sheetData sheetId="8498">
        <row r="7">
          <cell r="AI7">
            <v>10000</v>
          </cell>
        </row>
      </sheetData>
      <sheetData sheetId="8499">
        <row r="7">
          <cell r="AI7">
            <v>10000</v>
          </cell>
        </row>
      </sheetData>
      <sheetData sheetId="8500">
        <row r="7">
          <cell r="AI7">
            <v>10000</v>
          </cell>
        </row>
      </sheetData>
      <sheetData sheetId="8501">
        <row r="7">
          <cell r="AI7">
            <v>10000</v>
          </cell>
        </row>
      </sheetData>
      <sheetData sheetId="8502">
        <row r="7">
          <cell r="AI7">
            <v>10000</v>
          </cell>
        </row>
      </sheetData>
      <sheetData sheetId="8503">
        <row r="7">
          <cell r="AI7">
            <v>10000</v>
          </cell>
        </row>
      </sheetData>
      <sheetData sheetId="8504">
        <row r="7">
          <cell r="AI7">
            <v>10000</v>
          </cell>
        </row>
      </sheetData>
      <sheetData sheetId="8505" refreshError="1"/>
      <sheetData sheetId="8506">
        <row r="7">
          <cell r="AI7">
            <v>10000</v>
          </cell>
        </row>
      </sheetData>
      <sheetData sheetId="8507">
        <row r="7">
          <cell r="AI7">
            <v>10000</v>
          </cell>
        </row>
      </sheetData>
      <sheetData sheetId="8508">
        <row r="7">
          <cell r="AI7">
            <v>10000</v>
          </cell>
        </row>
      </sheetData>
      <sheetData sheetId="8509">
        <row r="7">
          <cell r="AI7">
            <v>10000</v>
          </cell>
        </row>
      </sheetData>
      <sheetData sheetId="8510">
        <row r="7">
          <cell r="AI7">
            <v>10000</v>
          </cell>
        </row>
      </sheetData>
      <sheetData sheetId="8511">
        <row r="7">
          <cell r="AI7">
            <v>10000</v>
          </cell>
        </row>
      </sheetData>
      <sheetData sheetId="8512">
        <row r="7">
          <cell r="AI7">
            <v>10000</v>
          </cell>
        </row>
      </sheetData>
      <sheetData sheetId="8513">
        <row r="7">
          <cell r="AI7">
            <v>10000</v>
          </cell>
        </row>
      </sheetData>
      <sheetData sheetId="8514">
        <row r="7">
          <cell r="AI7">
            <v>10000</v>
          </cell>
        </row>
      </sheetData>
      <sheetData sheetId="8515">
        <row r="7">
          <cell r="AI7">
            <v>10000</v>
          </cell>
        </row>
      </sheetData>
      <sheetData sheetId="8516">
        <row r="7">
          <cell r="AI7">
            <v>10000</v>
          </cell>
        </row>
      </sheetData>
      <sheetData sheetId="8517">
        <row r="7">
          <cell r="AI7">
            <v>10000</v>
          </cell>
        </row>
      </sheetData>
      <sheetData sheetId="8518">
        <row r="7">
          <cell r="AI7">
            <v>10000</v>
          </cell>
        </row>
      </sheetData>
      <sheetData sheetId="8519">
        <row r="7">
          <cell r="AI7">
            <v>10000</v>
          </cell>
        </row>
      </sheetData>
      <sheetData sheetId="8520">
        <row r="7">
          <cell r="AI7">
            <v>10000</v>
          </cell>
        </row>
      </sheetData>
      <sheetData sheetId="8521">
        <row r="7">
          <cell r="AI7">
            <v>10000</v>
          </cell>
        </row>
      </sheetData>
      <sheetData sheetId="8522">
        <row r="7">
          <cell r="AI7">
            <v>10000</v>
          </cell>
        </row>
      </sheetData>
      <sheetData sheetId="8523">
        <row r="7">
          <cell r="AI7">
            <v>10000</v>
          </cell>
        </row>
      </sheetData>
      <sheetData sheetId="8524">
        <row r="7">
          <cell r="AI7">
            <v>10000</v>
          </cell>
        </row>
      </sheetData>
      <sheetData sheetId="8525">
        <row r="7">
          <cell r="AI7">
            <v>10000</v>
          </cell>
        </row>
      </sheetData>
      <sheetData sheetId="8526">
        <row r="7">
          <cell r="AI7">
            <v>10000</v>
          </cell>
        </row>
      </sheetData>
      <sheetData sheetId="8527">
        <row r="7">
          <cell r="AI7">
            <v>10000</v>
          </cell>
        </row>
      </sheetData>
      <sheetData sheetId="8528">
        <row r="7">
          <cell r="AI7">
            <v>10000</v>
          </cell>
        </row>
      </sheetData>
      <sheetData sheetId="8529">
        <row r="7">
          <cell r="AI7">
            <v>10000</v>
          </cell>
        </row>
      </sheetData>
      <sheetData sheetId="8530">
        <row r="7">
          <cell r="AI7">
            <v>10000</v>
          </cell>
        </row>
      </sheetData>
      <sheetData sheetId="8531">
        <row r="7">
          <cell r="AI7">
            <v>10000</v>
          </cell>
        </row>
      </sheetData>
      <sheetData sheetId="8532">
        <row r="7">
          <cell r="AI7">
            <v>10000</v>
          </cell>
        </row>
      </sheetData>
      <sheetData sheetId="8533">
        <row r="7">
          <cell r="AI7">
            <v>10000</v>
          </cell>
        </row>
      </sheetData>
      <sheetData sheetId="8534">
        <row r="7">
          <cell r="AI7">
            <v>10000</v>
          </cell>
        </row>
      </sheetData>
      <sheetData sheetId="8535">
        <row r="7">
          <cell r="AI7">
            <v>10000</v>
          </cell>
        </row>
      </sheetData>
      <sheetData sheetId="8536">
        <row r="7">
          <cell r="AI7">
            <v>10000</v>
          </cell>
        </row>
      </sheetData>
      <sheetData sheetId="8537">
        <row r="7">
          <cell r="AI7">
            <v>10000</v>
          </cell>
        </row>
      </sheetData>
      <sheetData sheetId="8538">
        <row r="7">
          <cell r="AI7">
            <v>10000</v>
          </cell>
        </row>
      </sheetData>
      <sheetData sheetId="8539">
        <row r="7">
          <cell r="AI7">
            <v>10000</v>
          </cell>
        </row>
      </sheetData>
      <sheetData sheetId="8540">
        <row r="7">
          <cell r="AI7">
            <v>10000</v>
          </cell>
        </row>
      </sheetData>
      <sheetData sheetId="8541">
        <row r="7">
          <cell r="AI7">
            <v>10000</v>
          </cell>
        </row>
      </sheetData>
      <sheetData sheetId="8542">
        <row r="7">
          <cell r="AI7">
            <v>10000</v>
          </cell>
        </row>
      </sheetData>
      <sheetData sheetId="8543">
        <row r="7">
          <cell r="AI7">
            <v>10000</v>
          </cell>
        </row>
      </sheetData>
      <sheetData sheetId="8544">
        <row r="7">
          <cell r="AI7">
            <v>10000</v>
          </cell>
        </row>
      </sheetData>
      <sheetData sheetId="8545">
        <row r="7">
          <cell r="AI7">
            <v>10000</v>
          </cell>
        </row>
      </sheetData>
      <sheetData sheetId="8546">
        <row r="7">
          <cell r="AI7">
            <v>10000</v>
          </cell>
        </row>
      </sheetData>
      <sheetData sheetId="8547">
        <row r="7">
          <cell r="AI7">
            <v>10000</v>
          </cell>
        </row>
      </sheetData>
      <sheetData sheetId="8548">
        <row r="7">
          <cell r="AI7">
            <v>10000</v>
          </cell>
        </row>
      </sheetData>
      <sheetData sheetId="8549">
        <row r="7">
          <cell r="AI7">
            <v>10000</v>
          </cell>
        </row>
      </sheetData>
      <sheetData sheetId="8550">
        <row r="7">
          <cell r="AI7">
            <v>10000</v>
          </cell>
        </row>
      </sheetData>
      <sheetData sheetId="8551">
        <row r="7">
          <cell r="AI7">
            <v>10000</v>
          </cell>
        </row>
      </sheetData>
      <sheetData sheetId="8552">
        <row r="7">
          <cell r="AI7">
            <v>10000</v>
          </cell>
        </row>
      </sheetData>
      <sheetData sheetId="8553">
        <row r="7">
          <cell r="AI7">
            <v>10000</v>
          </cell>
        </row>
      </sheetData>
      <sheetData sheetId="8554">
        <row r="7">
          <cell r="AI7">
            <v>10000</v>
          </cell>
        </row>
      </sheetData>
      <sheetData sheetId="8555">
        <row r="7">
          <cell r="AI7">
            <v>10000</v>
          </cell>
        </row>
      </sheetData>
      <sheetData sheetId="8556">
        <row r="7">
          <cell r="AI7">
            <v>10000</v>
          </cell>
        </row>
      </sheetData>
      <sheetData sheetId="8557">
        <row r="7">
          <cell r="AI7">
            <v>10000</v>
          </cell>
        </row>
      </sheetData>
      <sheetData sheetId="8558">
        <row r="7">
          <cell r="AI7">
            <v>10000</v>
          </cell>
        </row>
      </sheetData>
      <sheetData sheetId="8559">
        <row r="7">
          <cell r="AI7">
            <v>10000</v>
          </cell>
        </row>
      </sheetData>
      <sheetData sheetId="8560">
        <row r="7">
          <cell r="AI7">
            <v>10000</v>
          </cell>
        </row>
      </sheetData>
      <sheetData sheetId="8561">
        <row r="7">
          <cell r="AI7">
            <v>10000</v>
          </cell>
        </row>
      </sheetData>
      <sheetData sheetId="8562">
        <row r="7">
          <cell r="AI7">
            <v>10000</v>
          </cell>
        </row>
      </sheetData>
      <sheetData sheetId="8563">
        <row r="7">
          <cell r="AI7">
            <v>10000</v>
          </cell>
        </row>
      </sheetData>
      <sheetData sheetId="8564">
        <row r="7">
          <cell r="AI7">
            <v>10000</v>
          </cell>
        </row>
      </sheetData>
      <sheetData sheetId="8565">
        <row r="7">
          <cell r="AI7">
            <v>10000</v>
          </cell>
        </row>
      </sheetData>
      <sheetData sheetId="8566">
        <row r="7">
          <cell r="AI7">
            <v>10000</v>
          </cell>
        </row>
      </sheetData>
      <sheetData sheetId="8567">
        <row r="7">
          <cell r="AI7">
            <v>10000</v>
          </cell>
        </row>
      </sheetData>
      <sheetData sheetId="8568">
        <row r="7">
          <cell r="AI7">
            <v>10000</v>
          </cell>
        </row>
      </sheetData>
      <sheetData sheetId="8569">
        <row r="7">
          <cell r="AI7">
            <v>10000</v>
          </cell>
        </row>
      </sheetData>
      <sheetData sheetId="8570">
        <row r="7">
          <cell r="AI7">
            <v>10000</v>
          </cell>
        </row>
      </sheetData>
      <sheetData sheetId="8571">
        <row r="7">
          <cell r="AI7">
            <v>10000</v>
          </cell>
        </row>
      </sheetData>
      <sheetData sheetId="8572">
        <row r="7">
          <cell r="AI7">
            <v>10000</v>
          </cell>
        </row>
      </sheetData>
      <sheetData sheetId="8573">
        <row r="7">
          <cell r="AI7">
            <v>10000</v>
          </cell>
        </row>
      </sheetData>
      <sheetData sheetId="8574">
        <row r="7">
          <cell r="AI7">
            <v>10000</v>
          </cell>
        </row>
      </sheetData>
      <sheetData sheetId="8575">
        <row r="7">
          <cell r="AI7">
            <v>10000</v>
          </cell>
        </row>
      </sheetData>
      <sheetData sheetId="8576">
        <row r="7">
          <cell r="AI7">
            <v>10000</v>
          </cell>
        </row>
      </sheetData>
      <sheetData sheetId="8577">
        <row r="7">
          <cell r="AI7">
            <v>10000</v>
          </cell>
        </row>
      </sheetData>
      <sheetData sheetId="8578">
        <row r="7">
          <cell r="AI7">
            <v>10000</v>
          </cell>
        </row>
      </sheetData>
      <sheetData sheetId="8579">
        <row r="7">
          <cell r="AI7">
            <v>10000</v>
          </cell>
        </row>
      </sheetData>
      <sheetData sheetId="8580">
        <row r="7">
          <cell r="AI7">
            <v>10000</v>
          </cell>
        </row>
      </sheetData>
      <sheetData sheetId="8581">
        <row r="7">
          <cell r="AI7">
            <v>10000</v>
          </cell>
        </row>
      </sheetData>
      <sheetData sheetId="8582">
        <row r="7">
          <cell r="AI7">
            <v>10000</v>
          </cell>
        </row>
      </sheetData>
      <sheetData sheetId="8583">
        <row r="7">
          <cell r="AI7">
            <v>10000</v>
          </cell>
        </row>
      </sheetData>
      <sheetData sheetId="8584">
        <row r="7">
          <cell r="AI7">
            <v>10000</v>
          </cell>
        </row>
      </sheetData>
      <sheetData sheetId="8585">
        <row r="7">
          <cell r="AI7">
            <v>10000</v>
          </cell>
        </row>
      </sheetData>
      <sheetData sheetId="8586">
        <row r="7">
          <cell r="AI7">
            <v>10000</v>
          </cell>
        </row>
      </sheetData>
      <sheetData sheetId="8587">
        <row r="7">
          <cell r="AI7">
            <v>10000</v>
          </cell>
        </row>
      </sheetData>
      <sheetData sheetId="8588">
        <row r="7">
          <cell r="AI7">
            <v>10000</v>
          </cell>
        </row>
      </sheetData>
      <sheetData sheetId="8589">
        <row r="7">
          <cell r="AI7">
            <v>10000</v>
          </cell>
        </row>
      </sheetData>
      <sheetData sheetId="8590">
        <row r="7">
          <cell r="AI7">
            <v>10000</v>
          </cell>
        </row>
      </sheetData>
      <sheetData sheetId="8591">
        <row r="7">
          <cell r="AI7">
            <v>10000</v>
          </cell>
        </row>
      </sheetData>
      <sheetData sheetId="8592">
        <row r="7">
          <cell r="AI7">
            <v>10000</v>
          </cell>
        </row>
      </sheetData>
      <sheetData sheetId="8593">
        <row r="7">
          <cell r="AI7">
            <v>10000</v>
          </cell>
        </row>
      </sheetData>
      <sheetData sheetId="8594">
        <row r="7">
          <cell r="AI7">
            <v>10000</v>
          </cell>
        </row>
      </sheetData>
      <sheetData sheetId="8595">
        <row r="7">
          <cell r="AI7">
            <v>10000</v>
          </cell>
        </row>
      </sheetData>
      <sheetData sheetId="8596">
        <row r="7">
          <cell r="AI7">
            <v>10000</v>
          </cell>
        </row>
      </sheetData>
      <sheetData sheetId="8597">
        <row r="7">
          <cell r="AI7">
            <v>10000</v>
          </cell>
        </row>
      </sheetData>
      <sheetData sheetId="8598">
        <row r="7">
          <cell r="AI7">
            <v>10000</v>
          </cell>
        </row>
      </sheetData>
      <sheetData sheetId="8599">
        <row r="7">
          <cell r="AI7">
            <v>10000</v>
          </cell>
        </row>
      </sheetData>
      <sheetData sheetId="8600">
        <row r="7">
          <cell r="AI7">
            <v>10000</v>
          </cell>
        </row>
      </sheetData>
      <sheetData sheetId="8601">
        <row r="7">
          <cell r="AI7">
            <v>10000</v>
          </cell>
        </row>
      </sheetData>
      <sheetData sheetId="8602">
        <row r="7">
          <cell r="AI7">
            <v>10000</v>
          </cell>
        </row>
      </sheetData>
      <sheetData sheetId="8603">
        <row r="7">
          <cell r="AI7">
            <v>10000</v>
          </cell>
        </row>
      </sheetData>
      <sheetData sheetId="8604">
        <row r="7">
          <cell r="AI7">
            <v>10000</v>
          </cell>
        </row>
      </sheetData>
      <sheetData sheetId="8605">
        <row r="7">
          <cell r="AI7">
            <v>10000</v>
          </cell>
        </row>
      </sheetData>
      <sheetData sheetId="8606">
        <row r="7">
          <cell r="AI7">
            <v>10000</v>
          </cell>
        </row>
      </sheetData>
      <sheetData sheetId="8607">
        <row r="7">
          <cell r="AI7">
            <v>10000</v>
          </cell>
        </row>
      </sheetData>
      <sheetData sheetId="8608">
        <row r="7">
          <cell r="AI7">
            <v>10000</v>
          </cell>
        </row>
      </sheetData>
      <sheetData sheetId="8609">
        <row r="7">
          <cell r="AI7">
            <v>10000</v>
          </cell>
        </row>
      </sheetData>
      <sheetData sheetId="8610">
        <row r="7">
          <cell r="AI7">
            <v>10000</v>
          </cell>
        </row>
      </sheetData>
      <sheetData sheetId="8611">
        <row r="7">
          <cell r="AI7">
            <v>10000</v>
          </cell>
        </row>
      </sheetData>
      <sheetData sheetId="8612">
        <row r="7">
          <cell r="AI7">
            <v>10000</v>
          </cell>
        </row>
      </sheetData>
      <sheetData sheetId="8613">
        <row r="7">
          <cell r="AI7">
            <v>10000</v>
          </cell>
        </row>
      </sheetData>
      <sheetData sheetId="8614">
        <row r="7">
          <cell r="AI7">
            <v>10000</v>
          </cell>
        </row>
      </sheetData>
      <sheetData sheetId="8615">
        <row r="7">
          <cell r="AI7">
            <v>10000</v>
          </cell>
        </row>
      </sheetData>
      <sheetData sheetId="8616">
        <row r="7">
          <cell r="AI7">
            <v>10000</v>
          </cell>
        </row>
      </sheetData>
      <sheetData sheetId="8617">
        <row r="7">
          <cell r="AI7">
            <v>10000</v>
          </cell>
        </row>
      </sheetData>
      <sheetData sheetId="8618">
        <row r="7">
          <cell r="AI7">
            <v>10000</v>
          </cell>
        </row>
      </sheetData>
      <sheetData sheetId="8619">
        <row r="7">
          <cell r="AI7">
            <v>10000</v>
          </cell>
        </row>
      </sheetData>
      <sheetData sheetId="8620">
        <row r="7">
          <cell r="AI7">
            <v>10000</v>
          </cell>
        </row>
      </sheetData>
      <sheetData sheetId="8621">
        <row r="7">
          <cell r="AI7">
            <v>10000</v>
          </cell>
        </row>
      </sheetData>
      <sheetData sheetId="8622">
        <row r="7">
          <cell r="AI7">
            <v>10000</v>
          </cell>
        </row>
      </sheetData>
      <sheetData sheetId="8623">
        <row r="7">
          <cell r="AI7">
            <v>10000</v>
          </cell>
        </row>
      </sheetData>
      <sheetData sheetId="8624">
        <row r="7">
          <cell r="AI7">
            <v>10000</v>
          </cell>
        </row>
      </sheetData>
      <sheetData sheetId="8625">
        <row r="7">
          <cell r="AI7">
            <v>10000</v>
          </cell>
        </row>
      </sheetData>
      <sheetData sheetId="8626">
        <row r="7">
          <cell r="AI7">
            <v>10000</v>
          </cell>
        </row>
      </sheetData>
      <sheetData sheetId="8627">
        <row r="7">
          <cell r="AI7">
            <v>10000</v>
          </cell>
        </row>
      </sheetData>
      <sheetData sheetId="8628">
        <row r="7">
          <cell r="AI7">
            <v>10000</v>
          </cell>
        </row>
      </sheetData>
      <sheetData sheetId="8629">
        <row r="7">
          <cell r="AI7">
            <v>10000</v>
          </cell>
        </row>
      </sheetData>
      <sheetData sheetId="8630">
        <row r="7">
          <cell r="AI7">
            <v>10000</v>
          </cell>
        </row>
      </sheetData>
      <sheetData sheetId="8631">
        <row r="7">
          <cell r="AI7">
            <v>10000</v>
          </cell>
        </row>
      </sheetData>
      <sheetData sheetId="8632">
        <row r="7">
          <cell r="AI7">
            <v>10000</v>
          </cell>
        </row>
      </sheetData>
      <sheetData sheetId="8633">
        <row r="7">
          <cell r="AI7">
            <v>10000</v>
          </cell>
        </row>
      </sheetData>
      <sheetData sheetId="8634">
        <row r="7">
          <cell r="AI7">
            <v>10000</v>
          </cell>
        </row>
      </sheetData>
      <sheetData sheetId="8635">
        <row r="7">
          <cell r="AI7">
            <v>10000</v>
          </cell>
        </row>
      </sheetData>
      <sheetData sheetId="8636">
        <row r="7">
          <cell r="AI7">
            <v>10000</v>
          </cell>
        </row>
      </sheetData>
      <sheetData sheetId="8637">
        <row r="7">
          <cell r="AI7">
            <v>10000</v>
          </cell>
        </row>
      </sheetData>
      <sheetData sheetId="8638">
        <row r="7">
          <cell r="AI7">
            <v>10000</v>
          </cell>
        </row>
      </sheetData>
      <sheetData sheetId="8639">
        <row r="7">
          <cell r="AI7">
            <v>10000</v>
          </cell>
        </row>
      </sheetData>
      <sheetData sheetId="8640">
        <row r="7">
          <cell r="AI7">
            <v>10000</v>
          </cell>
        </row>
      </sheetData>
      <sheetData sheetId="8641">
        <row r="7">
          <cell r="AI7">
            <v>10000</v>
          </cell>
        </row>
      </sheetData>
      <sheetData sheetId="8642">
        <row r="7">
          <cell r="AI7">
            <v>10000</v>
          </cell>
        </row>
      </sheetData>
      <sheetData sheetId="8643">
        <row r="7">
          <cell r="AI7">
            <v>10000</v>
          </cell>
        </row>
      </sheetData>
      <sheetData sheetId="8644">
        <row r="7">
          <cell r="AI7">
            <v>10000</v>
          </cell>
        </row>
      </sheetData>
      <sheetData sheetId="8645">
        <row r="7">
          <cell r="AI7">
            <v>10000</v>
          </cell>
        </row>
      </sheetData>
      <sheetData sheetId="8646">
        <row r="7">
          <cell r="AI7">
            <v>10000</v>
          </cell>
        </row>
      </sheetData>
      <sheetData sheetId="8647">
        <row r="7">
          <cell r="AI7">
            <v>10000</v>
          </cell>
        </row>
      </sheetData>
      <sheetData sheetId="8648">
        <row r="7">
          <cell r="AI7">
            <v>10000</v>
          </cell>
        </row>
      </sheetData>
      <sheetData sheetId="8649">
        <row r="7">
          <cell r="AI7">
            <v>10000</v>
          </cell>
        </row>
      </sheetData>
      <sheetData sheetId="8650">
        <row r="7">
          <cell r="AI7">
            <v>10000</v>
          </cell>
        </row>
      </sheetData>
      <sheetData sheetId="8651">
        <row r="7">
          <cell r="AI7">
            <v>10000</v>
          </cell>
        </row>
      </sheetData>
      <sheetData sheetId="8652">
        <row r="7">
          <cell r="AI7">
            <v>10000</v>
          </cell>
        </row>
      </sheetData>
      <sheetData sheetId="8653">
        <row r="7">
          <cell r="AI7">
            <v>10000</v>
          </cell>
        </row>
      </sheetData>
      <sheetData sheetId="8654">
        <row r="7">
          <cell r="AI7">
            <v>10000</v>
          </cell>
        </row>
      </sheetData>
      <sheetData sheetId="8655">
        <row r="7">
          <cell r="AI7">
            <v>10000</v>
          </cell>
        </row>
      </sheetData>
      <sheetData sheetId="8656">
        <row r="7">
          <cell r="AI7">
            <v>10000</v>
          </cell>
        </row>
      </sheetData>
      <sheetData sheetId="8657">
        <row r="7">
          <cell r="AI7">
            <v>10000</v>
          </cell>
        </row>
      </sheetData>
      <sheetData sheetId="8658">
        <row r="7">
          <cell r="AI7">
            <v>10000</v>
          </cell>
        </row>
      </sheetData>
      <sheetData sheetId="8659">
        <row r="7">
          <cell r="AI7">
            <v>10000</v>
          </cell>
        </row>
      </sheetData>
      <sheetData sheetId="8660">
        <row r="7">
          <cell r="AI7">
            <v>10000</v>
          </cell>
        </row>
      </sheetData>
      <sheetData sheetId="8661">
        <row r="7">
          <cell r="AI7">
            <v>10000</v>
          </cell>
        </row>
      </sheetData>
      <sheetData sheetId="8662">
        <row r="7">
          <cell r="AI7">
            <v>10000</v>
          </cell>
        </row>
      </sheetData>
      <sheetData sheetId="8663">
        <row r="7">
          <cell r="AI7">
            <v>10000</v>
          </cell>
        </row>
      </sheetData>
      <sheetData sheetId="8664">
        <row r="7">
          <cell r="AI7">
            <v>10000</v>
          </cell>
        </row>
      </sheetData>
      <sheetData sheetId="8665">
        <row r="7">
          <cell r="AI7">
            <v>10000</v>
          </cell>
        </row>
      </sheetData>
      <sheetData sheetId="8666">
        <row r="7">
          <cell r="AI7">
            <v>10000</v>
          </cell>
        </row>
      </sheetData>
      <sheetData sheetId="8667">
        <row r="7">
          <cell r="AI7">
            <v>10000</v>
          </cell>
        </row>
      </sheetData>
      <sheetData sheetId="8668">
        <row r="7">
          <cell r="AI7">
            <v>10000</v>
          </cell>
        </row>
      </sheetData>
      <sheetData sheetId="8669">
        <row r="7">
          <cell r="AI7">
            <v>10000</v>
          </cell>
        </row>
      </sheetData>
      <sheetData sheetId="8670">
        <row r="7">
          <cell r="AI7">
            <v>10000</v>
          </cell>
        </row>
      </sheetData>
      <sheetData sheetId="8671">
        <row r="7">
          <cell r="AI7">
            <v>10000</v>
          </cell>
        </row>
      </sheetData>
      <sheetData sheetId="8672">
        <row r="7">
          <cell r="AI7">
            <v>10000</v>
          </cell>
        </row>
      </sheetData>
      <sheetData sheetId="8673">
        <row r="7">
          <cell r="AI7">
            <v>10000</v>
          </cell>
        </row>
      </sheetData>
      <sheetData sheetId="8674">
        <row r="7">
          <cell r="AI7">
            <v>10000</v>
          </cell>
        </row>
      </sheetData>
      <sheetData sheetId="8675">
        <row r="7">
          <cell r="AI7">
            <v>10000</v>
          </cell>
        </row>
      </sheetData>
      <sheetData sheetId="8676">
        <row r="7">
          <cell r="AI7">
            <v>10000</v>
          </cell>
        </row>
      </sheetData>
      <sheetData sheetId="8677">
        <row r="7">
          <cell r="AI7">
            <v>10000</v>
          </cell>
        </row>
      </sheetData>
      <sheetData sheetId="8678">
        <row r="7">
          <cell r="AI7">
            <v>10000</v>
          </cell>
        </row>
      </sheetData>
      <sheetData sheetId="8679">
        <row r="7">
          <cell r="AI7">
            <v>10000</v>
          </cell>
        </row>
      </sheetData>
      <sheetData sheetId="8680">
        <row r="7">
          <cell r="AI7">
            <v>10000</v>
          </cell>
        </row>
      </sheetData>
      <sheetData sheetId="8681">
        <row r="7">
          <cell r="AI7">
            <v>10000</v>
          </cell>
        </row>
      </sheetData>
      <sheetData sheetId="8682">
        <row r="7">
          <cell r="AI7">
            <v>10000</v>
          </cell>
        </row>
      </sheetData>
      <sheetData sheetId="8683">
        <row r="7">
          <cell r="AI7">
            <v>10000</v>
          </cell>
        </row>
      </sheetData>
      <sheetData sheetId="8684">
        <row r="7">
          <cell r="AI7">
            <v>10000</v>
          </cell>
        </row>
      </sheetData>
      <sheetData sheetId="8685">
        <row r="7">
          <cell r="AI7">
            <v>10000</v>
          </cell>
        </row>
      </sheetData>
      <sheetData sheetId="8686">
        <row r="7">
          <cell r="AI7">
            <v>10000</v>
          </cell>
        </row>
      </sheetData>
      <sheetData sheetId="8687">
        <row r="7">
          <cell r="AI7">
            <v>10000</v>
          </cell>
        </row>
      </sheetData>
      <sheetData sheetId="8688">
        <row r="7">
          <cell r="AI7">
            <v>10000</v>
          </cell>
        </row>
      </sheetData>
      <sheetData sheetId="8689">
        <row r="7">
          <cell r="AI7">
            <v>10000</v>
          </cell>
        </row>
      </sheetData>
      <sheetData sheetId="8690">
        <row r="7">
          <cell r="AI7">
            <v>10000</v>
          </cell>
        </row>
      </sheetData>
      <sheetData sheetId="8691">
        <row r="7">
          <cell r="AI7">
            <v>10000</v>
          </cell>
        </row>
      </sheetData>
      <sheetData sheetId="8692">
        <row r="7">
          <cell r="AI7">
            <v>10000</v>
          </cell>
        </row>
      </sheetData>
      <sheetData sheetId="8693">
        <row r="7">
          <cell r="AI7">
            <v>10000</v>
          </cell>
        </row>
      </sheetData>
      <sheetData sheetId="8694">
        <row r="7">
          <cell r="AI7">
            <v>10000</v>
          </cell>
        </row>
      </sheetData>
      <sheetData sheetId="8695">
        <row r="7">
          <cell r="AI7">
            <v>10000</v>
          </cell>
        </row>
      </sheetData>
      <sheetData sheetId="8696">
        <row r="7">
          <cell r="AI7">
            <v>10000</v>
          </cell>
        </row>
      </sheetData>
      <sheetData sheetId="8697">
        <row r="7">
          <cell r="AI7">
            <v>10000</v>
          </cell>
        </row>
      </sheetData>
      <sheetData sheetId="8698">
        <row r="7">
          <cell r="AI7">
            <v>10000</v>
          </cell>
        </row>
      </sheetData>
      <sheetData sheetId="8699">
        <row r="7">
          <cell r="AI7">
            <v>10000</v>
          </cell>
        </row>
      </sheetData>
      <sheetData sheetId="8700">
        <row r="7">
          <cell r="AI7">
            <v>10000</v>
          </cell>
        </row>
      </sheetData>
      <sheetData sheetId="8701">
        <row r="7">
          <cell r="AI7">
            <v>10000</v>
          </cell>
        </row>
      </sheetData>
      <sheetData sheetId="8702">
        <row r="7">
          <cell r="AI7">
            <v>10000</v>
          </cell>
        </row>
      </sheetData>
      <sheetData sheetId="8703">
        <row r="7">
          <cell r="AI7">
            <v>10000</v>
          </cell>
        </row>
      </sheetData>
      <sheetData sheetId="8704">
        <row r="7">
          <cell r="AI7">
            <v>10000</v>
          </cell>
        </row>
      </sheetData>
      <sheetData sheetId="8705">
        <row r="7">
          <cell r="AI7">
            <v>10000</v>
          </cell>
        </row>
      </sheetData>
      <sheetData sheetId="8706">
        <row r="7">
          <cell r="AI7">
            <v>10000</v>
          </cell>
        </row>
      </sheetData>
      <sheetData sheetId="8707">
        <row r="7">
          <cell r="AI7">
            <v>10000</v>
          </cell>
        </row>
      </sheetData>
      <sheetData sheetId="8708">
        <row r="7">
          <cell r="AI7">
            <v>10000</v>
          </cell>
        </row>
      </sheetData>
      <sheetData sheetId="8709">
        <row r="7">
          <cell r="AI7">
            <v>10000</v>
          </cell>
        </row>
      </sheetData>
      <sheetData sheetId="8710">
        <row r="7">
          <cell r="AI7">
            <v>10000</v>
          </cell>
        </row>
      </sheetData>
      <sheetData sheetId="8711">
        <row r="7">
          <cell r="AI7">
            <v>10000</v>
          </cell>
        </row>
      </sheetData>
      <sheetData sheetId="8712">
        <row r="7">
          <cell r="AI7">
            <v>10000</v>
          </cell>
        </row>
      </sheetData>
      <sheetData sheetId="8713">
        <row r="7">
          <cell r="AI7">
            <v>10000</v>
          </cell>
        </row>
      </sheetData>
      <sheetData sheetId="8714">
        <row r="7">
          <cell r="AI7">
            <v>10000</v>
          </cell>
        </row>
      </sheetData>
      <sheetData sheetId="8715">
        <row r="7">
          <cell r="AI7">
            <v>10000</v>
          </cell>
        </row>
      </sheetData>
      <sheetData sheetId="8716">
        <row r="7">
          <cell r="AI7">
            <v>10000</v>
          </cell>
        </row>
      </sheetData>
      <sheetData sheetId="8717">
        <row r="7">
          <cell r="AI7">
            <v>10000</v>
          </cell>
        </row>
      </sheetData>
      <sheetData sheetId="8718">
        <row r="7">
          <cell r="AI7">
            <v>10000</v>
          </cell>
        </row>
      </sheetData>
      <sheetData sheetId="8719">
        <row r="7">
          <cell r="AI7">
            <v>10000</v>
          </cell>
        </row>
      </sheetData>
      <sheetData sheetId="8720">
        <row r="7">
          <cell r="AI7">
            <v>10000</v>
          </cell>
        </row>
      </sheetData>
      <sheetData sheetId="8721">
        <row r="7">
          <cell r="AI7">
            <v>10000</v>
          </cell>
        </row>
      </sheetData>
      <sheetData sheetId="8722">
        <row r="7">
          <cell r="AI7">
            <v>10000</v>
          </cell>
        </row>
      </sheetData>
      <sheetData sheetId="8723">
        <row r="7">
          <cell r="AI7">
            <v>10000</v>
          </cell>
        </row>
      </sheetData>
      <sheetData sheetId="8724">
        <row r="7">
          <cell r="AI7">
            <v>10000</v>
          </cell>
        </row>
      </sheetData>
      <sheetData sheetId="8725">
        <row r="7">
          <cell r="AI7">
            <v>10000</v>
          </cell>
        </row>
      </sheetData>
      <sheetData sheetId="8726">
        <row r="7">
          <cell r="AI7">
            <v>10000</v>
          </cell>
        </row>
      </sheetData>
      <sheetData sheetId="8727">
        <row r="7">
          <cell r="AI7">
            <v>10000</v>
          </cell>
        </row>
      </sheetData>
      <sheetData sheetId="8728">
        <row r="7">
          <cell r="AI7">
            <v>10000</v>
          </cell>
        </row>
      </sheetData>
      <sheetData sheetId="8729">
        <row r="7">
          <cell r="AI7">
            <v>10000</v>
          </cell>
        </row>
      </sheetData>
      <sheetData sheetId="8730">
        <row r="7">
          <cell r="AI7">
            <v>10000</v>
          </cell>
        </row>
      </sheetData>
      <sheetData sheetId="8731">
        <row r="7">
          <cell r="AI7">
            <v>10000</v>
          </cell>
        </row>
      </sheetData>
      <sheetData sheetId="8732">
        <row r="7">
          <cell r="AI7">
            <v>10000</v>
          </cell>
        </row>
      </sheetData>
      <sheetData sheetId="8733">
        <row r="7">
          <cell r="AI7">
            <v>10000</v>
          </cell>
        </row>
      </sheetData>
      <sheetData sheetId="8734">
        <row r="7">
          <cell r="AI7">
            <v>10000</v>
          </cell>
        </row>
      </sheetData>
      <sheetData sheetId="8735">
        <row r="7">
          <cell r="AI7">
            <v>10000</v>
          </cell>
        </row>
      </sheetData>
      <sheetData sheetId="8736">
        <row r="7">
          <cell r="AI7">
            <v>10000</v>
          </cell>
        </row>
      </sheetData>
      <sheetData sheetId="8737">
        <row r="7">
          <cell r="AI7">
            <v>10000</v>
          </cell>
        </row>
      </sheetData>
      <sheetData sheetId="8738">
        <row r="7">
          <cell r="AI7">
            <v>10000</v>
          </cell>
        </row>
      </sheetData>
      <sheetData sheetId="8739">
        <row r="7">
          <cell r="AI7">
            <v>10000</v>
          </cell>
        </row>
      </sheetData>
      <sheetData sheetId="8740">
        <row r="7">
          <cell r="AI7">
            <v>10000</v>
          </cell>
        </row>
      </sheetData>
      <sheetData sheetId="8741">
        <row r="7">
          <cell r="AI7">
            <v>10000</v>
          </cell>
        </row>
      </sheetData>
      <sheetData sheetId="8742">
        <row r="7">
          <cell r="AI7">
            <v>10000</v>
          </cell>
        </row>
      </sheetData>
      <sheetData sheetId="8743">
        <row r="7">
          <cell r="AI7">
            <v>10000</v>
          </cell>
        </row>
      </sheetData>
      <sheetData sheetId="8744">
        <row r="7">
          <cell r="AI7">
            <v>10000</v>
          </cell>
        </row>
      </sheetData>
      <sheetData sheetId="8745">
        <row r="7">
          <cell r="AI7">
            <v>10000</v>
          </cell>
        </row>
      </sheetData>
      <sheetData sheetId="8746">
        <row r="7">
          <cell r="AI7">
            <v>10000</v>
          </cell>
        </row>
      </sheetData>
      <sheetData sheetId="8747">
        <row r="7">
          <cell r="AI7">
            <v>10000</v>
          </cell>
        </row>
      </sheetData>
      <sheetData sheetId="8748">
        <row r="7">
          <cell r="AI7">
            <v>10000</v>
          </cell>
        </row>
      </sheetData>
      <sheetData sheetId="8749">
        <row r="7">
          <cell r="AI7">
            <v>10000</v>
          </cell>
        </row>
      </sheetData>
      <sheetData sheetId="8750">
        <row r="7">
          <cell r="AI7">
            <v>10000</v>
          </cell>
        </row>
      </sheetData>
      <sheetData sheetId="8751">
        <row r="7">
          <cell r="AI7">
            <v>10000</v>
          </cell>
        </row>
      </sheetData>
      <sheetData sheetId="8752">
        <row r="7">
          <cell r="AI7">
            <v>10000</v>
          </cell>
        </row>
      </sheetData>
      <sheetData sheetId="8753">
        <row r="7">
          <cell r="AI7">
            <v>10000</v>
          </cell>
        </row>
      </sheetData>
      <sheetData sheetId="8754">
        <row r="7">
          <cell r="AI7">
            <v>10000</v>
          </cell>
        </row>
      </sheetData>
      <sheetData sheetId="8755">
        <row r="7">
          <cell r="AI7">
            <v>10000</v>
          </cell>
        </row>
      </sheetData>
      <sheetData sheetId="8756">
        <row r="7">
          <cell r="AI7">
            <v>10000</v>
          </cell>
        </row>
      </sheetData>
      <sheetData sheetId="8757">
        <row r="7">
          <cell r="AI7">
            <v>10000</v>
          </cell>
        </row>
      </sheetData>
      <sheetData sheetId="8758">
        <row r="7">
          <cell r="AI7">
            <v>10000</v>
          </cell>
        </row>
      </sheetData>
      <sheetData sheetId="8759">
        <row r="7">
          <cell r="AI7">
            <v>10000</v>
          </cell>
        </row>
      </sheetData>
      <sheetData sheetId="8760">
        <row r="7">
          <cell r="AI7">
            <v>10000</v>
          </cell>
        </row>
      </sheetData>
      <sheetData sheetId="8761">
        <row r="7">
          <cell r="AI7">
            <v>10000</v>
          </cell>
        </row>
      </sheetData>
      <sheetData sheetId="8762">
        <row r="7">
          <cell r="AI7">
            <v>10000</v>
          </cell>
        </row>
      </sheetData>
      <sheetData sheetId="8763">
        <row r="7">
          <cell r="AI7">
            <v>10000</v>
          </cell>
        </row>
      </sheetData>
      <sheetData sheetId="8764">
        <row r="7">
          <cell r="AI7">
            <v>10000</v>
          </cell>
        </row>
      </sheetData>
      <sheetData sheetId="8765">
        <row r="7">
          <cell r="AI7">
            <v>10000</v>
          </cell>
        </row>
      </sheetData>
      <sheetData sheetId="8766">
        <row r="7">
          <cell r="AI7">
            <v>10000</v>
          </cell>
        </row>
      </sheetData>
      <sheetData sheetId="8767">
        <row r="7">
          <cell r="AI7">
            <v>10000</v>
          </cell>
        </row>
      </sheetData>
      <sheetData sheetId="8768">
        <row r="7">
          <cell r="AI7">
            <v>10000</v>
          </cell>
        </row>
      </sheetData>
      <sheetData sheetId="8769">
        <row r="7">
          <cell r="AI7">
            <v>10000</v>
          </cell>
        </row>
      </sheetData>
      <sheetData sheetId="8770">
        <row r="7">
          <cell r="AI7">
            <v>10000</v>
          </cell>
        </row>
      </sheetData>
      <sheetData sheetId="8771">
        <row r="7">
          <cell r="AI7">
            <v>10000</v>
          </cell>
        </row>
      </sheetData>
      <sheetData sheetId="8772">
        <row r="7">
          <cell r="AI7">
            <v>10000</v>
          </cell>
        </row>
      </sheetData>
      <sheetData sheetId="8773">
        <row r="7">
          <cell r="AI7">
            <v>10000</v>
          </cell>
        </row>
      </sheetData>
      <sheetData sheetId="8774">
        <row r="7">
          <cell r="AI7">
            <v>10000</v>
          </cell>
        </row>
      </sheetData>
      <sheetData sheetId="8775">
        <row r="7">
          <cell r="AI7">
            <v>10000</v>
          </cell>
        </row>
      </sheetData>
      <sheetData sheetId="8776">
        <row r="7">
          <cell r="AI7">
            <v>10000</v>
          </cell>
        </row>
      </sheetData>
      <sheetData sheetId="8777">
        <row r="7">
          <cell r="AI7">
            <v>10000</v>
          </cell>
        </row>
      </sheetData>
      <sheetData sheetId="8778">
        <row r="7">
          <cell r="AI7">
            <v>10000</v>
          </cell>
        </row>
      </sheetData>
      <sheetData sheetId="8779">
        <row r="7">
          <cell r="AI7">
            <v>10000</v>
          </cell>
        </row>
      </sheetData>
      <sheetData sheetId="8780">
        <row r="7">
          <cell r="AI7">
            <v>10000</v>
          </cell>
        </row>
      </sheetData>
      <sheetData sheetId="8781">
        <row r="7">
          <cell r="AI7">
            <v>10000</v>
          </cell>
        </row>
      </sheetData>
      <sheetData sheetId="8782">
        <row r="7">
          <cell r="AI7">
            <v>10000</v>
          </cell>
        </row>
      </sheetData>
      <sheetData sheetId="8783">
        <row r="7">
          <cell r="AI7">
            <v>10000</v>
          </cell>
        </row>
      </sheetData>
      <sheetData sheetId="8784">
        <row r="7">
          <cell r="AI7">
            <v>10000</v>
          </cell>
        </row>
      </sheetData>
      <sheetData sheetId="8785">
        <row r="7">
          <cell r="AI7">
            <v>10000</v>
          </cell>
        </row>
      </sheetData>
      <sheetData sheetId="8786">
        <row r="7">
          <cell r="AI7">
            <v>10000</v>
          </cell>
        </row>
      </sheetData>
      <sheetData sheetId="8787">
        <row r="7">
          <cell r="AI7">
            <v>10000</v>
          </cell>
        </row>
      </sheetData>
      <sheetData sheetId="8788">
        <row r="7">
          <cell r="AI7">
            <v>10000</v>
          </cell>
        </row>
      </sheetData>
      <sheetData sheetId="8789">
        <row r="7">
          <cell r="AI7">
            <v>10000</v>
          </cell>
        </row>
      </sheetData>
      <sheetData sheetId="8790">
        <row r="7">
          <cell r="AI7">
            <v>10000</v>
          </cell>
        </row>
      </sheetData>
      <sheetData sheetId="8791">
        <row r="7">
          <cell r="AI7">
            <v>10000</v>
          </cell>
        </row>
      </sheetData>
      <sheetData sheetId="8792">
        <row r="7">
          <cell r="AI7">
            <v>10000</v>
          </cell>
        </row>
      </sheetData>
      <sheetData sheetId="8793">
        <row r="7">
          <cell r="AI7">
            <v>10000</v>
          </cell>
        </row>
      </sheetData>
      <sheetData sheetId="8794">
        <row r="7">
          <cell r="AI7">
            <v>10000</v>
          </cell>
        </row>
      </sheetData>
      <sheetData sheetId="8795">
        <row r="7">
          <cell r="AI7">
            <v>10000</v>
          </cell>
        </row>
      </sheetData>
      <sheetData sheetId="8796">
        <row r="7">
          <cell r="AI7">
            <v>10000</v>
          </cell>
        </row>
      </sheetData>
      <sheetData sheetId="8797">
        <row r="7">
          <cell r="AI7">
            <v>10000</v>
          </cell>
        </row>
      </sheetData>
      <sheetData sheetId="8798">
        <row r="7">
          <cell r="AI7">
            <v>10000</v>
          </cell>
        </row>
      </sheetData>
      <sheetData sheetId="8799">
        <row r="7">
          <cell r="AI7">
            <v>10000</v>
          </cell>
        </row>
      </sheetData>
      <sheetData sheetId="8800">
        <row r="7">
          <cell r="AI7">
            <v>10000</v>
          </cell>
        </row>
      </sheetData>
      <sheetData sheetId="8801">
        <row r="7">
          <cell r="AI7">
            <v>10000</v>
          </cell>
        </row>
      </sheetData>
      <sheetData sheetId="8802">
        <row r="7">
          <cell r="AI7">
            <v>10000</v>
          </cell>
        </row>
      </sheetData>
      <sheetData sheetId="8803">
        <row r="7">
          <cell r="AI7">
            <v>10000</v>
          </cell>
        </row>
      </sheetData>
      <sheetData sheetId="8804">
        <row r="7">
          <cell r="AI7">
            <v>10000</v>
          </cell>
        </row>
      </sheetData>
      <sheetData sheetId="8805">
        <row r="7">
          <cell r="AI7">
            <v>10000</v>
          </cell>
        </row>
      </sheetData>
      <sheetData sheetId="8806">
        <row r="7">
          <cell r="AI7">
            <v>10000</v>
          </cell>
        </row>
      </sheetData>
      <sheetData sheetId="8807">
        <row r="7">
          <cell r="AI7">
            <v>10000</v>
          </cell>
        </row>
      </sheetData>
      <sheetData sheetId="8808">
        <row r="7">
          <cell r="AI7">
            <v>10000</v>
          </cell>
        </row>
      </sheetData>
      <sheetData sheetId="8809">
        <row r="7">
          <cell r="AI7">
            <v>10000</v>
          </cell>
        </row>
      </sheetData>
      <sheetData sheetId="8810">
        <row r="7">
          <cell r="AI7">
            <v>10000</v>
          </cell>
        </row>
      </sheetData>
      <sheetData sheetId="8811">
        <row r="7">
          <cell r="AI7">
            <v>10000</v>
          </cell>
        </row>
      </sheetData>
      <sheetData sheetId="8812">
        <row r="7">
          <cell r="AI7">
            <v>10000</v>
          </cell>
        </row>
      </sheetData>
      <sheetData sheetId="8813">
        <row r="7">
          <cell r="AI7">
            <v>10000</v>
          </cell>
        </row>
      </sheetData>
      <sheetData sheetId="8814">
        <row r="7">
          <cell r="AI7">
            <v>10000</v>
          </cell>
        </row>
      </sheetData>
      <sheetData sheetId="8815">
        <row r="7">
          <cell r="AI7">
            <v>10000</v>
          </cell>
        </row>
      </sheetData>
      <sheetData sheetId="8816">
        <row r="7">
          <cell r="AI7">
            <v>10000</v>
          </cell>
        </row>
      </sheetData>
      <sheetData sheetId="8817">
        <row r="7">
          <cell r="AI7">
            <v>10000</v>
          </cell>
        </row>
      </sheetData>
      <sheetData sheetId="8818">
        <row r="7">
          <cell r="AI7">
            <v>10000</v>
          </cell>
        </row>
      </sheetData>
      <sheetData sheetId="8819">
        <row r="7">
          <cell r="AI7">
            <v>10000</v>
          </cell>
        </row>
      </sheetData>
      <sheetData sheetId="8820">
        <row r="7">
          <cell r="AI7">
            <v>10000</v>
          </cell>
        </row>
      </sheetData>
      <sheetData sheetId="8821">
        <row r="7">
          <cell r="AI7">
            <v>10000</v>
          </cell>
        </row>
      </sheetData>
      <sheetData sheetId="8822">
        <row r="7">
          <cell r="AI7">
            <v>10000</v>
          </cell>
        </row>
      </sheetData>
      <sheetData sheetId="8823">
        <row r="7">
          <cell r="AI7">
            <v>10000</v>
          </cell>
        </row>
      </sheetData>
      <sheetData sheetId="8824">
        <row r="7">
          <cell r="AI7">
            <v>10000</v>
          </cell>
        </row>
      </sheetData>
      <sheetData sheetId="8825">
        <row r="7">
          <cell r="AI7">
            <v>10000</v>
          </cell>
        </row>
      </sheetData>
      <sheetData sheetId="8826">
        <row r="7">
          <cell r="AI7">
            <v>10000</v>
          </cell>
        </row>
      </sheetData>
      <sheetData sheetId="8827">
        <row r="7">
          <cell r="AI7">
            <v>10000</v>
          </cell>
        </row>
      </sheetData>
      <sheetData sheetId="8828">
        <row r="7">
          <cell r="AI7">
            <v>10000</v>
          </cell>
        </row>
      </sheetData>
      <sheetData sheetId="8829">
        <row r="7">
          <cell r="AI7">
            <v>10000</v>
          </cell>
        </row>
      </sheetData>
      <sheetData sheetId="8830">
        <row r="7">
          <cell r="AI7">
            <v>10000</v>
          </cell>
        </row>
      </sheetData>
      <sheetData sheetId="8831">
        <row r="7">
          <cell r="AI7">
            <v>10000</v>
          </cell>
        </row>
      </sheetData>
      <sheetData sheetId="8832">
        <row r="7">
          <cell r="AI7">
            <v>10000</v>
          </cell>
        </row>
      </sheetData>
      <sheetData sheetId="8833">
        <row r="7">
          <cell r="AI7">
            <v>10000</v>
          </cell>
        </row>
      </sheetData>
      <sheetData sheetId="8834">
        <row r="7">
          <cell r="AI7">
            <v>10000</v>
          </cell>
        </row>
      </sheetData>
      <sheetData sheetId="8835">
        <row r="7">
          <cell r="AI7">
            <v>10000</v>
          </cell>
        </row>
      </sheetData>
      <sheetData sheetId="8836">
        <row r="7">
          <cell r="AI7">
            <v>10000</v>
          </cell>
        </row>
      </sheetData>
      <sheetData sheetId="8837">
        <row r="7">
          <cell r="AI7">
            <v>10000</v>
          </cell>
        </row>
      </sheetData>
      <sheetData sheetId="8838">
        <row r="7">
          <cell r="AI7">
            <v>10000</v>
          </cell>
        </row>
      </sheetData>
      <sheetData sheetId="8839">
        <row r="7">
          <cell r="AI7">
            <v>10000</v>
          </cell>
        </row>
      </sheetData>
      <sheetData sheetId="8840">
        <row r="7">
          <cell r="AI7">
            <v>10000</v>
          </cell>
        </row>
      </sheetData>
      <sheetData sheetId="8841">
        <row r="7">
          <cell r="AI7">
            <v>10000</v>
          </cell>
        </row>
      </sheetData>
      <sheetData sheetId="8842">
        <row r="7">
          <cell r="AI7">
            <v>10000</v>
          </cell>
        </row>
      </sheetData>
      <sheetData sheetId="8843">
        <row r="7">
          <cell r="AI7">
            <v>10000</v>
          </cell>
        </row>
      </sheetData>
      <sheetData sheetId="8844">
        <row r="7">
          <cell r="AI7">
            <v>10000</v>
          </cell>
        </row>
      </sheetData>
      <sheetData sheetId="8845">
        <row r="7">
          <cell r="AI7">
            <v>10000</v>
          </cell>
        </row>
      </sheetData>
      <sheetData sheetId="8846">
        <row r="7">
          <cell r="AI7">
            <v>10000</v>
          </cell>
        </row>
      </sheetData>
      <sheetData sheetId="8847">
        <row r="7">
          <cell r="AI7">
            <v>10000</v>
          </cell>
        </row>
      </sheetData>
      <sheetData sheetId="8848">
        <row r="7">
          <cell r="AI7">
            <v>10000</v>
          </cell>
        </row>
      </sheetData>
      <sheetData sheetId="8849">
        <row r="7">
          <cell r="AI7">
            <v>10000</v>
          </cell>
        </row>
      </sheetData>
      <sheetData sheetId="8850">
        <row r="7">
          <cell r="AI7">
            <v>10000</v>
          </cell>
        </row>
      </sheetData>
      <sheetData sheetId="8851">
        <row r="7">
          <cell r="AI7">
            <v>10000</v>
          </cell>
        </row>
      </sheetData>
      <sheetData sheetId="8852">
        <row r="7">
          <cell r="AI7">
            <v>10000</v>
          </cell>
        </row>
      </sheetData>
      <sheetData sheetId="8853">
        <row r="7">
          <cell r="AI7">
            <v>10000</v>
          </cell>
        </row>
      </sheetData>
      <sheetData sheetId="8854">
        <row r="7">
          <cell r="AI7">
            <v>10000</v>
          </cell>
        </row>
      </sheetData>
      <sheetData sheetId="8855">
        <row r="7">
          <cell r="AI7">
            <v>10000</v>
          </cell>
        </row>
      </sheetData>
      <sheetData sheetId="8856">
        <row r="7">
          <cell r="AI7">
            <v>10000</v>
          </cell>
        </row>
      </sheetData>
      <sheetData sheetId="8857">
        <row r="7">
          <cell r="AI7">
            <v>10000</v>
          </cell>
        </row>
      </sheetData>
      <sheetData sheetId="8858">
        <row r="7">
          <cell r="AI7">
            <v>10000</v>
          </cell>
        </row>
      </sheetData>
      <sheetData sheetId="8859">
        <row r="7">
          <cell r="AI7">
            <v>10000</v>
          </cell>
        </row>
      </sheetData>
      <sheetData sheetId="8860">
        <row r="7">
          <cell r="AI7">
            <v>10000</v>
          </cell>
        </row>
      </sheetData>
      <sheetData sheetId="8861">
        <row r="7">
          <cell r="AI7">
            <v>10000</v>
          </cell>
        </row>
      </sheetData>
      <sheetData sheetId="8862">
        <row r="7">
          <cell r="AI7">
            <v>10000</v>
          </cell>
        </row>
      </sheetData>
      <sheetData sheetId="8863">
        <row r="7">
          <cell r="AI7">
            <v>10000</v>
          </cell>
        </row>
      </sheetData>
      <sheetData sheetId="8864">
        <row r="7">
          <cell r="AI7">
            <v>10000</v>
          </cell>
        </row>
      </sheetData>
      <sheetData sheetId="8865">
        <row r="7">
          <cell r="AI7">
            <v>10000</v>
          </cell>
        </row>
      </sheetData>
      <sheetData sheetId="8866">
        <row r="7">
          <cell r="AI7">
            <v>10000</v>
          </cell>
        </row>
      </sheetData>
      <sheetData sheetId="8867">
        <row r="7">
          <cell r="AI7">
            <v>10000</v>
          </cell>
        </row>
      </sheetData>
      <sheetData sheetId="8868">
        <row r="7">
          <cell r="AI7">
            <v>10000</v>
          </cell>
        </row>
      </sheetData>
      <sheetData sheetId="8869">
        <row r="7">
          <cell r="AI7">
            <v>10000</v>
          </cell>
        </row>
      </sheetData>
      <sheetData sheetId="8870">
        <row r="7">
          <cell r="AI7">
            <v>10000</v>
          </cell>
        </row>
      </sheetData>
      <sheetData sheetId="8871">
        <row r="7">
          <cell r="AI7">
            <v>10000</v>
          </cell>
        </row>
      </sheetData>
      <sheetData sheetId="8872">
        <row r="7">
          <cell r="AI7">
            <v>10000</v>
          </cell>
        </row>
      </sheetData>
      <sheetData sheetId="8873">
        <row r="7">
          <cell r="AI7">
            <v>10000</v>
          </cell>
        </row>
      </sheetData>
      <sheetData sheetId="8874">
        <row r="7">
          <cell r="AI7">
            <v>10000</v>
          </cell>
        </row>
      </sheetData>
      <sheetData sheetId="8875">
        <row r="7">
          <cell r="AI7">
            <v>10000</v>
          </cell>
        </row>
      </sheetData>
      <sheetData sheetId="8876">
        <row r="7">
          <cell r="AI7">
            <v>10000</v>
          </cell>
        </row>
      </sheetData>
      <sheetData sheetId="8877">
        <row r="7">
          <cell r="AI7">
            <v>10000</v>
          </cell>
        </row>
      </sheetData>
      <sheetData sheetId="8878">
        <row r="7">
          <cell r="AI7">
            <v>10000</v>
          </cell>
        </row>
      </sheetData>
      <sheetData sheetId="8879">
        <row r="7">
          <cell r="AI7">
            <v>10000</v>
          </cell>
        </row>
      </sheetData>
      <sheetData sheetId="8880">
        <row r="7">
          <cell r="AI7">
            <v>10000</v>
          </cell>
        </row>
      </sheetData>
      <sheetData sheetId="8881">
        <row r="7">
          <cell r="AI7">
            <v>10000</v>
          </cell>
        </row>
      </sheetData>
      <sheetData sheetId="8882">
        <row r="7">
          <cell r="AI7">
            <v>10000</v>
          </cell>
        </row>
      </sheetData>
      <sheetData sheetId="8883">
        <row r="7">
          <cell r="AI7">
            <v>10000</v>
          </cell>
        </row>
      </sheetData>
      <sheetData sheetId="8884">
        <row r="7">
          <cell r="AI7">
            <v>10000</v>
          </cell>
        </row>
      </sheetData>
      <sheetData sheetId="8885">
        <row r="7">
          <cell r="AI7">
            <v>10000</v>
          </cell>
        </row>
      </sheetData>
      <sheetData sheetId="8886">
        <row r="7">
          <cell r="AI7">
            <v>10000</v>
          </cell>
        </row>
      </sheetData>
      <sheetData sheetId="8887">
        <row r="7">
          <cell r="AI7">
            <v>10000</v>
          </cell>
        </row>
      </sheetData>
      <sheetData sheetId="8888">
        <row r="7">
          <cell r="AI7">
            <v>10000</v>
          </cell>
        </row>
      </sheetData>
      <sheetData sheetId="8889">
        <row r="7">
          <cell r="AI7">
            <v>10000</v>
          </cell>
        </row>
      </sheetData>
      <sheetData sheetId="8890">
        <row r="7">
          <cell r="AI7">
            <v>10000</v>
          </cell>
        </row>
      </sheetData>
      <sheetData sheetId="8891">
        <row r="7">
          <cell r="AI7">
            <v>10000</v>
          </cell>
        </row>
      </sheetData>
      <sheetData sheetId="8892">
        <row r="7">
          <cell r="AI7">
            <v>10000</v>
          </cell>
        </row>
      </sheetData>
      <sheetData sheetId="8893">
        <row r="7">
          <cell r="AI7">
            <v>10000</v>
          </cell>
        </row>
      </sheetData>
      <sheetData sheetId="8894">
        <row r="7">
          <cell r="AI7">
            <v>10000</v>
          </cell>
        </row>
      </sheetData>
      <sheetData sheetId="8895">
        <row r="7">
          <cell r="AI7">
            <v>10000</v>
          </cell>
        </row>
      </sheetData>
      <sheetData sheetId="8896">
        <row r="7">
          <cell r="AI7">
            <v>10000</v>
          </cell>
        </row>
      </sheetData>
      <sheetData sheetId="8897">
        <row r="7">
          <cell r="AI7">
            <v>10000</v>
          </cell>
        </row>
      </sheetData>
      <sheetData sheetId="8898">
        <row r="7">
          <cell r="AI7">
            <v>10000</v>
          </cell>
        </row>
      </sheetData>
      <sheetData sheetId="8899">
        <row r="7">
          <cell r="AI7">
            <v>10000</v>
          </cell>
        </row>
      </sheetData>
      <sheetData sheetId="8900">
        <row r="7">
          <cell r="AI7">
            <v>10000</v>
          </cell>
        </row>
      </sheetData>
      <sheetData sheetId="8901">
        <row r="7">
          <cell r="AI7">
            <v>10000</v>
          </cell>
        </row>
      </sheetData>
      <sheetData sheetId="8902">
        <row r="7">
          <cell r="AI7">
            <v>10000</v>
          </cell>
        </row>
      </sheetData>
      <sheetData sheetId="8903">
        <row r="7">
          <cell r="AI7">
            <v>10000</v>
          </cell>
        </row>
      </sheetData>
      <sheetData sheetId="8904">
        <row r="7">
          <cell r="AI7">
            <v>10000</v>
          </cell>
        </row>
      </sheetData>
      <sheetData sheetId="8905">
        <row r="7">
          <cell r="AI7">
            <v>10000</v>
          </cell>
        </row>
      </sheetData>
      <sheetData sheetId="8906">
        <row r="7">
          <cell r="AI7">
            <v>10000</v>
          </cell>
        </row>
      </sheetData>
      <sheetData sheetId="8907">
        <row r="7">
          <cell r="AI7">
            <v>10000</v>
          </cell>
        </row>
      </sheetData>
      <sheetData sheetId="8908">
        <row r="7">
          <cell r="AI7">
            <v>10000</v>
          </cell>
        </row>
      </sheetData>
      <sheetData sheetId="8909">
        <row r="7">
          <cell r="AI7">
            <v>10000</v>
          </cell>
        </row>
      </sheetData>
      <sheetData sheetId="8910">
        <row r="7">
          <cell r="AI7">
            <v>10000</v>
          </cell>
        </row>
      </sheetData>
      <sheetData sheetId="8911">
        <row r="7">
          <cell r="AI7">
            <v>10000</v>
          </cell>
        </row>
      </sheetData>
      <sheetData sheetId="8912">
        <row r="7">
          <cell r="AI7">
            <v>10000</v>
          </cell>
        </row>
      </sheetData>
      <sheetData sheetId="8913">
        <row r="7">
          <cell r="AI7">
            <v>10000</v>
          </cell>
        </row>
      </sheetData>
      <sheetData sheetId="8914">
        <row r="7">
          <cell r="AI7">
            <v>10000</v>
          </cell>
        </row>
      </sheetData>
      <sheetData sheetId="8915">
        <row r="7">
          <cell r="AI7">
            <v>10000</v>
          </cell>
        </row>
      </sheetData>
      <sheetData sheetId="8916">
        <row r="7">
          <cell r="AI7">
            <v>10000</v>
          </cell>
        </row>
      </sheetData>
      <sheetData sheetId="8917">
        <row r="7">
          <cell r="AI7">
            <v>10000</v>
          </cell>
        </row>
      </sheetData>
      <sheetData sheetId="8918">
        <row r="7">
          <cell r="AI7">
            <v>10000</v>
          </cell>
        </row>
      </sheetData>
      <sheetData sheetId="8919">
        <row r="7">
          <cell r="AI7">
            <v>10000</v>
          </cell>
        </row>
      </sheetData>
      <sheetData sheetId="8920">
        <row r="7">
          <cell r="AI7">
            <v>10000</v>
          </cell>
        </row>
      </sheetData>
      <sheetData sheetId="8921">
        <row r="7">
          <cell r="AI7">
            <v>10000</v>
          </cell>
        </row>
      </sheetData>
      <sheetData sheetId="8922">
        <row r="7">
          <cell r="AI7">
            <v>10000</v>
          </cell>
        </row>
      </sheetData>
      <sheetData sheetId="8923">
        <row r="7">
          <cell r="AI7">
            <v>10000</v>
          </cell>
        </row>
      </sheetData>
      <sheetData sheetId="8924">
        <row r="7">
          <cell r="AI7">
            <v>10000</v>
          </cell>
        </row>
      </sheetData>
      <sheetData sheetId="8925">
        <row r="7">
          <cell r="AI7">
            <v>10000</v>
          </cell>
        </row>
      </sheetData>
      <sheetData sheetId="8926">
        <row r="7">
          <cell r="AI7">
            <v>10000</v>
          </cell>
        </row>
      </sheetData>
      <sheetData sheetId="8927">
        <row r="7">
          <cell r="AI7">
            <v>10000</v>
          </cell>
        </row>
      </sheetData>
      <sheetData sheetId="8928">
        <row r="7">
          <cell r="AI7">
            <v>10000</v>
          </cell>
        </row>
      </sheetData>
      <sheetData sheetId="8929">
        <row r="7">
          <cell r="AI7">
            <v>10000</v>
          </cell>
        </row>
      </sheetData>
      <sheetData sheetId="8930">
        <row r="7">
          <cell r="AI7">
            <v>10000</v>
          </cell>
        </row>
      </sheetData>
      <sheetData sheetId="8931">
        <row r="7">
          <cell r="AI7">
            <v>10000</v>
          </cell>
        </row>
      </sheetData>
      <sheetData sheetId="8932">
        <row r="7">
          <cell r="AI7">
            <v>10000</v>
          </cell>
        </row>
      </sheetData>
      <sheetData sheetId="8933">
        <row r="7">
          <cell r="AI7">
            <v>10000</v>
          </cell>
        </row>
      </sheetData>
      <sheetData sheetId="8934">
        <row r="7">
          <cell r="AI7">
            <v>10000</v>
          </cell>
        </row>
      </sheetData>
      <sheetData sheetId="8935">
        <row r="7">
          <cell r="AI7">
            <v>10000</v>
          </cell>
        </row>
      </sheetData>
      <sheetData sheetId="8936">
        <row r="7">
          <cell r="AI7">
            <v>10000</v>
          </cell>
        </row>
      </sheetData>
      <sheetData sheetId="8937">
        <row r="7">
          <cell r="AI7">
            <v>10000</v>
          </cell>
        </row>
      </sheetData>
      <sheetData sheetId="8938">
        <row r="7">
          <cell r="AI7">
            <v>10000</v>
          </cell>
        </row>
      </sheetData>
      <sheetData sheetId="8939">
        <row r="7">
          <cell r="AI7">
            <v>10000</v>
          </cell>
        </row>
      </sheetData>
      <sheetData sheetId="8940">
        <row r="7">
          <cell r="AI7">
            <v>10000</v>
          </cell>
        </row>
      </sheetData>
      <sheetData sheetId="8941">
        <row r="7">
          <cell r="AI7">
            <v>10000</v>
          </cell>
        </row>
      </sheetData>
      <sheetData sheetId="8942">
        <row r="7">
          <cell r="AI7">
            <v>10000</v>
          </cell>
        </row>
      </sheetData>
      <sheetData sheetId="8943">
        <row r="7">
          <cell r="AI7">
            <v>10000</v>
          </cell>
        </row>
      </sheetData>
      <sheetData sheetId="8944">
        <row r="7">
          <cell r="AI7">
            <v>10000</v>
          </cell>
        </row>
      </sheetData>
      <sheetData sheetId="8945">
        <row r="7">
          <cell r="AI7">
            <v>10000</v>
          </cell>
        </row>
      </sheetData>
      <sheetData sheetId="8946">
        <row r="7">
          <cell r="AI7">
            <v>10000</v>
          </cell>
        </row>
      </sheetData>
      <sheetData sheetId="8947">
        <row r="7">
          <cell r="AI7">
            <v>10000</v>
          </cell>
        </row>
      </sheetData>
      <sheetData sheetId="8948">
        <row r="7">
          <cell r="AI7">
            <v>10000</v>
          </cell>
        </row>
      </sheetData>
      <sheetData sheetId="8949">
        <row r="7">
          <cell r="AI7">
            <v>10000</v>
          </cell>
        </row>
      </sheetData>
      <sheetData sheetId="8950">
        <row r="7">
          <cell r="AI7">
            <v>10000</v>
          </cell>
        </row>
      </sheetData>
      <sheetData sheetId="8951">
        <row r="7">
          <cell r="AI7">
            <v>10000</v>
          </cell>
        </row>
      </sheetData>
      <sheetData sheetId="8952">
        <row r="7">
          <cell r="AI7">
            <v>10000</v>
          </cell>
        </row>
      </sheetData>
      <sheetData sheetId="8953">
        <row r="7">
          <cell r="AI7">
            <v>10000</v>
          </cell>
        </row>
      </sheetData>
      <sheetData sheetId="8954">
        <row r="7">
          <cell r="AI7">
            <v>10000</v>
          </cell>
        </row>
      </sheetData>
      <sheetData sheetId="8955">
        <row r="7">
          <cell r="AI7">
            <v>10000</v>
          </cell>
        </row>
      </sheetData>
      <sheetData sheetId="8956">
        <row r="7">
          <cell r="AI7">
            <v>10000</v>
          </cell>
        </row>
      </sheetData>
      <sheetData sheetId="8957">
        <row r="7">
          <cell r="AI7">
            <v>10000</v>
          </cell>
        </row>
      </sheetData>
      <sheetData sheetId="8958">
        <row r="7">
          <cell r="AI7">
            <v>10000</v>
          </cell>
        </row>
      </sheetData>
      <sheetData sheetId="8959">
        <row r="7">
          <cell r="AI7">
            <v>10000</v>
          </cell>
        </row>
      </sheetData>
      <sheetData sheetId="8960">
        <row r="7">
          <cell r="AI7">
            <v>10000</v>
          </cell>
        </row>
      </sheetData>
      <sheetData sheetId="8961">
        <row r="7">
          <cell r="AI7">
            <v>10000</v>
          </cell>
        </row>
      </sheetData>
      <sheetData sheetId="8962">
        <row r="7">
          <cell r="AI7">
            <v>10000</v>
          </cell>
        </row>
      </sheetData>
      <sheetData sheetId="8963">
        <row r="7">
          <cell r="AI7">
            <v>10000</v>
          </cell>
        </row>
      </sheetData>
      <sheetData sheetId="8964">
        <row r="7">
          <cell r="AI7">
            <v>10000</v>
          </cell>
        </row>
      </sheetData>
      <sheetData sheetId="8965">
        <row r="7">
          <cell r="AI7">
            <v>10000</v>
          </cell>
        </row>
      </sheetData>
      <sheetData sheetId="8966">
        <row r="7">
          <cell r="AI7">
            <v>10000</v>
          </cell>
        </row>
      </sheetData>
      <sheetData sheetId="8967">
        <row r="7">
          <cell r="AI7">
            <v>10000</v>
          </cell>
        </row>
      </sheetData>
      <sheetData sheetId="8968">
        <row r="7">
          <cell r="AI7">
            <v>10000</v>
          </cell>
        </row>
      </sheetData>
      <sheetData sheetId="8969">
        <row r="7">
          <cell r="AI7">
            <v>10000</v>
          </cell>
        </row>
      </sheetData>
      <sheetData sheetId="8970">
        <row r="7">
          <cell r="AI7">
            <v>10000</v>
          </cell>
        </row>
      </sheetData>
      <sheetData sheetId="8971">
        <row r="7">
          <cell r="AI7">
            <v>10000</v>
          </cell>
        </row>
      </sheetData>
      <sheetData sheetId="8972">
        <row r="7">
          <cell r="AI7">
            <v>10000</v>
          </cell>
        </row>
      </sheetData>
      <sheetData sheetId="8973">
        <row r="7">
          <cell r="AI7">
            <v>10000</v>
          </cell>
        </row>
      </sheetData>
      <sheetData sheetId="8974">
        <row r="7">
          <cell r="AI7">
            <v>10000</v>
          </cell>
        </row>
      </sheetData>
      <sheetData sheetId="8975">
        <row r="7">
          <cell r="AI7">
            <v>10000</v>
          </cell>
        </row>
      </sheetData>
      <sheetData sheetId="8976">
        <row r="7">
          <cell r="AI7">
            <v>10000</v>
          </cell>
        </row>
      </sheetData>
      <sheetData sheetId="8977">
        <row r="7">
          <cell r="AI7">
            <v>10000</v>
          </cell>
        </row>
      </sheetData>
      <sheetData sheetId="8978">
        <row r="7">
          <cell r="AI7">
            <v>10000</v>
          </cell>
        </row>
      </sheetData>
      <sheetData sheetId="8979">
        <row r="7">
          <cell r="AI7">
            <v>10000</v>
          </cell>
        </row>
      </sheetData>
      <sheetData sheetId="8980">
        <row r="7">
          <cell r="AI7">
            <v>10000</v>
          </cell>
        </row>
      </sheetData>
      <sheetData sheetId="8981">
        <row r="7">
          <cell r="AI7">
            <v>10000</v>
          </cell>
        </row>
      </sheetData>
      <sheetData sheetId="8982">
        <row r="7">
          <cell r="AI7">
            <v>10000</v>
          </cell>
        </row>
      </sheetData>
      <sheetData sheetId="8983">
        <row r="7">
          <cell r="AI7">
            <v>10000</v>
          </cell>
        </row>
      </sheetData>
      <sheetData sheetId="8984">
        <row r="7">
          <cell r="AI7">
            <v>10000</v>
          </cell>
        </row>
      </sheetData>
      <sheetData sheetId="8985">
        <row r="7">
          <cell r="AI7">
            <v>10000</v>
          </cell>
        </row>
      </sheetData>
      <sheetData sheetId="8986">
        <row r="7">
          <cell r="AI7">
            <v>10000</v>
          </cell>
        </row>
      </sheetData>
      <sheetData sheetId="8987">
        <row r="7">
          <cell r="AI7">
            <v>10000</v>
          </cell>
        </row>
      </sheetData>
      <sheetData sheetId="8988">
        <row r="7">
          <cell r="AI7">
            <v>10000</v>
          </cell>
        </row>
      </sheetData>
      <sheetData sheetId="8989">
        <row r="7">
          <cell r="AI7">
            <v>10000</v>
          </cell>
        </row>
      </sheetData>
      <sheetData sheetId="8990">
        <row r="7">
          <cell r="AI7">
            <v>10000</v>
          </cell>
        </row>
      </sheetData>
      <sheetData sheetId="8991">
        <row r="7">
          <cell r="AI7">
            <v>10000</v>
          </cell>
        </row>
      </sheetData>
      <sheetData sheetId="8992">
        <row r="7">
          <cell r="AI7">
            <v>10000</v>
          </cell>
        </row>
      </sheetData>
      <sheetData sheetId="8993">
        <row r="7">
          <cell r="AI7">
            <v>10000</v>
          </cell>
        </row>
      </sheetData>
      <sheetData sheetId="8994">
        <row r="7">
          <cell r="AI7">
            <v>10000</v>
          </cell>
        </row>
      </sheetData>
      <sheetData sheetId="8995">
        <row r="7">
          <cell r="AI7">
            <v>10000</v>
          </cell>
        </row>
      </sheetData>
      <sheetData sheetId="8996">
        <row r="7">
          <cell r="AI7">
            <v>10000</v>
          </cell>
        </row>
      </sheetData>
      <sheetData sheetId="8997">
        <row r="7">
          <cell r="AI7">
            <v>10000</v>
          </cell>
        </row>
      </sheetData>
      <sheetData sheetId="8998">
        <row r="7">
          <cell r="AI7">
            <v>10000</v>
          </cell>
        </row>
      </sheetData>
      <sheetData sheetId="8999">
        <row r="7">
          <cell r="AI7">
            <v>10000</v>
          </cell>
        </row>
      </sheetData>
      <sheetData sheetId="9000">
        <row r="7">
          <cell r="AI7">
            <v>10000</v>
          </cell>
        </row>
      </sheetData>
      <sheetData sheetId="9001">
        <row r="7">
          <cell r="AI7">
            <v>10000</v>
          </cell>
        </row>
      </sheetData>
      <sheetData sheetId="9002">
        <row r="7">
          <cell r="AI7">
            <v>10000</v>
          </cell>
        </row>
      </sheetData>
      <sheetData sheetId="9003">
        <row r="7">
          <cell r="AI7">
            <v>10000</v>
          </cell>
        </row>
      </sheetData>
      <sheetData sheetId="9004">
        <row r="7">
          <cell r="AI7">
            <v>10000</v>
          </cell>
        </row>
      </sheetData>
      <sheetData sheetId="9005">
        <row r="7">
          <cell r="AI7">
            <v>10000</v>
          </cell>
        </row>
      </sheetData>
      <sheetData sheetId="9006">
        <row r="7">
          <cell r="AI7">
            <v>10000</v>
          </cell>
        </row>
      </sheetData>
      <sheetData sheetId="9007">
        <row r="7">
          <cell r="AI7">
            <v>10000</v>
          </cell>
        </row>
      </sheetData>
      <sheetData sheetId="9008">
        <row r="7">
          <cell r="AI7">
            <v>10000</v>
          </cell>
        </row>
      </sheetData>
      <sheetData sheetId="9009">
        <row r="7">
          <cell r="AI7">
            <v>10000</v>
          </cell>
        </row>
      </sheetData>
      <sheetData sheetId="9010">
        <row r="7">
          <cell r="AI7">
            <v>10000</v>
          </cell>
        </row>
      </sheetData>
      <sheetData sheetId="9011">
        <row r="7">
          <cell r="AI7">
            <v>10000</v>
          </cell>
        </row>
      </sheetData>
      <sheetData sheetId="9012">
        <row r="7">
          <cell r="AI7">
            <v>10000</v>
          </cell>
        </row>
      </sheetData>
      <sheetData sheetId="9013">
        <row r="7">
          <cell r="AI7">
            <v>10000</v>
          </cell>
        </row>
      </sheetData>
      <sheetData sheetId="9014">
        <row r="7">
          <cell r="AI7">
            <v>10000</v>
          </cell>
        </row>
      </sheetData>
      <sheetData sheetId="9015">
        <row r="7">
          <cell r="AI7">
            <v>10000</v>
          </cell>
        </row>
      </sheetData>
      <sheetData sheetId="9016">
        <row r="7">
          <cell r="AI7">
            <v>10000</v>
          </cell>
        </row>
      </sheetData>
      <sheetData sheetId="9017">
        <row r="7">
          <cell r="AI7">
            <v>10000</v>
          </cell>
        </row>
      </sheetData>
      <sheetData sheetId="9018">
        <row r="7">
          <cell r="AI7">
            <v>10000</v>
          </cell>
        </row>
      </sheetData>
      <sheetData sheetId="9019">
        <row r="7">
          <cell r="AI7">
            <v>10000</v>
          </cell>
        </row>
      </sheetData>
      <sheetData sheetId="9020">
        <row r="7">
          <cell r="AI7">
            <v>10000</v>
          </cell>
        </row>
      </sheetData>
      <sheetData sheetId="9021">
        <row r="7">
          <cell r="AI7">
            <v>10000</v>
          </cell>
        </row>
      </sheetData>
      <sheetData sheetId="9022">
        <row r="7">
          <cell r="AI7">
            <v>10000</v>
          </cell>
        </row>
      </sheetData>
      <sheetData sheetId="9023">
        <row r="7">
          <cell r="AI7">
            <v>10000</v>
          </cell>
        </row>
      </sheetData>
      <sheetData sheetId="9024">
        <row r="7">
          <cell r="AI7">
            <v>10000</v>
          </cell>
        </row>
      </sheetData>
      <sheetData sheetId="9025">
        <row r="7">
          <cell r="AI7">
            <v>10000</v>
          </cell>
        </row>
      </sheetData>
      <sheetData sheetId="9026">
        <row r="7">
          <cell r="AI7">
            <v>10000</v>
          </cell>
        </row>
      </sheetData>
      <sheetData sheetId="9027">
        <row r="7">
          <cell r="AI7">
            <v>10000</v>
          </cell>
        </row>
      </sheetData>
      <sheetData sheetId="9028">
        <row r="7">
          <cell r="AI7">
            <v>10000</v>
          </cell>
        </row>
      </sheetData>
      <sheetData sheetId="9029">
        <row r="7">
          <cell r="AI7">
            <v>10000</v>
          </cell>
        </row>
      </sheetData>
      <sheetData sheetId="9030">
        <row r="7">
          <cell r="AI7">
            <v>10000</v>
          </cell>
        </row>
      </sheetData>
      <sheetData sheetId="9031">
        <row r="7">
          <cell r="AI7">
            <v>10000</v>
          </cell>
        </row>
      </sheetData>
      <sheetData sheetId="9032">
        <row r="7">
          <cell r="AI7">
            <v>10000</v>
          </cell>
        </row>
      </sheetData>
      <sheetData sheetId="9033">
        <row r="7">
          <cell r="AI7">
            <v>10000</v>
          </cell>
        </row>
      </sheetData>
      <sheetData sheetId="9034">
        <row r="7">
          <cell r="AI7">
            <v>10000</v>
          </cell>
        </row>
      </sheetData>
      <sheetData sheetId="9035">
        <row r="7">
          <cell r="AI7">
            <v>10000</v>
          </cell>
        </row>
      </sheetData>
      <sheetData sheetId="9036">
        <row r="7">
          <cell r="AI7">
            <v>10000</v>
          </cell>
        </row>
      </sheetData>
      <sheetData sheetId="9037">
        <row r="7">
          <cell r="AI7">
            <v>10000</v>
          </cell>
        </row>
      </sheetData>
      <sheetData sheetId="9038">
        <row r="7">
          <cell r="AI7">
            <v>10000</v>
          </cell>
        </row>
      </sheetData>
      <sheetData sheetId="9039">
        <row r="7">
          <cell r="AI7">
            <v>10000</v>
          </cell>
        </row>
      </sheetData>
      <sheetData sheetId="9040">
        <row r="7">
          <cell r="AI7">
            <v>10000</v>
          </cell>
        </row>
      </sheetData>
      <sheetData sheetId="9041">
        <row r="7">
          <cell r="AI7">
            <v>10000</v>
          </cell>
        </row>
      </sheetData>
      <sheetData sheetId="9042">
        <row r="7">
          <cell r="AI7">
            <v>10000</v>
          </cell>
        </row>
      </sheetData>
      <sheetData sheetId="9043">
        <row r="7">
          <cell r="AI7">
            <v>10000</v>
          </cell>
        </row>
      </sheetData>
      <sheetData sheetId="9044">
        <row r="7">
          <cell r="AI7">
            <v>10000</v>
          </cell>
        </row>
      </sheetData>
      <sheetData sheetId="9045">
        <row r="7">
          <cell r="AI7">
            <v>10000</v>
          </cell>
        </row>
      </sheetData>
      <sheetData sheetId="9046">
        <row r="7">
          <cell r="AI7">
            <v>10000</v>
          </cell>
        </row>
      </sheetData>
      <sheetData sheetId="9047">
        <row r="7">
          <cell r="AI7">
            <v>10000</v>
          </cell>
        </row>
      </sheetData>
      <sheetData sheetId="9048">
        <row r="7">
          <cell r="AI7">
            <v>10000</v>
          </cell>
        </row>
      </sheetData>
      <sheetData sheetId="9049">
        <row r="7">
          <cell r="AI7">
            <v>10000</v>
          </cell>
        </row>
      </sheetData>
      <sheetData sheetId="9050">
        <row r="7">
          <cell r="AI7">
            <v>10000</v>
          </cell>
        </row>
      </sheetData>
      <sheetData sheetId="9051">
        <row r="7">
          <cell r="AI7">
            <v>10000</v>
          </cell>
        </row>
      </sheetData>
      <sheetData sheetId="9052">
        <row r="7">
          <cell r="AI7">
            <v>10000</v>
          </cell>
        </row>
      </sheetData>
      <sheetData sheetId="9053">
        <row r="7">
          <cell r="AI7">
            <v>10000</v>
          </cell>
        </row>
      </sheetData>
      <sheetData sheetId="9054">
        <row r="7">
          <cell r="AI7">
            <v>10000</v>
          </cell>
        </row>
      </sheetData>
      <sheetData sheetId="9055">
        <row r="7">
          <cell r="AI7">
            <v>10000</v>
          </cell>
        </row>
      </sheetData>
      <sheetData sheetId="9056">
        <row r="7">
          <cell r="AI7">
            <v>10000</v>
          </cell>
        </row>
      </sheetData>
      <sheetData sheetId="9057">
        <row r="7">
          <cell r="AI7">
            <v>10000</v>
          </cell>
        </row>
      </sheetData>
      <sheetData sheetId="9058">
        <row r="7">
          <cell r="AI7">
            <v>10000</v>
          </cell>
        </row>
      </sheetData>
      <sheetData sheetId="9059">
        <row r="7">
          <cell r="AI7">
            <v>10000</v>
          </cell>
        </row>
      </sheetData>
      <sheetData sheetId="9060">
        <row r="7">
          <cell r="AI7">
            <v>10000</v>
          </cell>
        </row>
      </sheetData>
      <sheetData sheetId="9061">
        <row r="7">
          <cell r="AI7">
            <v>10000</v>
          </cell>
        </row>
      </sheetData>
      <sheetData sheetId="9062">
        <row r="7">
          <cell r="AI7">
            <v>10000</v>
          </cell>
        </row>
      </sheetData>
      <sheetData sheetId="9063">
        <row r="7">
          <cell r="AI7">
            <v>10000</v>
          </cell>
        </row>
      </sheetData>
      <sheetData sheetId="9064">
        <row r="7">
          <cell r="AI7">
            <v>10000</v>
          </cell>
        </row>
      </sheetData>
      <sheetData sheetId="9065">
        <row r="7">
          <cell r="AI7">
            <v>10000</v>
          </cell>
        </row>
      </sheetData>
      <sheetData sheetId="9066">
        <row r="7">
          <cell r="AI7">
            <v>10000</v>
          </cell>
        </row>
      </sheetData>
      <sheetData sheetId="9067">
        <row r="7">
          <cell r="AI7">
            <v>10000</v>
          </cell>
        </row>
      </sheetData>
      <sheetData sheetId="9068">
        <row r="7">
          <cell r="AI7">
            <v>10000</v>
          </cell>
        </row>
      </sheetData>
      <sheetData sheetId="9069">
        <row r="7">
          <cell r="AI7">
            <v>10000</v>
          </cell>
        </row>
      </sheetData>
      <sheetData sheetId="9070">
        <row r="7">
          <cell r="AI7">
            <v>10000</v>
          </cell>
        </row>
      </sheetData>
      <sheetData sheetId="9071">
        <row r="7">
          <cell r="AI7">
            <v>10000</v>
          </cell>
        </row>
      </sheetData>
      <sheetData sheetId="9072">
        <row r="7">
          <cell r="AI7">
            <v>10000</v>
          </cell>
        </row>
      </sheetData>
      <sheetData sheetId="9073">
        <row r="7">
          <cell r="AI7">
            <v>10000</v>
          </cell>
        </row>
      </sheetData>
      <sheetData sheetId="9074">
        <row r="7">
          <cell r="AI7">
            <v>10000</v>
          </cell>
        </row>
      </sheetData>
      <sheetData sheetId="9075">
        <row r="7">
          <cell r="AI7">
            <v>10000</v>
          </cell>
        </row>
      </sheetData>
      <sheetData sheetId="9076">
        <row r="7">
          <cell r="AI7">
            <v>10000</v>
          </cell>
        </row>
      </sheetData>
      <sheetData sheetId="9077">
        <row r="7">
          <cell r="AI7">
            <v>10000</v>
          </cell>
        </row>
      </sheetData>
      <sheetData sheetId="9078">
        <row r="7">
          <cell r="AI7">
            <v>10000</v>
          </cell>
        </row>
      </sheetData>
      <sheetData sheetId="9079">
        <row r="7">
          <cell r="AI7">
            <v>10000</v>
          </cell>
        </row>
      </sheetData>
      <sheetData sheetId="9080">
        <row r="7">
          <cell r="AI7">
            <v>10000</v>
          </cell>
        </row>
      </sheetData>
      <sheetData sheetId="9081">
        <row r="7">
          <cell r="AI7">
            <v>10000</v>
          </cell>
        </row>
      </sheetData>
      <sheetData sheetId="9082">
        <row r="7">
          <cell r="AI7">
            <v>10000</v>
          </cell>
        </row>
      </sheetData>
      <sheetData sheetId="9083">
        <row r="7">
          <cell r="AI7">
            <v>10000</v>
          </cell>
        </row>
      </sheetData>
      <sheetData sheetId="9084">
        <row r="7">
          <cell r="AI7">
            <v>10000</v>
          </cell>
        </row>
      </sheetData>
      <sheetData sheetId="9085">
        <row r="7">
          <cell r="AI7">
            <v>10000</v>
          </cell>
        </row>
      </sheetData>
      <sheetData sheetId="9086">
        <row r="7">
          <cell r="AI7">
            <v>10000</v>
          </cell>
        </row>
      </sheetData>
      <sheetData sheetId="9087">
        <row r="7">
          <cell r="AI7">
            <v>10000</v>
          </cell>
        </row>
      </sheetData>
      <sheetData sheetId="9088">
        <row r="7">
          <cell r="AI7">
            <v>10000</v>
          </cell>
        </row>
      </sheetData>
      <sheetData sheetId="9089">
        <row r="7">
          <cell r="AI7">
            <v>10000</v>
          </cell>
        </row>
      </sheetData>
      <sheetData sheetId="9090">
        <row r="7">
          <cell r="AI7">
            <v>10000</v>
          </cell>
        </row>
      </sheetData>
      <sheetData sheetId="9091">
        <row r="7">
          <cell r="AI7">
            <v>10000</v>
          </cell>
        </row>
      </sheetData>
      <sheetData sheetId="9092">
        <row r="7">
          <cell r="AI7">
            <v>10000</v>
          </cell>
        </row>
      </sheetData>
      <sheetData sheetId="9093">
        <row r="7">
          <cell r="AI7">
            <v>10000</v>
          </cell>
        </row>
      </sheetData>
      <sheetData sheetId="9094">
        <row r="7">
          <cell r="AI7">
            <v>10000</v>
          </cell>
        </row>
      </sheetData>
      <sheetData sheetId="9095">
        <row r="7">
          <cell r="AI7">
            <v>10000</v>
          </cell>
        </row>
      </sheetData>
      <sheetData sheetId="9096">
        <row r="7">
          <cell r="AI7">
            <v>10000</v>
          </cell>
        </row>
      </sheetData>
      <sheetData sheetId="9097">
        <row r="7">
          <cell r="AI7">
            <v>10000</v>
          </cell>
        </row>
      </sheetData>
      <sheetData sheetId="9098">
        <row r="7">
          <cell r="AI7">
            <v>10000</v>
          </cell>
        </row>
      </sheetData>
      <sheetData sheetId="9099">
        <row r="7">
          <cell r="AI7">
            <v>10000</v>
          </cell>
        </row>
      </sheetData>
      <sheetData sheetId="9100">
        <row r="7">
          <cell r="AI7">
            <v>10000</v>
          </cell>
        </row>
      </sheetData>
      <sheetData sheetId="9101">
        <row r="7">
          <cell r="AI7">
            <v>10000</v>
          </cell>
        </row>
      </sheetData>
      <sheetData sheetId="9102">
        <row r="7">
          <cell r="AI7">
            <v>10000</v>
          </cell>
        </row>
      </sheetData>
      <sheetData sheetId="9103">
        <row r="7">
          <cell r="AI7">
            <v>10000</v>
          </cell>
        </row>
      </sheetData>
      <sheetData sheetId="9104">
        <row r="7">
          <cell r="AI7">
            <v>10000</v>
          </cell>
        </row>
      </sheetData>
      <sheetData sheetId="9105">
        <row r="7">
          <cell r="AI7">
            <v>10000</v>
          </cell>
        </row>
      </sheetData>
      <sheetData sheetId="9106">
        <row r="7">
          <cell r="AI7">
            <v>10000</v>
          </cell>
        </row>
      </sheetData>
      <sheetData sheetId="9107">
        <row r="7">
          <cell r="AI7">
            <v>10000</v>
          </cell>
        </row>
      </sheetData>
      <sheetData sheetId="9108">
        <row r="7">
          <cell r="AI7">
            <v>10000</v>
          </cell>
        </row>
      </sheetData>
      <sheetData sheetId="9109">
        <row r="7">
          <cell r="AI7">
            <v>10000</v>
          </cell>
        </row>
      </sheetData>
      <sheetData sheetId="9110">
        <row r="7">
          <cell r="AI7">
            <v>10000</v>
          </cell>
        </row>
      </sheetData>
      <sheetData sheetId="9111">
        <row r="7">
          <cell r="AI7">
            <v>10000</v>
          </cell>
        </row>
      </sheetData>
      <sheetData sheetId="9112">
        <row r="7">
          <cell r="AI7">
            <v>10000</v>
          </cell>
        </row>
      </sheetData>
      <sheetData sheetId="9113">
        <row r="7">
          <cell r="AI7">
            <v>10000</v>
          </cell>
        </row>
      </sheetData>
      <sheetData sheetId="9114">
        <row r="7">
          <cell r="AI7">
            <v>10000</v>
          </cell>
        </row>
      </sheetData>
      <sheetData sheetId="9115">
        <row r="7">
          <cell r="AI7">
            <v>10000</v>
          </cell>
        </row>
      </sheetData>
      <sheetData sheetId="9116">
        <row r="7">
          <cell r="AI7">
            <v>10000</v>
          </cell>
        </row>
      </sheetData>
      <sheetData sheetId="9117">
        <row r="7">
          <cell r="AI7">
            <v>10000</v>
          </cell>
        </row>
      </sheetData>
      <sheetData sheetId="9118">
        <row r="7">
          <cell r="AI7">
            <v>10000</v>
          </cell>
        </row>
      </sheetData>
      <sheetData sheetId="9119">
        <row r="7">
          <cell r="AI7">
            <v>10000</v>
          </cell>
        </row>
      </sheetData>
      <sheetData sheetId="9120">
        <row r="7">
          <cell r="AI7">
            <v>10000</v>
          </cell>
        </row>
      </sheetData>
      <sheetData sheetId="9121">
        <row r="7">
          <cell r="AI7">
            <v>10000</v>
          </cell>
        </row>
      </sheetData>
      <sheetData sheetId="9122">
        <row r="7">
          <cell r="AI7">
            <v>10000</v>
          </cell>
        </row>
      </sheetData>
      <sheetData sheetId="9123">
        <row r="7">
          <cell r="AI7">
            <v>10000</v>
          </cell>
        </row>
      </sheetData>
      <sheetData sheetId="9124">
        <row r="7">
          <cell r="AI7">
            <v>10000</v>
          </cell>
        </row>
      </sheetData>
      <sheetData sheetId="9125">
        <row r="7">
          <cell r="AI7">
            <v>10000</v>
          </cell>
        </row>
      </sheetData>
      <sheetData sheetId="9126">
        <row r="7">
          <cell r="AI7">
            <v>10000</v>
          </cell>
        </row>
      </sheetData>
      <sheetData sheetId="9127">
        <row r="7">
          <cell r="AI7">
            <v>10000</v>
          </cell>
        </row>
      </sheetData>
      <sheetData sheetId="9128">
        <row r="7">
          <cell r="AI7">
            <v>10000</v>
          </cell>
        </row>
      </sheetData>
      <sheetData sheetId="9129">
        <row r="7">
          <cell r="AI7">
            <v>10000</v>
          </cell>
        </row>
      </sheetData>
      <sheetData sheetId="9130">
        <row r="7">
          <cell r="AI7">
            <v>10000</v>
          </cell>
        </row>
      </sheetData>
      <sheetData sheetId="9131">
        <row r="7">
          <cell r="AI7">
            <v>10000</v>
          </cell>
        </row>
      </sheetData>
      <sheetData sheetId="9132">
        <row r="7">
          <cell r="AI7">
            <v>10000</v>
          </cell>
        </row>
      </sheetData>
      <sheetData sheetId="9133">
        <row r="7">
          <cell r="AI7">
            <v>10000</v>
          </cell>
        </row>
      </sheetData>
      <sheetData sheetId="9134">
        <row r="7">
          <cell r="AI7">
            <v>10000</v>
          </cell>
        </row>
      </sheetData>
      <sheetData sheetId="9135">
        <row r="7">
          <cell r="AI7">
            <v>10000</v>
          </cell>
        </row>
      </sheetData>
      <sheetData sheetId="9136">
        <row r="7">
          <cell r="AI7">
            <v>10000</v>
          </cell>
        </row>
      </sheetData>
      <sheetData sheetId="9137">
        <row r="7">
          <cell r="AI7">
            <v>10000</v>
          </cell>
        </row>
      </sheetData>
      <sheetData sheetId="9138">
        <row r="7">
          <cell r="AI7">
            <v>10000</v>
          </cell>
        </row>
      </sheetData>
      <sheetData sheetId="9139">
        <row r="7">
          <cell r="AI7">
            <v>10000</v>
          </cell>
        </row>
      </sheetData>
      <sheetData sheetId="9140">
        <row r="7">
          <cell r="AI7">
            <v>10000</v>
          </cell>
        </row>
      </sheetData>
      <sheetData sheetId="9141">
        <row r="7">
          <cell r="AI7">
            <v>10000</v>
          </cell>
        </row>
      </sheetData>
      <sheetData sheetId="9142">
        <row r="7">
          <cell r="AI7">
            <v>10000</v>
          </cell>
        </row>
      </sheetData>
      <sheetData sheetId="9143">
        <row r="7">
          <cell r="AI7">
            <v>10000</v>
          </cell>
        </row>
      </sheetData>
      <sheetData sheetId="9144">
        <row r="7">
          <cell r="AI7">
            <v>10000</v>
          </cell>
        </row>
      </sheetData>
      <sheetData sheetId="9145">
        <row r="7">
          <cell r="AI7">
            <v>10000</v>
          </cell>
        </row>
      </sheetData>
      <sheetData sheetId="9146">
        <row r="7">
          <cell r="AI7">
            <v>10000</v>
          </cell>
        </row>
      </sheetData>
      <sheetData sheetId="9147">
        <row r="7">
          <cell r="AI7">
            <v>10000</v>
          </cell>
        </row>
      </sheetData>
      <sheetData sheetId="9148">
        <row r="7">
          <cell r="AI7">
            <v>10000</v>
          </cell>
        </row>
      </sheetData>
      <sheetData sheetId="9149">
        <row r="7">
          <cell r="AI7">
            <v>10000</v>
          </cell>
        </row>
      </sheetData>
      <sheetData sheetId="9150">
        <row r="7">
          <cell r="AI7">
            <v>10000</v>
          </cell>
        </row>
      </sheetData>
      <sheetData sheetId="9151">
        <row r="7">
          <cell r="AI7">
            <v>10000</v>
          </cell>
        </row>
      </sheetData>
      <sheetData sheetId="9152">
        <row r="7">
          <cell r="AI7">
            <v>10000</v>
          </cell>
        </row>
      </sheetData>
      <sheetData sheetId="9153">
        <row r="7">
          <cell r="AI7">
            <v>10000</v>
          </cell>
        </row>
      </sheetData>
      <sheetData sheetId="9154">
        <row r="7">
          <cell r="AI7">
            <v>10000</v>
          </cell>
        </row>
      </sheetData>
      <sheetData sheetId="9155">
        <row r="7">
          <cell r="AI7">
            <v>10000</v>
          </cell>
        </row>
      </sheetData>
      <sheetData sheetId="9156">
        <row r="7">
          <cell r="AI7">
            <v>10000</v>
          </cell>
        </row>
      </sheetData>
      <sheetData sheetId="9157">
        <row r="7">
          <cell r="AI7">
            <v>10000</v>
          </cell>
        </row>
      </sheetData>
      <sheetData sheetId="9158">
        <row r="7">
          <cell r="AI7">
            <v>10000</v>
          </cell>
        </row>
      </sheetData>
      <sheetData sheetId="9159">
        <row r="7">
          <cell r="AI7">
            <v>10000</v>
          </cell>
        </row>
      </sheetData>
      <sheetData sheetId="9160">
        <row r="7">
          <cell r="AI7">
            <v>10000</v>
          </cell>
        </row>
      </sheetData>
      <sheetData sheetId="9161">
        <row r="7">
          <cell r="AI7">
            <v>10000</v>
          </cell>
        </row>
      </sheetData>
      <sheetData sheetId="9162">
        <row r="7">
          <cell r="AI7">
            <v>10000</v>
          </cell>
        </row>
      </sheetData>
      <sheetData sheetId="9163">
        <row r="7">
          <cell r="AI7">
            <v>10000</v>
          </cell>
        </row>
      </sheetData>
      <sheetData sheetId="9164">
        <row r="7">
          <cell r="AI7">
            <v>10000</v>
          </cell>
        </row>
      </sheetData>
      <sheetData sheetId="9165">
        <row r="7">
          <cell r="AI7">
            <v>10000</v>
          </cell>
        </row>
      </sheetData>
      <sheetData sheetId="9166">
        <row r="7">
          <cell r="AI7">
            <v>10000</v>
          </cell>
        </row>
      </sheetData>
      <sheetData sheetId="9167">
        <row r="7">
          <cell r="AI7">
            <v>10000</v>
          </cell>
        </row>
      </sheetData>
      <sheetData sheetId="9168">
        <row r="7">
          <cell r="AI7">
            <v>10000</v>
          </cell>
        </row>
      </sheetData>
      <sheetData sheetId="9169">
        <row r="7">
          <cell r="AI7">
            <v>10000</v>
          </cell>
        </row>
      </sheetData>
      <sheetData sheetId="9170">
        <row r="7">
          <cell r="AI7">
            <v>10000</v>
          </cell>
        </row>
      </sheetData>
      <sheetData sheetId="9171">
        <row r="7">
          <cell r="AI7">
            <v>10000</v>
          </cell>
        </row>
      </sheetData>
      <sheetData sheetId="9172">
        <row r="7">
          <cell r="AI7">
            <v>10000</v>
          </cell>
        </row>
      </sheetData>
      <sheetData sheetId="9173">
        <row r="7">
          <cell r="AI7">
            <v>10000</v>
          </cell>
        </row>
      </sheetData>
      <sheetData sheetId="9174">
        <row r="7">
          <cell r="AI7">
            <v>10000</v>
          </cell>
        </row>
      </sheetData>
      <sheetData sheetId="9175">
        <row r="7">
          <cell r="AI7">
            <v>10000</v>
          </cell>
        </row>
      </sheetData>
      <sheetData sheetId="9176">
        <row r="7">
          <cell r="AI7">
            <v>10000</v>
          </cell>
        </row>
      </sheetData>
      <sheetData sheetId="9177">
        <row r="7">
          <cell r="AI7">
            <v>10000</v>
          </cell>
        </row>
      </sheetData>
      <sheetData sheetId="9178">
        <row r="7">
          <cell r="AI7">
            <v>10000</v>
          </cell>
        </row>
      </sheetData>
      <sheetData sheetId="9179">
        <row r="7">
          <cell r="AI7">
            <v>10000</v>
          </cell>
        </row>
      </sheetData>
      <sheetData sheetId="9180">
        <row r="7">
          <cell r="AI7">
            <v>10000</v>
          </cell>
        </row>
      </sheetData>
      <sheetData sheetId="9181">
        <row r="7">
          <cell r="AI7">
            <v>10000</v>
          </cell>
        </row>
      </sheetData>
      <sheetData sheetId="9182">
        <row r="7">
          <cell r="AI7">
            <v>10000</v>
          </cell>
        </row>
      </sheetData>
      <sheetData sheetId="9183">
        <row r="7">
          <cell r="AI7">
            <v>10000</v>
          </cell>
        </row>
      </sheetData>
      <sheetData sheetId="9184">
        <row r="7">
          <cell r="AI7">
            <v>10000</v>
          </cell>
        </row>
      </sheetData>
      <sheetData sheetId="9185">
        <row r="7">
          <cell r="AI7">
            <v>10000</v>
          </cell>
        </row>
      </sheetData>
      <sheetData sheetId="9186">
        <row r="7">
          <cell r="AI7">
            <v>10000</v>
          </cell>
        </row>
      </sheetData>
      <sheetData sheetId="9187">
        <row r="7">
          <cell r="AI7">
            <v>10000</v>
          </cell>
        </row>
      </sheetData>
      <sheetData sheetId="9188">
        <row r="7">
          <cell r="AI7">
            <v>10000</v>
          </cell>
        </row>
      </sheetData>
      <sheetData sheetId="9189">
        <row r="7">
          <cell r="AI7">
            <v>10000</v>
          </cell>
        </row>
      </sheetData>
      <sheetData sheetId="9190">
        <row r="7">
          <cell r="AI7">
            <v>10000</v>
          </cell>
        </row>
      </sheetData>
      <sheetData sheetId="9191">
        <row r="7">
          <cell r="AI7">
            <v>10000</v>
          </cell>
        </row>
      </sheetData>
      <sheetData sheetId="9192">
        <row r="7">
          <cell r="AI7">
            <v>10000</v>
          </cell>
        </row>
      </sheetData>
      <sheetData sheetId="9193">
        <row r="7">
          <cell r="AI7">
            <v>10000</v>
          </cell>
        </row>
      </sheetData>
      <sheetData sheetId="9194">
        <row r="7">
          <cell r="AI7">
            <v>10000</v>
          </cell>
        </row>
      </sheetData>
      <sheetData sheetId="9195">
        <row r="7">
          <cell r="AI7">
            <v>10000</v>
          </cell>
        </row>
      </sheetData>
      <sheetData sheetId="9196">
        <row r="7">
          <cell r="AI7">
            <v>10000</v>
          </cell>
        </row>
      </sheetData>
      <sheetData sheetId="9197">
        <row r="7">
          <cell r="AI7">
            <v>10000</v>
          </cell>
        </row>
      </sheetData>
      <sheetData sheetId="9198">
        <row r="7">
          <cell r="AI7">
            <v>10000</v>
          </cell>
        </row>
      </sheetData>
      <sheetData sheetId="9199">
        <row r="7">
          <cell r="AI7">
            <v>10000</v>
          </cell>
        </row>
      </sheetData>
      <sheetData sheetId="9200">
        <row r="7">
          <cell r="AI7">
            <v>10000</v>
          </cell>
        </row>
      </sheetData>
      <sheetData sheetId="9201">
        <row r="7">
          <cell r="AI7">
            <v>10000</v>
          </cell>
        </row>
      </sheetData>
      <sheetData sheetId="9202">
        <row r="7">
          <cell r="AI7">
            <v>10000</v>
          </cell>
        </row>
      </sheetData>
      <sheetData sheetId="9203">
        <row r="7">
          <cell r="AI7">
            <v>10000</v>
          </cell>
        </row>
      </sheetData>
      <sheetData sheetId="9204">
        <row r="7">
          <cell r="AI7">
            <v>10000</v>
          </cell>
        </row>
      </sheetData>
      <sheetData sheetId="9205">
        <row r="7">
          <cell r="AI7">
            <v>10000</v>
          </cell>
        </row>
      </sheetData>
      <sheetData sheetId="9206">
        <row r="7">
          <cell r="AI7">
            <v>10000</v>
          </cell>
        </row>
      </sheetData>
      <sheetData sheetId="9207">
        <row r="7">
          <cell r="AI7">
            <v>10000</v>
          </cell>
        </row>
      </sheetData>
      <sheetData sheetId="9208">
        <row r="7">
          <cell r="AI7">
            <v>10000</v>
          </cell>
        </row>
      </sheetData>
      <sheetData sheetId="9209">
        <row r="7">
          <cell r="AI7">
            <v>10000</v>
          </cell>
        </row>
      </sheetData>
      <sheetData sheetId="9210">
        <row r="7">
          <cell r="AI7">
            <v>10000</v>
          </cell>
        </row>
      </sheetData>
      <sheetData sheetId="9211">
        <row r="7">
          <cell r="AI7">
            <v>10000</v>
          </cell>
        </row>
      </sheetData>
      <sheetData sheetId="9212">
        <row r="7">
          <cell r="AI7">
            <v>10000</v>
          </cell>
        </row>
      </sheetData>
      <sheetData sheetId="9213">
        <row r="7">
          <cell r="AI7">
            <v>10000</v>
          </cell>
        </row>
      </sheetData>
      <sheetData sheetId="9214">
        <row r="7">
          <cell r="AI7">
            <v>10000</v>
          </cell>
        </row>
      </sheetData>
      <sheetData sheetId="9215">
        <row r="7">
          <cell r="AI7">
            <v>10000</v>
          </cell>
        </row>
      </sheetData>
      <sheetData sheetId="9216">
        <row r="7">
          <cell r="AI7">
            <v>10000</v>
          </cell>
        </row>
      </sheetData>
      <sheetData sheetId="9217">
        <row r="7">
          <cell r="AI7">
            <v>10000</v>
          </cell>
        </row>
      </sheetData>
      <sheetData sheetId="9218">
        <row r="7">
          <cell r="AI7">
            <v>10000</v>
          </cell>
        </row>
      </sheetData>
      <sheetData sheetId="9219">
        <row r="7">
          <cell r="AI7">
            <v>10000</v>
          </cell>
        </row>
      </sheetData>
      <sheetData sheetId="9220">
        <row r="7">
          <cell r="AI7">
            <v>10000</v>
          </cell>
        </row>
      </sheetData>
      <sheetData sheetId="9221">
        <row r="7">
          <cell r="AI7">
            <v>10000</v>
          </cell>
        </row>
      </sheetData>
      <sheetData sheetId="9222">
        <row r="7">
          <cell r="AI7">
            <v>10000</v>
          </cell>
        </row>
      </sheetData>
      <sheetData sheetId="9223">
        <row r="7">
          <cell r="AI7">
            <v>10000</v>
          </cell>
        </row>
      </sheetData>
      <sheetData sheetId="9224">
        <row r="7">
          <cell r="AI7">
            <v>10000</v>
          </cell>
        </row>
      </sheetData>
      <sheetData sheetId="9225">
        <row r="7">
          <cell r="AI7">
            <v>10000</v>
          </cell>
        </row>
      </sheetData>
      <sheetData sheetId="9226">
        <row r="7">
          <cell r="AI7">
            <v>10000</v>
          </cell>
        </row>
      </sheetData>
      <sheetData sheetId="9227">
        <row r="7">
          <cell r="AI7">
            <v>10000</v>
          </cell>
        </row>
      </sheetData>
      <sheetData sheetId="9228">
        <row r="7">
          <cell r="AI7">
            <v>10000</v>
          </cell>
        </row>
      </sheetData>
      <sheetData sheetId="9229">
        <row r="7">
          <cell r="AI7">
            <v>10000</v>
          </cell>
        </row>
      </sheetData>
      <sheetData sheetId="9230">
        <row r="7">
          <cell r="AI7">
            <v>10000</v>
          </cell>
        </row>
      </sheetData>
      <sheetData sheetId="9231">
        <row r="7">
          <cell r="AI7">
            <v>10000</v>
          </cell>
        </row>
      </sheetData>
      <sheetData sheetId="9232">
        <row r="7">
          <cell r="AI7">
            <v>10000</v>
          </cell>
        </row>
      </sheetData>
      <sheetData sheetId="9233">
        <row r="7">
          <cell r="AI7">
            <v>10000</v>
          </cell>
        </row>
      </sheetData>
      <sheetData sheetId="9234">
        <row r="7">
          <cell r="AI7">
            <v>10000</v>
          </cell>
        </row>
      </sheetData>
      <sheetData sheetId="9235">
        <row r="7">
          <cell r="AI7">
            <v>10000</v>
          </cell>
        </row>
      </sheetData>
      <sheetData sheetId="9236">
        <row r="7">
          <cell r="AI7">
            <v>10000</v>
          </cell>
        </row>
      </sheetData>
      <sheetData sheetId="9237">
        <row r="7">
          <cell r="AI7">
            <v>10000</v>
          </cell>
        </row>
      </sheetData>
      <sheetData sheetId="9238">
        <row r="7">
          <cell r="AI7">
            <v>10000</v>
          </cell>
        </row>
      </sheetData>
      <sheetData sheetId="9239">
        <row r="7">
          <cell r="AI7">
            <v>10000</v>
          </cell>
        </row>
      </sheetData>
      <sheetData sheetId="9240">
        <row r="7">
          <cell r="AI7">
            <v>10000</v>
          </cell>
        </row>
      </sheetData>
      <sheetData sheetId="9241">
        <row r="7">
          <cell r="AI7">
            <v>10000</v>
          </cell>
        </row>
      </sheetData>
      <sheetData sheetId="9242">
        <row r="7">
          <cell r="AI7">
            <v>10000</v>
          </cell>
        </row>
      </sheetData>
      <sheetData sheetId="9243">
        <row r="7">
          <cell r="AI7">
            <v>10000</v>
          </cell>
        </row>
      </sheetData>
      <sheetData sheetId="9244">
        <row r="7">
          <cell r="AI7">
            <v>10000</v>
          </cell>
        </row>
      </sheetData>
      <sheetData sheetId="9245">
        <row r="7">
          <cell r="AI7">
            <v>10000</v>
          </cell>
        </row>
      </sheetData>
      <sheetData sheetId="9246">
        <row r="7">
          <cell r="AI7">
            <v>10000</v>
          </cell>
        </row>
      </sheetData>
      <sheetData sheetId="9247">
        <row r="7">
          <cell r="AI7">
            <v>10000</v>
          </cell>
        </row>
      </sheetData>
      <sheetData sheetId="9248">
        <row r="7">
          <cell r="AI7">
            <v>10000</v>
          </cell>
        </row>
      </sheetData>
      <sheetData sheetId="9249">
        <row r="7">
          <cell r="AI7">
            <v>10000</v>
          </cell>
        </row>
      </sheetData>
      <sheetData sheetId="9250">
        <row r="7">
          <cell r="AI7">
            <v>10000</v>
          </cell>
        </row>
      </sheetData>
      <sheetData sheetId="9251">
        <row r="7">
          <cell r="AI7">
            <v>10000</v>
          </cell>
        </row>
      </sheetData>
      <sheetData sheetId="9252">
        <row r="7">
          <cell r="AI7">
            <v>10000</v>
          </cell>
        </row>
      </sheetData>
      <sheetData sheetId="9253">
        <row r="7">
          <cell r="AI7">
            <v>10000</v>
          </cell>
        </row>
      </sheetData>
      <sheetData sheetId="9254">
        <row r="7">
          <cell r="AI7">
            <v>10000</v>
          </cell>
        </row>
      </sheetData>
      <sheetData sheetId="9255">
        <row r="7">
          <cell r="AI7">
            <v>10000</v>
          </cell>
        </row>
      </sheetData>
      <sheetData sheetId="9256">
        <row r="7">
          <cell r="AI7">
            <v>10000</v>
          </cell>
        </row>
      </sheetData>
      <sheetData sheetId="9257">
        <row r="7">
          <cell r="AI7">
            <v>10000</v>
          </cell>
        </row>
      </sheetData>
      <sheetData sheetId="9258">
        <row r="7">
          <cell r="AI7">
            <v>10000</v>
          </cell>
        </row>
      </sheetData>
      <sheetData sheetId="9259">
        <row r="7">
          <cell r="AI7">
            <v>10000</v>
          </cell>
        </row>
      </sheetData>
      <sheetData sheetId="9260">
        <row r="7">
          <cell r="AI7">
            <v>10000</v>
          </cell>
        </row>
      </sheetData>
      <sheetData sheetId="9261">
        <row r="7">
          <cell r="AI7">
            <v>10000</v>
          </cell>
        </row>
      </sheetData>
      <sheetData sheetId="9262">
        <row r="7">
          <cell r="AI7">
            <v>10000</v>
          </cell>
        </row>
      </sheetData>
      <sheetData sheetId="9263">
        <row r="7">
          <cell r="AI7">
            <v>10000</v>
          </cell>
        </row>
      </sheetData>
      <sheetData sheetId="9264">
        <row r="7">
          <cell r="AI7">
            <v>10000</v>
          </cell>
        </row>
      </sheetData>
      <sheetData sheetId="9265">
        <row r="7">
          <cell r="AI7">
            <v>10000</v>
          </cell>
        </row>
      </sheetData>
      <sheetData sheetId="9266">
        <row r="7">
          <cell r="AI7">
            <v>10000</v>
          </cell>
        </row>
      </sheetData>
      <sheetData sheetId="9267">
        <row r="7">
          <cell r="AI7">
            <v>10000</v>
          </cell>
        </row>
      </sheetData>
      <sheetData sheetId="9268">
        <row r="7">
          <cell r="AI7">
            <v>10000</v>
          </cell>
        </row>
      </sheetData>
      <sheetData sheetId="9269">
        <row r="7">
          <cell r="AI7">
            <v>10000</v>
          </cell>
        </row>
      </sheetData>
      <sheetData sheetId="9270">
        <row r="7">
          <cell r="AI7">
            <v>10000</v>
          </cell>
        </row>
      </sheetData>
      <sheetData sheetId="9271">
        <row r="7">
          <cell r="AI7">
            <v>10000</v>
          </cell>
        </row>
      </sheetData>
      <sheetData sheetId="9272">
        <row r="7">
          <cell r="AI7">
            <v>10000</v>
          </cell>
        </row>
      </sheetData>
      <sheetData sheetId="9273">
        <row r="7">
          <cell r="AI7">
            <v>10000</v>
          </cell>
        </row>
      </sheetData>
      <sheetData sheetId="9274">
        <row r="7">
          <cell r="AI7">
            <v>10000</v>
          </cell>
        </row>
      </sheetData>
      <sheetData sheetId="9275">
        <row r="7">
          <cell r="AI7">
            <v>10000</v>
          </cell>
        </row>
      </sheetData>
      <sheetData sheetId="9276">
        <row r="7">
          <cell r="AI7">
            <v>10000</v>
          </cell>
        </row>
      </sheetData>
      <sheetData sheetId="9277">
        <row r="7">
          <cell r="AI7">
            <v>10000</v>
          </cell>
        </row>
      </sheetData>
      <sheetData sheetId="9278">
        <row r="7">
          <cell r="AI7">
            <v>10000</v>
          </cell>
        </row>
      </sheetData>
      <sheetData sheetId="9279">
        <row r="7">
          <cell r="AI7">
            <v>10000</v>
          </cell>
        </row>
      </sheetData>
      <sheetData sheetId="9280">
        <row r="7">
          <cell r="AI7">
            <v>10000</v>
          </cell>
        </row>
      </sheetData>
      <sheetData sheetId="9281">
        <row r="7">
          <cell r="AI7">
            <v>10000</v>
          </cell>
        </row>
      </sheetData>
      <sheetData sheetId="9282">
        <row r="7">
          <cell r="AI7">
            <v>10000</v>
          </cell>
        </row>
      </sheetData>
      <sheetData sheetId="9283">
        <row r="7">
          <cell r="AI7">
            <v>10000</v>
          </cell>
        </row>
      </sheetData>
      <sheetData sheetId="9284">
        <row r="7">
          <cell r="AI7">
            <v>10000</v>
          </cell>
        </row>
      </sheetData>
      <sheetData sheetId="9285">
        <row r="7">
          <cell r="AI7">
            <v>10000</v>
          </cell>
        </row>
      </sheetData>
      <sheetData sheetId="9286">
        <row r="7">
          <cell r="AI7">
            <v>10000</v>
          </cell>
        </row>
      </sheetData>
      <sheetData sheetId="9287">
        <row r="7">
          <cell r="AI7">
            <v>10000</v>
          </cell>
        </row>
      </sheetData>
      <sheetData sheetId="9288">
        <row r="7">
          <cell r="AI7">
            <v>10000</v>
          </cell>
        </row>
      </sheetData>
      <sheetData sheetId="9289">
        <row r="7">
          <cell r="AI7">
            <v>10000</v>
          </cell>
        </row>
      </sheetData>
      <sheetData sheetId="9290">
        <row r="7">
          <cell r="AI7">
            <v>10000</v>
          </cell>
        </row>
      </sheetData>
      <sheetData sheetId="9291">
        <row r="7">
          <cell r="AI7">
            <v>10000</v>
          </cell>
        </row>
      </sheetData>
      <sheetData sheetId="9292">
        <row r="7">
          <cell r="AI7">
            <v>10000</v>
          </cell>
        </row>
      </sheetData>
      <sheetData sheetId="9293">
        <row r="7">
          <cell r="AI7">
            <v>10000</v>
          </cell>
        </row>
      </sheetData>
      <sheetData sheetId="9294">
        <row r="7">
          <cell r="AI7">
            <v>10000</v>
          </cell>
        </row>
      </sheetData>
      <sheetData sheetId="9295">
        <row r="7">
          <cell r="AI7">
            <v>10000</v>
          </cell>
        </row>
      </sheetData>
      <sheetData sheetId="9296">
        <row r="7">
          <cell r="AI7">
            <v>10000</v>
          </cell>
        </row>
      </sheetData>
      <sheetData sheetId="9297">
        <row r="7">
          <cell r="AI7">
            <v>10000</v>
          </cell>
        </row>
      </sheetData>
      <sheetData sheetId="9298">
        <row r="7">
          <cell r="AI7">
            <v>10000</v>
          </cell>
        </row>
      </sheetData>
      <sheetData sheetId="9299">
        <row r="7">
          <cell r="AI7">
            <v>10000</v>
          </cell>
        </row>
      </sheetData>
      <sheetData sheetId="9300">
        <row r="7">
          <cell r="AI7">
            <v>10000</v>
          </cell>
        </row>
      </sheetData>
      <sheetData sheetId="9301">
        <row r="7">
          <cell r="AI7">
            <v>10000</v>
          </cell>
        </row>
      </sheetData>
      <sheetData sheetId="9302">
        <row r="7">
          <cell r="AI7">
            <v>10000</v>
          </cell>
        </row>
      </sheetData>
      <sheetData sheetId="9303">
        <row r="7">
          <cell r="AI7">
            <v>10000</v>
          </cell>
        </row>
      </sheetData>
      <sheetData sheetId="9304">
        <row r="7">
          <cell r="AI7">
            <v>10000</v>
          </cell>
        </row>
      </sheetData>
      <sheetData sheetId="9305">
        <row r="7">
          <cell r="AI7">
            <v>10000</v>
          </cell>
        </row>
      </sheetData>
      <sheetData sheetId="9306">
        <row r="7">
          <cell r="AI7">
            <v>10000</v>
          </cell>
        </row>
      </sheetData>
      <sheetData sheetId="9307">
        <row r="7">
          <cell r="AI7">
            <v>10000</v>
          </cell>
        </row>
      </sheetData>
      <sheetData sheetId="9308">
        <row r="7">
          <cell r="AI7">
            <v>10000</v>
          </cell>
        </row>
      </sheetData>
      <sheetData sheetId="9309">
        <row r="7">
          <cell r="AI7">
            <v>10000</v>
          </cell>
        </row>
      </sheetData>
      <sheetData sheetId="9310">
        <row r="7">
          <cell r="AI7">
            <v>10000</v>
          </cell>
        </row>
      </sheetData>
      <sheetData sheetId="9311">
        <row r="7">
          <cell r="AI7">
            <v>10000</v>
          </cell>
        </row>
      </sheetData>
      <sheetData sheetId="9312">
        <row r="7">
          <cell r="AI7">
            <v>10000</v>
          </cell>
        </row>
      </sheetData>
      <sheetData sheetId="9313">
        <row r="7">
          <cell r="AI7">
            <v>10000</v>
          </cell>
        </row>
      </sheetData>
      <sheetData sheetId="9314">
        <row r="7">
          <cell r="AI7">
            <v>10000</v>
          </cell>
        </row>
      </sheetData>
      <sheetData sheetId="9315">
        <row r="7">
          <cell r="AI7">
            <v>10000</v>
          </cell>
        </row>
      </sheetData>
      <sheetData sheetId="9316">
        <row r="7">
          <cell r="AI7">
            <v>10000</v>
          </cell>
        </row>
      </sheetData>
      <sheetData sheetId="9317">
        <row r="7">
          <cell r="AI7">
            <v>10000</v>
          </cell>
        </row>
      </sheetData>
      <sheetData sheetId="9318">
        <row r="7">
          <cell r="AI7">
            <v>10000</v>
          </cell>
        </row>
      </sheetData>
      <sheetData sheetId="9319">
        <row r="7">
          <cell r="AI7">
            <v>10000</v>
          </cell>
        </row>
      </sheetData>
      <sheetData sheetId="9320">
        <row r="7">
          <cell r="AI7">
            <v>10000</v>
          </cell>
        </row>
      </sheetData>
      <sheetData sheetId="9321">
        <row r="7">
          <cell r="AI7">
            <v>10000</v>
          </cell>
        </row>
      </sheetData>
      <sheetData sheetId="9322">
        <row r="7">
          <cell r="AI7">
            <v>10000</v>
          </cell>
        </row>
      </sheetData>
      <sheetData sheetId="9323">
        <row r="7">
          <cell r="AI7">
            <v>10000</v>
          </cell>
        </row>
      </sheetData>
      <sheetData sheetId="9324">
        <row r="7">
          <cell r="AI7">
            <v>10000</v>
          </cell>
        </row>
      </sheetData>
      <sheetData sheetId="9325">
        <row r="7">
          <cell r="AI7">
            <v>10000</v>
          </cell>
        </row>
      </sheetData>
      <sheetData sheetId="9326">
        <row r="7">
          <cell r="AI7">
            <v>10000</v>
          </cell>
        </row>
      </sheetData>
      <sheetData sheetId="9327">
        <row r="7">
          <cell r="AI7">
            <v>10000</v>
          </cell>
        </row>
      </sheetData>
      <sheetData sheetId="9328">
        <row r="7">
          <cell r="AI7">
            <v>10000</v>
          </cell>
        </row>
      </sheetData>
      <sheetData sheetId="9329">
        <row r="7">
          <cell r="AI7">
            <v>10000</v>
          </cell>
        </row>
      </sheetData>
      <sheetData sheetId="9330">
        <row r="7">
          <cell r="AI7">
            <v>10000</v>
          </cell>
        </row>
      </sheetData>
      <sheetData sheetId="9331">
        <row r="7">
          <cell r="AI7">
            <v>10000</v>
          </cell>
        </row>
      </sheetData>
      <sheetData sheetId="9332">
        <row r="7">
          <cell r="AI7">
            <v>10000</v>
          </cell>
        </row>
      </sheetData>
      <sheetData sheetId="9333">
        <row r="7">
          <cell r="AI7">
            <v>10000</v>
          </cell>
        </row>
      </sheetData>
      <sheetData sheetId="9334">
        <row r="7">
          <cell r="AI7">
            <v>10000</v>
          </cell>
        </row>
      </sheetData>
      <sheetData sheetId="9335">
        <row r="7">
          <cell r="AI7">
            <v>10000</v>
          </cell>
        </row>
      </sheetData>
      <sheetData sheetId="9336">
        <row r="7">
          <cell r="AI7">
            <v>10000</v>
          </cell>
        </row>
      </sheetData>
      <sheetData sheetId="9337">
        <row r="7">
          <cell r="AI7">
            <v>10000</v>
          </cell>
        </row>
      </sheetData>
      <sheetData sheetId="9338">
        <row r="7">
          <cell r="AI7">
            <v>10000</v>
          </cell>
        </row>
      </sheetData>
      <sheetData sheetId="9339">
        <row r="7">
          <cell r="AI7">
            <v>10000</v>
          </cell>
        </row>
      </sheetData>
      <sheetData sheetId="9340">
        <row r="7">
          <cell r="AI7">
            <v>10000</v>
          </cell>
        </row>
      </sheetData>
      <sheetData sheetId="9341">
        <row r="7">
          <cell r="AI7">
            <v>10000</v>
          </cell>
        </row>
      </sheetData>
      <sheetData sheetId="9342">
        <row r="7">
          <cell r="AI7">
            <v>10000</v>
          </cell>
        </row>
      </sheetData>
      <sheetData sheetId="9343">
        <row r="7">
          <cell r="AI7">
            <v>10000</v>
          </cell>
        </row>
      </sheetData>
      <sheetData sheetId="9344">
        <row r="7">
          <cell r="AI7">
            <v>10000</v>
          </cell>
        </row>
      </sheetData>
      <sheetData sheetId="9345">
        <row r="7">
          <cell r="AI7">
            <v>10000</v>
          </cell>
        </row>
      </sheetData>
      <sheetData sheetId="9346">
        <row r="7">
          <cell r="AI7">
            <v>10000</v>
          </cell>
        </row>
      </sheetData>
      <sheetData sheetId="9347">
        <row r="7">
          <cell r="AI7">
            <v>10000</v>
          </cell>
        </row>
      </sheetData>
      <sheetData sheetId="9348">
        <row r="7">
          <cell r="AI7">
            <v>10000</v>
          </cell>
        </row>
      </sheetData>
      <sheetData sheetId="9349">
        <row r="7">
          <cell r="AI7">
            <v>10000</v>
          </cell>
        </row>
      </sheetData>
      <sheetData sheetId="9350">
        <row r="7">
          <cell r="AI7">
            <v>10000</v>
          </cell>
        </row>
      </sheetData>
      <sheetData sheetId="9351">
        <row r="7">
          <cell r="AI7">
            <v>10000</v>
          </cell>
        </row>
      </sheetData>
      <sheetData sheetId="9352">
        <row r="7">
          <cell r="AI7">
            <v>10000</v>
          </cell>
        </row>
      </sheetData>
      <sheetData sheetId="9353">
        <row r="7">
          <cell r="AI7">
            <v>10000</v>
          </cell>
        </row>
      </sheetData>
      <sheetData sheetId="9354">
        <row r="7">
          <cell r="AI7">
            <v>10000</v>
          </cell>
        </row>
      </sheetData>
      <sheetData sheetId="9355">
        <row r="7">
          <cell r="AI7">
            <v>10000</v>
          </cell>
        </row>
      </sheetData>
      <sheetData sheetId="9356">
        <row r="7">
          <cell r="AI7">
            <v>10000</v>
          </cell>
        </row>
      </sheetData>
      <sheetData sheetId="9357">
        <row r="7">
          <cell r="AI7">
            <v>10000</v>
          </cell>
        </row>
      </sheetData>
      <sheetData sheetId="9358">
        <row r="7">
          <cell r="AI7">
            <v>10000</v>
          </cell>
        </row>
      </sheetData>
      <sheetData sheetId="9359">
        <row r="7">
          <cell r="AI7">
            <v>10000</v>
          </cell>
        </row>
      </sheetData>
      <sheetData sheetId="9360">
        <row r="7">
          <cell r="AI7">
            <v>10000</v>
          </cell>
        </row>
      </sheetData>
      <sheetData sheetId="9361">
        <row r="7">
          <cell r="AI7">
            <v>10000</v>
          </cell>
        </row>
      </sheetData>
      <sheetData sheetId="9362">
        <row r="7">
          <cell r="AI7">
            <v>10000</v>
          </cell>
        </row>
      </sheetData>
      <sheetData sheetId="9363">
        <row r="7">
          <cell r="AI7">
            <v>10000</v>
          </cell>
        </row>
      </sheetData>
      <sheetData sheetId="9364">
        <row r="7">
          <cell r="AI7">
            <v>10000</v>
          </cell>
        </row>
      </sheetData>
      <sheetData sheetId="9365">
        <row r="7">
          <cell r="AI7">
            <v>10000</v>
          </cell>
        </row>
      </sheetData>
      <sheetData sheetId="9366">
        <row r="7">
          <cell r="AI7">
            <v>10000</v>
          </cell>
        </row>
      </sheetData>
      <sheetData sheetId="9367">
        <row r="7">
          <cell r="AI7">
            <v>10000</v>
          </cell>
        </row>
      </sheetData>
      <sheetData sheetId="9368">
        <row r="7">
          <cell r="AI7">
            <v>10000</v>
          </cell>
        </row>
      </sheetData>
      <sheetData sheetId="9369">
        <row r="7">
          <cell r="AI7">
            <v>10000</v>
          </cell>
        </row>
      </sheetData>
      <sheetData sheetId="9370">
        <row r="7">
          <cell r="AI7">
            <v>10000</v>
          </cell>
        </row>
      </sheetData>
      <sheetData sheetId="9371">
        <row r="7">
          <cell r="AI7">
            <v>10000</v>
          </cell>
        </row>
      </sheetData>
      <sheetData sheetId="9372">
        <row r="7">
          <cell r="AI7">
            <v>10000</v>
          </cell>
        </row>
      </sheetData>
      <sheetData sheetId="9373">
        <row r="7">
          <cell r="AI7">
            <v>10000</v>
          </cell>
        </row>
      </sheetData>
      <sheetData sheetId="9374">
        <row r="7">
          <cell r="AI7">
            <v>10000</v>
          </cell>
        </row>
      </sheetData>
      <sheetData sheetId="9375">
        <row r="7">
          <cell r="AI7">
            <v>10000</v>
          </cell>
        </row>
      </sheetData>
      <sheetData sheetId="9376">
        <row r="7">
          <cell r="AI7">
            <v>10000</v>
          </cell>
        </row>
      </sheetData>
      <sheetData sheetId="9377">
        <row r="7">
          <cell r="AI7">
            <v>10000</v>
          </cell>
        </row>
      </sheetData>
      <sheetData sheetId="9378">
        <row r="7">
          <cell r="AI7">
            <v>10000</v>
          </cell>
        </row>
      </sheetData>
      <sheetData sheetId="9379">
        <row r="7">
          <cell r="AI7">
            <v>10000</v>
          </cell>
        </row>
      </sheetData>
      <sheetData sheetId="9380">
        <row r="7">
          <cell r="AI7">
            <v>10000</v>
          </cell>
        </row>
      </sheetData>
      <sheetData sheetId="9381">
        <row r="7">
          <cell r="AI7">
            <v>10000</v>
          </cell>
        </row>
      </sheetData>
      <sheetData sheetId="9382">
        <row r="7">
          <cell r="AI7">
            <v>10000</v>
          </cell>
        </row>
      </sheetData>
      <sheetData sheetId="9383">
        <row r="7">
          <cell r="AI7">
            <v>10000</v>
          </cell>
        </row>
      </sheetData>
      <sheetData sheetId="9384">
        <row r="7">
          <cell r="AI7">
            <v>10000</v>
          </cell>
        </row>
      </sheetData>
      <sheetData sheetId="9385">
        <row r="7">
          <cell r="AI7">
            <v>10000</v>
          </cell>
        </row>
      </sheetData>
      <sheetData sheetId="9386">
        <row r="7">
          <cell r="AI7">
            <v>10000</v>
          </cell>
        </row>
      </sheetData>
      <sheetData sheetId="9387">
        <row r="7">
          <cell r="AI7">
            <v>10000</v>
          </cell>
        </row>
      </sheetData>
      <sheetData sheetId="9388">
        <row r="7">
          <cell r="AI7">
            <v>10000</v>
          </cell>
        </row>
      </sheetData>
      <sheetData sheetId="9389">
        <row r="7">
          <cell r="AI7">
            <v>10000</v>
          </cell>
        </row>
      </sheetData>
      <sheetData sheetId="9390">
        <row r="7">
          <cell r="AI7">
            <v>10000</v>
          </cell>
        </row>
      </sheetData>
      <sheetData sheetId="9391">
        <row r="7">
          <cell r="AI7">
            <v>10000</v>
          </cell>
        </row>
      </sheetData>
      <sheetData sheetId="9392">
        <row r="7">
          <cell r="AI7">
            <v>10000</v>
          </cell>
        </row>
      </sheetData>
      <sheetData sheetId="9393">
        <row r="7">
          <cell r="AI7">
            <v>10000</v>
          </cell>
        </row>
      </sheetData>
      <sheetData sheetId="9394">
        <row r="7">
          <cell r="AI7">
            <v>10000</v>
          </cell>
        </row>
      </sheetData>
      <sheetData sheetId="9395">
        <row r="7">
          <cell r="AI7">
            <v>10000</v>
          </cell>
        </row>
      </sheetData>
      <sheetData sheetId="9396">
        <row r="7">
          <cell r="AI7">
            <v>10000</v>
          </cell>
        </row>
      </sheetData>
      <sheetData sheetId="9397">
        <row r="7">
          <cell r="AI7">
            <v>10000</v>
          </cell>
        </row>
      </sheetData>
      <sheetData sheetId="9398">
        <row r="7">
          <cell r="AI7">
            <v>10000</v>
          </cell>
        </row>
      </sheetData>
      <sheetData sheetId="9399">
        <row r="7">
          <cell r="AI7">
            <v>10000</v>
          </cell>
        </row>
      </sheetData>
      <sheetData sheetId="9400">
        <row r="7">
          <cell r="AI7">
            <v>10000</v>
          </cell>
        </row>
      </sheetData>
      <sheetData sheetId="9401">
        <row r="7">
          <cell r="AI7">
            <v>10000</v>
          </cell>
        </row>
      </sheetData>
      <sheetData sheetId="9402">
        <row r="7">
          <cell r="AI7">
            <v>10000</v>
          </cell>
        </row>
      </sheetData>
      <sheetData sheetId="9403">
        <row r="7">
          <cell r="AI7">
            <v>10000</v>
          </cell>
        </row>
      </sheetData>
      <sheetData sheetId="9404">
        <row r="7">
          <cell r="AI7">
            <v>10000</v>
          </cell>
        </row>
      </sheetData>
      <sheetData sheetId="9405">
        <row r="7">
          <cell r="AI7">
            <v>10000</v>
          </cell>
        </row>
      </sheetData>
      <sheetData sheetId="9406">
        <row r="7">
          <cell r="AI7">
            <v>10000</v>
          </cell>
        </row>
      </sheetData>
      <sheetData sheetId="9407">
        <row r="7">
          <cell r="AI7">
            <v>10000</v>
          </cell>
        </row>
      </sheetData>
      <sheetData sheetId="9408">
        <row r="7">
          <cell r="AI7">
            <v>10000</v>
          </cell>
        </row>
      </sheetData>
      <sheetData sheetId="9409">
        <row r="7">
          <cell r="AI7">
            <v>10000</v>
          </cell>
        </row>
      </sheetData>
      <sheetData sheetId="9410">
        <row r="7">
          <cell r="AI7">
            <v>10000</v>
          </cell>
        </row>
      </sheetData>
      <sheetData sheetId="9411">
        <row r="7">
          <cell r="AI7">
            <v>10000</v>
          </cell>
        </row>
      </sheetData>
      <sheetData sheetId="9412">
        <row r="7">
          <cell r="AI7">
            <v>10000</v>
          </cell>
        </row>
      </sheetData>
      <sheetData sheetId="9413">
        <row r="7">
          <cell r="AI7">
            <v>10000</v>
          </cell>
        </row>
      </sheetData>
      <sheetData sheetId="9414">
        <row r="7">
          <cell r="AI7">
            <v>10000</v>
          </cell>
        </row>
      </sheetData>
      <sheetData sheetId="9415">
        <row r="7">
          <cell r="AI7">
            <v>10000</v>
          </cell>
        </row>
      </sheetData>
      <sheetData sheetId="9416">
        <row r="7">
          <cell r="AI7">
            <v>10000</v>
          </cell>
        </row>
      </sheetData>
      <sheetData sheetId="9417">
        <row r="7">
          <cell r="AI7">
            <v>10000</v>
          </cell>
        </row>
      </sheetData>
      <sheetData sheetId="9418">
        <row r="7">
          <cell r="AI7">
            <v>10000</v>
          </cell>
        </row>
      </sheetData>
      <sheetData sheetId="9419">
        <row r="7">
          <cell r="AI7">
            <v>10000</v>
          </cell>
        </row>
      </sheetData>
      <sheetData sheetId="9420">
        <row r="7">
          <cell r="AI7">
            <v>10000</v>
          </cell>
        </row>
      </sheetData>
      <sheetData sheetId="9421">
        <row r="7">
          <cell r="AI7">
            <v>10000</v>
          </cell>
        </row>
      </sheetData>
      <sheetData sheetId="9422">
        <row r="7">
          <cell r="AI7">
            <v>10000</v>
          </cell>
        </row>
      </sheetData>
      <sheetData sheetId="9423">
        <row r="7">
          <cell r="AI7">
            <v>10000</v>
          </cell>
        </row>
      </sheetData>
      <sheetData sheetId="9424">
        <row r="7">
          <cell r="AI7">
            <v>10000</v>
          </cell>
        </row>
      </sheetData>
      <sheetData sheetId="9425">
        <row r="7">
          <cell r="AI7">
            <v>10000</v>
          </cell>
        </row>
      </sheetData>
      <sheetData sheetId="9426">
        <row r="7">
          <cell r="AI7">
            <v>10000</v>
          </cell>
        </row>
      </sheetData>
      <sheetData sheetId="9427">
        <row r="7">
          <cell r="AI7">
            <v>10000</v>
          </cell>
        </row>
      </sheetData>
      <sheetData sheetId="9428">
        <row r="7">
          <cell r="AI7">
            <v>10000</v>
          </cell>
        </row>
      </sheetData>
      <sheetData sheetId="9429">
        <row r="7">
          <cell r="AI7">
            <v>10000</v>
          </cell>
        </row>
      </sheetData>
      <sheetData sheetId="9430">
        <row r="7">
          <cell r="AI7">
            <v>10000</v>
          </cell>
        </row>
      </sheetData>
      <sheetData sheetId="9431">
        <row r="7">
          <cell r="AI7">
            <v>10000</v>
          </cell>
        </row>
      </sheetData>
      <sheetData sheetId="9432">
        <row r="7">
          <cell r="AI7">
            <v>10000</v>
          </cell>
        </row>
      </sheetData>
      <sheetData sheetId="9433">
        <row r="7">
          <cell r="AI7">
            <v>10000</v>
          </cell>
        </row>
      </sheetData>
      <sheetData sheetId="9434">
        <row r="7">
          <cell r="AI7">
            <v>10000</v>
          </cell>
        </row>
      </sheetData>
      <sheetData sheetId="9435">
        <row r="7">
          <cell r="AI7">
            <v>10000</v>
          </cell>
        </row>
      </sheetData>
      <sheetData sheetId="9436">
        <row r="7">
          <cell r="AI7">
            <v>10000</v>
          </cell>
        </row>
      </sheetData>
      <sheetData sheetId="9437">
        <row r="7">
          <cell r="AI7">
            <v>10000</v>
          </cell>
        </row>
      </sheetData>
      <sheetData sheetId="9438">
        <row r="7">
          <cell r="AI7">
            <v>10000</v>
          </cell>
        </row>
      </sheetData>
      <sheetData sheetId="9439">
        <row r="7">
          <cell r="AI7">
            <v>10000</v>
          </cell>
        </row>
      </sheetData>
      <sheetData sheetId="9440">
        <row r="7">
          <cell r="AI7">
            <v>10000</v>
          </cell>
        </row>
      </sheetData>
      <sheetData sheetId="9441">
        <row r="7">
          <cell r="AI7">
            <v>10000</v>
          </cell>
        </row>
      </sheetData>
      <sheetData sheetId="9442">
        <row r="7">
          <cell r="AI7">
            <v>10000</v>
          </cell>
        </row>
      </sheetData>
      <sheetData sheetId="9443">
        <row r="7">
          <cell r="AI7">
            <v>10000</v>
          </cell>
        </row>
      </sheetData>
      <sheetData sheetId="9444">
        <row r="7">
          <cell r="AI7">
            <v>10000</v>
          </cell>
        </row>
      </sheetData>
      <sheetData sheetId="9445">
        <row r="7">
          <cell r="AI7">
            <v>10000</v>
          </cell>
        </row>
      </sheetData>
      <sheetData sheetId="9446">
        <row r="7">
          <cell r="AI7">
            <v>10000</v>
          </cell>
        </row>
      </sheetData>
      <sheetData sheetId="9447">
        <row r="7">
          <cell r="AI7">
            <v>10000</v>
          </cell>
        </row>
      </sheetData>
      <sheetData sheetId="9448">
        <row r="7">
          <cell r="AI7">
            <v>10000</v>
          </cell>
        </row>
      </sheetData>
      <sheetData sheetId="9449">
        <row r="7">
          <cell r="AI7">
            <v>10000</v>
          </cell>
        </row>
      </sheetData>
      <sheetData sheetId="9450">
        <row r="7">
          <cell r="AI7">
            <v>10000</v>
          </cell>
        </row>
      </sheetData>
      <sheetData sheetId="9451">
        <row r="7">
          <cell r="AI7">
            <v>10000</v>
          </cell>
        </row>
      </sheetData>
      <sheetData sheetId="9452">
        <row r="7">
          <cell r="AI7">
            <v>10000</v>
          </cell>
        </row>
      </sheetData>
      <sheetData sheetId="9453">
        <row r="7">
          <cell r="AI7">
            <v>10000</v>
          </cell>
        </row>
      </sheetData>
      <sheetData sheetId="9454">
        <row r="7">
          <cell r="AI7">
            <v>10000</v>
          </cell>
        </row>
      </sheetData>
      <sheetData sheetId="9455">
        <row r="7">
          <cell r="AI7">
            <v>10000</v>
          </cell>
        </row>
      </sheetData>
      <sheetData sheetId="9456">
        <row r="7">
          <cell r="AI7">
            <v>10000</v>
          </cell>
        </row>
      </sheetData>
      <sheetData sheetId="9457">
        <row r="7">
          <cell r="AI7">
            <v>10000</v>
          </cell>
        </row>
      </sheetData>
      <sheetData sheetId="9458">
        <row r="7">
          <cell r="AI7">
            <v>10000</v>
          </cell>
        </row>
      </sheetData>
      <sheetData sheetId="9459">
        <row r="7">
          <cell r="AI7">
            <v>10000</v>
          </cell>
        </row>
      </sheetData>
      <sheetData sheetId="9460">
        <row r="7">
          <cell r="AI7">
            <v>10000</v>
          </cell>
        </row>
      </sheetData>
      <sheetData sheetId="9461">
        <row r="7">
          <cell r="AI7">
            <v>10000</v>
          </cell>
        </row>
      </sheetData>
      <sheetData sheetId="9462">
        <row r="7">
          <cell r="AI7">
            <v>10000</v>
          </cell>
        </row>
      </sheetData>
      <sheetData sheetId="9463">
        <row r="7">
          <cell r="AI7">
            <v>10000</v>
          </cell>
        </row>
      </sheetData>
      <sheetData sheetId="9464">
        <row r="7">
          <cell r="AI7">
            <v>10000</v>
          </cell>
        </row>
      </sheetData>
      <sheetData sheetId="9465">
        <row r="7">
          <cell r="AI7">
            <v>10000</v>
          </cell>
        </row>
      </sheetData>
      <sheetData sheetId="9466">
        <row r="7">
          <cell r="AI7">
            <v>10000</v>
          </cell>
        </row>
      </sheetData>
      <sheetData sheetId="9467">
        <row r="7">
          <cell r="AI7">
            <v>10000</v>
          </cell>
        </row>
      </sheetData>
      <sheetData sheetId="9468">
        <row r="7">
          <cell r="AI7">
            <v>10000</v>
          </cell>
        </row>
      </sheetData>
      <sheetData sheetId="9469">
        <row r="7">
          <cell r="AI7">
            <v>10000</v>
          </cell>
        </row>
      </sheetData>
      <sheetData sheetId="9470">
        <row r="7">
          <cell r="AI7">
            <v>10000</v>
          </cell>
        </row>
      </sheetData>
      <sheetData sheetId="9471">
        <row r="7">
          <cell r="AI7">
            <v>10000</v>
          </cell>
        </row>
      </sheetData>
      <sheetData sheetId="9472">
        <row r="7">
          <cell r="AI7">
            <v>10000</v>
          </cell>
        </row>
      </sheetData>
      <sheetData sheetId="9473">
        <row r="7">
          <cell r="AI7">
            <v>10000</v>
          </cell>
        </row>
      </sheetData>
      <sheetData sheetId="9474">
        <row r="7">
          <cell r="AI7">
            <v>10000</v>
          </cell>
        </row>
      </sheetData>
      <sheetData sheetId="9475">
        <row r="7">
          <cell r="AI7">
            <v>10000</v>
          </cell>
        </row>
      </sheetData>
      <sheetData sheetId="9476">
        <row r="7">
          <cell r="AI7">
            <v>10000</v>
          </cell>
        </row>
      </sheetData>
      <sheetData sheetId="9477">
        <row r="7">
          <cell r="AI7">
            <v>10000</v>
          </cell>
        </row>
      </sheetData>
      <sheetData sheetId="9478">
        <row r="7">
          <cell r="AI7">
            <v>10000</v>
          </cell>
        </row>
      </sheetData>
      <sheetData sheetId="9479">
        <row r="7">
          <cell r="AI7">
            <v>10000</v>
          </cell>
        </row>
      </sheetData>
      <sheetData sheetId="9480">
        <row r="7">
          <cell r="AI7">
            <v>10000</v>
          </cell>
        </row>
      </sheetData>
      <sheetData sheetId="9481">
        <row r="7">
          <cell r="AI7">
            <v>10000</v>
          </cell>
        </row>
      </sheetData>
      <sheetData sheetId="9482">
        <row r="7">
          <cell r="AI7">
            <v>10000</v>
          </cell>
        </row>
      </sheetData>
      <sheetData sheetId="9483">
        <row r="7">
          <cell r="AI7">
            <v>10000</v>
          </cell>
        </row>
      </sheetData>
      <sheetData sheetId="9484">
        <row r="7">
          <cell r="AI7">
            <v>10000</v>
          </cell>
        </row>
      </sheetData>
      <sheetData sheetId="9485">
        <row r="7">
          <cell r="AI7">
            <v>10000</v>
          </cell>
        </row>
      </sheetData>
      <sheetData sheetId="9486">
        <row r="7">
          <cell r="AI7">
            <v>10000</v>
          </cell>
        </row>
      </sheetData>
      <sheetData sheetId="9487">
        <row r="7">
          <cell r="AI7">
            <v>10000</v>
          </cell>
        </row>
      </sheetData>
      <sheetData sheetId="9488">
        <row r="7">
          <cell r="AI7">
            <v>10000</v>
          </cell>
        </row>
      </sheetData>
      <sheetData sheetId="9489">
        <row r="7">
          <cell r="AI7">
            <v>10000</v>
          </cell>
        </row>
      </sheetData>
      <sheetData sheetId="9490">
        <row r="7">
          <cell r="AI7">
            <v>10000</v>
          </cell>
        </row>
      </sheetData>
      <sheetData sheetId="9491">
        <row r="7">
          <cell r="AI7">
            <v>10000</v>
          </cell>
        </row>
      </sheetData>
      <sheetData sheetId="9492">
        <row r="7">
          <cell r="AI7">
            <v>10000</v>
          </cell>
        </row>
      </sheetData>
      <sheetData sheetId="9493">
        <row r="7">
          <cell r="AI7">
            <v>10000</v>
          </cell>
        </row>
      </sheetData>
      <sheetData sheetId="9494">
        <row r="7">
          <cell r="AI7">
            <v>10000</v>
          </cell>
        </row>
      </sheetData>
      <sheetData sheetId="9495">
        <row r="7">
          <cell r="AI7">
            <v>10000</v>
          </cell>
        </row>
      </sheetData>
      <sheetData sheetId="9496">
        <row r="7">
          <cell r="AI7">
            <v>10000</v>
          </cell>
        </row>
      </sheetData>
      <sheetData sheetId="9497">
        <row r="7">
          <cell r="AI7">
            <v>10000</v>
          </cell>
        </row>
      </sheetData>
      <sheetData sheetId="9498">
        <row r="7">
          <cell r="AI7">
            <v>10000</v>
          </cell>
        </row>
      </sheetData>
      <sheetData sheetId="9499">
        <row r="7">
          <cell r="AI7">
            <v>10000</v>
          </cell>
        </row>
      </sheetData>
      <sheetData sheetId="9500">
        <row r="7">
          <cell r="AI7">
            <v>10000</v>
          </cell>
        </row>
      </sheetData>
      <sheetData sheetId="9501">
        <row r="7">
          <cell r="AI7">
            <v>10000</v>
          </cell>
        </row>
      </sheetData>
      <sheetData sheetId="9502">
        <row r="7">
          <cell r="AI7">
            <v>10000</v>
          </cell>
        </row>
      </sheetData>
      <sheetData sheetId="9503">
        <row r="7">
          <cell r="AI7">
            <v>10000</v>
          </cell>
        </row>
      </sheetData>
      <sheetData sheetId="9504">
        <row r="7">
          <cell r="AI7">
            <v>10000</v>
          </cell>
        </row>
      </sheetData>
      <sheetData sheetId="9505">
        <row r="7">
          <cell r="AI7">
            <v>10000</v>
          </cell>
        </row>
      </sheetData>
      <sheetData sheetId="9506">
        <row r="7">
          <cell r="AI7">
            <v>10000</v>
          </cell>
        </row>
      </sheetData>
      <sheetData sheetId="9507">
        <row r="7">
          <cell r="AI7">
            <v>10000</v>
          </cell>
        </row>
      </sheetData>
      <sheetData sheetId="9508">
        <row r="7">
          <cell r="AI7">
            <v>10000</v>
          </cell>
        </row>
      </sheetData>
      <sheetData sheetId="9509">
        <row r="7">
          <cell r="AI7">
            <v>10000</v>
          </cell>
        </row>
      </sheetData>
      <sheetData sheetId="9510">
        <row r="7">
          <cell r="AI7">
            <v>10000</v>
          </cell>
        </row>
      </sheetData>
      <sheetData sheetId="9511">
        <row r="7">
          <cell r="AI7">
            <v>10000</v>
          </cell>
        </row>
      </sheetData>
      <sheetData sheetId="9512">
        <row r="7">
          <cell r="AI7">
            <v>10000</v>
          </cell>
        </row>
      </sheetData>
      <sheetData sheetId="9513">
        <row r="7">
          <cell r="AI7">
            <v>10000</v>
          </cell>
        </row>
      </sheetData>
      <sheetData sheetId="9514">
        <row r="7">
          <cell r="AI7">
            <v>10000</v>
          </cell>
        </row>
      </sheetData>
      <sheetData sheetId="9515">
        <row r="7">
          <cell r="AI7">
            <v>10000</v>
          </cell>
        </row>
      </sheetData>
      <sheetData sheetId="9516">
        <row r="7">
          <cell r="AI7">
            <v>10000</v>
          </cell>
        </row>
      </sheetData>
      <sheetData sheetId="9517">
        <row r="7">
          <cell r="AI7">
            <v>10000</v>
          </cell>
        </row>
      </sheetData>
      <sheetData sheetId="9518">
        <row r="7">
          <cell r="AI7">
            <v>10000</v>
          </cell>
        </row>
      </sheetData>
      <sheetData sheetId="9519">
        <row r="7">
          <cell r="AI7">
            <v>10000</v>
          </cell>
        </row>
      </sheetData>
      <sheetData sheetId="9520">
        <row r="7">
          <cell r="AI7">
            <v>10000</v>
          </cell>
        </row>
      </sheetData>
      <sheetData sheetId="9521">
        <row r="7">
          <cell r="AI7">
            <v>10000</v>
          </cell>
        </row>
      </sheetData>
      <sheetData sheetId="9522">
        <row r="7">
          <cell r="AI7">
            <v>10000</v>
          </cell>
        </row>
      </sheetData>
      <sheetData sheetId="9523">
        <row r="7">
          <cell r="AI7">
            <v>10000</v>
          </cell>
        </row>
      </sheetData>
      <sheetData sheetId="9524">
        <row r="7">
          <cell r="AI7">
            <v>10000</v>
          </cell>
        </row>
      </sheetData>
      <sheetData sheetId="9525">
        <row r="7">
          <cell r="AI7">
            <v>10000</v>
          </cell>
        </row>
      </sheetData>
      <sheetData sheetId="9526">
        <row r="7">
          <cell r="AI7">
            <v>10000</v>
          </cell>
        </row>
      </sheetData>
      <sheetData sheetId="9527">
        <row r="7">
          <cell r="AI7">
            <v>10000</v>
          </cell>
        </row>
      </sheetData>
      <sheetData sheetId="9528">
        <row r="7">
          <cell r="AI7">
            <v>10000</v>
          </cell>
        </row>
      </sheetData>
      <sheetData sheetId="9529">
        <row r="7">
          <cell r="AI7">
            <v>10000</v>
          </cell>
        </row>
      </sheetData>
      <sheetData sheetId="9530">
        <row r="7">
          <cell r="AI7">
            <v>10000</v>
          </cell>
        </row>
      </sheetData>
      <sheetData sheetId="9531">
        <row r="7">
          <cell r="AI7">
            <v>10000</v>
          </cell>
        </row>
      </sheetData>
      <sheetData sheetId="9532">
        <row r="7">
          <cell r="AI7">
            <v>10000</v>
          </cell>
        </row>
      </sheetData>
      <sheetData sheetId="9533">
        <row r="7">
          <cell r="AI7">
            <v>10000</v>
          </cell>
        </row>
      </sheetData>
      <sheetData sheetId="9534">
        <row r="7">
          <cell r="AI7">
            <v>10000</v>
          </cell>
        </row>
      </sheetData>
      <sheetData sheetId="9535">
        <row r="7">
          <cell r="AI7">
            <v>10000</v>
          </cell>
        </row>
      </sheetData>
      <sheetData sheetId="9536">
        <row r="7">
          <cell r="AI7">
            <v>10000</v>
          </cell>
        </row>
      </sheetData>
      <sheetData sheetId="9537">
        <row r="7">
          <cell r="AI7">
            <v>10000</v>
          </cell>
        </row>
      </sheetData>
      <sheetData sheetId="9538">
        <row r="7">
          <cell r="AI7">
            <v>10000</v>
          </cell>
        </row>
      </sheetData>
      <sheetData sheetId="9539">
        <row r="7">
          <cell r="AI7">
            <v>10000</v>
          </cell>
        </row>
      </sheetData>
      <sheetData sheetId="9540">
        <row r="7">
          <cell r="AI7">
            <v>10000</v>
          </cell>
        </row>
      </sheetData>
      <sheetData sheetId="9541">
        <row r="7">
          <cell r="AI7">
            <v>10000</v>
          </cell>
        </row>
      </sheetData>
      <sheetData sheetId="9542">
        <row r="7">
          <cell r="AI7">
            <v>10000</v>
          </cell>
        </row>
      </sheetData>
      <sheetData sheetId="9543">
        <row r="7">
          <cell r="AI7">
            <v>10000</v>
          </cell>
        </row>
      </sheetData>
      <sheetData sheetId="9544">
        <row r="7">
          <cell r="AI7">
            <v>10000</v>
          </cell>
        </row>
      </sheetData>
      <sheetData sheetId="9545">
        <row r="7">
          <cell r="AI7">
            <v>10000</v>
          </cell>
        </row>
      </sheetData>
      <sheetData sheetId="9546">
        <row r="7">
          <cell r="AI7">
            <v>10000</v>
          </cell>
        </row>
      </sheetData>
      <sheetData sheetId="9547">
        <row r="7">
          <cell r="AI7">
            <v>10000</v>
          </cell>
        </row>
      </sheetData>
      <sheetData sheetId="9548">
        <row r="7">
          <cell r="AI7">
            <v>10000</v>
          </cell>
        </row>
      </sheetData>
      <sheetData sheetId="9549">
        <row r="7">
          <cell r="AI7">
            <v>10000</v>
          </cell>
        </row>
      </sheetData>
      <sheetData sheetId="9550">
        <row r="7">
          <cell r="AI7">
            <v>10000</v>
          </cell>
        </row>
      </sheetData>
      <sheetData sheetId="9551">
        <row r="7">
          <cell r="AI7">
            <v>10000</v>
          </cell>
        </row>
      </sheetData>
      <sheetData sheetId="9552">
        <row r="7">
          <cell r="AI7">
            <v>10000</v>
          </cell>
        </row>
      </sheetData>
      <sheetData sheetId="9553">
        <row r="7">
          <cell r="AI7">
            <v>10000</v>
          </cell>
        </row>
      </sheetData>
      <sheetData sheetId="9554">
        <row r="7">
          <cell r="AI7">
            <v>10000</v>
          </cell>
        </row>
      </sheetData>
      <sheetData sheetId="9555">
        <row r="7">
          <cell r="AI7">
            <v>10000</v>
          </cell>
        </row>
      </sheetData>
      <sheetData sheetId="9556">
        <row r="7">
          <cell r="AI7">
            <v>10000</v>
          </cell>
        </row>
      </sheetData>
      <sheetData sheetId="9557">
        <row r="7">
          <cell r="AI7">
            <v>10000</v>
          </cell>
        </row>
      </sheetData>
      <sheetData sheetId="9558">
        <row r="7">
          <cell r="AI7">
            <v>10000</v>
          </cell>
        </row>
      </sheetData>
      <sheetData sheetId="9559">
        <row r="7">
          <cell r="AI7">
            <v>10000</v>
          </cell>
        </row>
      </sheetData>
      <sheetData sheetId="9560">
        <row r="7">
          <cell r="AI7">
            <v>10000</v>
          </cell>
        </row>
      </sheetData>
      <sheetData sheetId="9561">
        <row r="7">
          <cell r="AI7">
            <v>10000</v>
          </cell>
        </row>
      </sheetData>
      <sheetData sheetId="9562">
        <row r="7">
          <cell r="AI7">
            <v>10000</v>
          </cell>
        </row>
      </sheetData>
      <sheetData sheetId="9563">
        <row r="7">
          <cell r="AI7">
            <v>10000</v>
          </cell>
        </row>
      </sheetData>
      <sheetData sheetId="9564">
        <row r="7">
          <cell r="AI7">
            <v>10000</v>
          </cell>
        </row>
      </sheetData>
      <sheetData sheetId="9565">
        <row r="7">
          <cell r="AI7">
            <v>10000</v>
          </cell>
        </row>
      </sheetData>
      <sheetData sheetId="9566">
        <row r="7">
          <cell r="AI7">
            <v>10000</v>
          </cell>
        </row>
      </sheetData>
      <sheetData sheetId="9567">
        <row r="7">
          <cell r="AI7">
            <v>10000</v>
          </cell>
        </row>
      </sheetData>
      <sheetData sheetId="9568">
        <row r="7">
          <cell r="AI7">
            <v>10000</v>
          </cell>
        </row>
      </sheetData>
      <sheetData sheetId="9569">
        <row r="7">
          <cell r="AI7">
            <v>10000</v>
          </cell>
        </row>
      </sheetData>
      <sheetData sheetId="9570">
        <row r="7">
          <cell r="AI7">
            <v>10000</v>
          </cell>
        </row>
      </sheetData>
      <sheetData sheetId="9571">
        <row r="7">
          <cell r="AI7">
            <v>10000</v>
          </cell>
        </row>
      </sheetData>
      <sheetData sheetId="9572">
        <row r="7">
          <cell r="AI7">
            <v>10000</v>
          </cell>
        </row>
      </sheetData>
      <sheetData sheetId="9573">
        <row r="7">
          <cell r="AI7">
            <v>10000</v>
          </cell>
        </row>
      </sheetData>
      <sheetData sheetId="9574">
        <row r="7">
          <cell r="AI7">
            <v>10000</v>
          </cell>
        </row>
      </sheetData>
      <sheetData sheetId="9575">
        <row r="7">
          <cell r="AI7">
            <v>10000</v>
          </cell>
        </row>
      </sheetData>
      <sheetData sheetId="9576">
        <row r="7">
          <cell r="AI7">
            <v>10000</v>
          </cell>
        </row>
      </sheetData>
      <sheetData sheetId="9577">
        <row r="7">
          <cell r="AI7">
            <v>10000</v>
          </cell>
        </row>
      </sheetData>
      <sheetData sheetId="9578">
        <row r="7">
          <cell r="AI7">
            <v>10000</v>
          </cell>
        </row>
      </sheetData>
      <sheetData sheetId="9579">
        <row r="7">
          <cell r="AI7">
            <v>10000</v>
          </cell>
        </row>
      </sheetData>
      <sheetData sheetId="9580">
        <row r="7">
          <cell r="AI7">
            <v>10000</v>
          </cell>
        </row>
      </sheetData>
      <sheetData sheetId="9581">
        <row r="7">
          <cell r="AI7">
            <v>10000</v>
          </cell>
        </row>
      </sheetData>
      <sheetData sheetId="9582">
        <row r="7">
          <cell r="AI7">
            <v>10000</v>
          </cell>
        </row>
      </sheetData>
      <sheetData sheetId="9583">
        <row r="7">
          <cell r="AI7">
            <v>10000</v>
          </cell>
        </row>
      </sheetData>
      <sheetData sheetId="9584">
        <row r="7">
          <cell r="AI7">
            <v>10000</v>
          </cell>
        </row>
      </sheetData>
      <sheetData sheetId="9585">
        <row r="7">
          <cell r="AI7">
            <v>10000</v>
          </cell>
        </row>
      </sheetData>
      <sheetData sheetId="9586">
        <row r="7">
          <cell r="AI7">
            <v>10000</v>
          </cell>
        </row>
      </sheetData>
      <sheetData sheetId="9587">
        <row r="7">
          <cell r="AI7">
            <v>10000</v>
          </cell>
        </row>
      </sheetData>
      <sheetData sheetId="9588">
        <row r="7">
          <cell r="AI7">
            <v>10000</v>
          </cell>
        </row>
      </sheetData>
      <sheetData sheetId="9589">
        <row r="7">
          <cell r="AI7">
            <v>10000</v>
          </cell>
        </row>
      </sheetData>
      <sheetData sheetId="9590">
        <row r="7">
          <cell r="AI7">
            <v>10000</v>
          </cell>
        </row>
      </sheetData>
      <sheetData sheetId="9591">
        <row r="7">
          <cell r="AI7">
            <v>10000</v>
          </cell>
        </row>
      </sheetData>
      <sheetData sheetId="9592">
        <row r="7">
          <cell r="AI7">
            <v>10000</v>
          </cell>
        </row>
      </sheetData>
      <sheetData sheetId="9593">
        <row r="7">
          <cell r="AI7">
            <v>10000</v>
          </cell>
        </row>
      </sheetData>
      <sheetData sheetId="9594">
        <row r="7">
          <cell r="AI7">
            <v>10000</v>
          </cell>
        </row>
      </sheetData>
      <sheetData sheetId="9595">
        <row r="7">
          <cell r="AI7">
            <v>10000</v>
          </cell>
        </row>
      </sheetData>
      <sheetData sheetId="9596">
        <row r="7">
          <cell r="AI7">
            <v>10000</v>
          </cell>
        </row>
      </sheetData>
      <sheetData sheetId="9597">
        <row r="7">
          <cell r="AI7">
            <v>10000</v>
          </cell>
        </row>
      </sheetData>
      <sheetData sheetId="9598">
        <row r="7">
          <cell r="AI7">
            <v>10000</v>
          </cell>
        </row>
      </sheetData>
      <sheetData sheetId="9599">
        <row r="7">
          <cell r="AI7">
            <v>10000</v>
          </cell>
        </row>
      </sheetData>
      <sheetData sheetId="9600">
        <row r="7">
          <cell r="AI7">
            <v>10000</v>
          </cell>
        </row>
      </sheetData>
      <sheetData sheetId="9601">
        <row r="7">
          <cell r="AI7">
            <v>10000</v>
          </cell>
        </row>
      </sheetData>
      <sheetData sheetId="9602">
        <row r="7">
          <cell r="AI7">
            <v>10000</v>
          </cell>
        </row>
      </sheetData>
      <sheetData sheetId="9603">
        <row r="7">
          <cell r="AI7">
            <v>10000</v>
          </cell>
        </row>
      </sheetData>
      <sheetData sheetId="9604">
        <row r="7">
          <cell r="AI7">
            <v>10000</v>
          </cell>
        </row>
      </sheetData>
      <sheetData sheetId="9605">
        <row r="7">
          <cell r="AI7">
            <v>10000</v>
          </cell>
        </row>
      </sheetData>
      <sheetData sheetId="9606">
        <row r="7">
          <cell r="AI7">
            <v>10000</v>
          </cell>
        </row>
      </sheetData>
      <sheetData sheetId="9607">
        <row r="7">
          <cell r="AI7">
            <v>10000</v>
          </cell>
        </row>
      </sheetData>
      <sheetData sheetId="9608">
        <row r="7">
          <cell r="AI7">
            <v>10000</v>
          </cell>
        </row>
      </sheetData>
      <sheetData sheetId="9609">
        <row r="7">
          <cell r="AI7">
            <v>10000</v>
          </cell>
        </row>
      </sheetData>
      <sheetData sheetId="9610">
        <row r="7">
          <cell r="AI7">
            <v>10000</v>
          </cell>
        </row>
      </sheetData>
      <sheetData sheetId="9611">
        <row r="7">
          <cell r="AI7">
            <v>10000</v>
          </cell>
        </row>
      </sheetData>
      <sheetData sheetId="9612">
        <row r="7">
          <cell r="AI7">
            <v>10000</v>
          </cell>
        </row>
      </sheetData>
      <sheetData sheetId="9613">
        <row r="7">
          <cell r="AI7">
            <v>10000</v>
          </cell>
        </row>
      </sheetData>
      <sheetData sheetId="9614">
        <row r="7">
          <cell r="AI7">
            <v>10000</v>
          </cell>
        </row>
      </sheetData>
      <sheetData sheetId="9615">
        <row r="7">
          <cell r="AI7">
            <v>10000</v>
          </cell>
        </row>
      </sheetData>
      <sheetData sheetId="9616">
        <row r="7">
          <cell r="AI7">
            <v>10000</v>
          </cell>
        </row>
      </sheetData>
      <sheetData sheetId="9617">
        <row r="7">
          <cell r="AI7">
            <v>10000</v>
          </cell>
        </row>
      </sheetData>
      <sheetData sheetId="9618">
        <row r="7">
          <cell r="AI7">
            <v>10000</v>
          </cell>
        </row>
      </sheetData>
      <sheetData sheetId="9619">
        <row r="7">
          <cell r="AI7">
            <v>10000</v>
          </cell>
        </row>
      </sheetData>
      <sheetData sheetId="9620">
        <row r="7">
          <cell r="AI7">
            <v>10000</v>
          </cell>
        </row>
      </sheetData>
      <sheetData sheetId="9621">
        <row r="7">
          <cell r="AI7">
            <v>10000</v>
          </cell>
        </row>
      </sheetData>
      <sheetData sheetId="9622">
        <row r="7">
          <cell r="AI7">
            <v>10000</v>
          </cell>
        </row>
      </sheetData>
      <sheetData sheetId="9623">
        <row r="7">
          <cell r="AI7">
            <v>10000</v>
          </cell>
        </row>
      </sheetData>
      <sheetData sheetId="9624">
        <row r="7">
          <cell r="AI7">
            <v>10000</v>
          </cell>
        </row>
      </sheetData>
      <sheetData sheetId="9625">
        <row r="7">
          <cell r="AI7">
            <v>10000</v>
          </cell>
        </row>
      </sheetData>
      <sheetData sheetId="9626">
        <row r="7">
          <cell r="AI7">
            <v>10000</v>
          </cell>
        </row>
      </sheetData>
      <sheetData sheetId="9627">
        <row r="7">
          <cell r="AI7">
            <v>10000</v>
          </cell>
        </row>
      </sheetData>
      <sheetData sheetId="9628">
        <row r="7">
          <cell r="AI7">
            <v>10000</v>
          </cell>
        </row>
      </sheetData>
      <sheetData sheetId="9629">
        <row r="7">
          <cell r="AI7">
            <v>10000</v>
          </cell>
        </row>
      </sheetData>
      <sheetData sheetId="9630">
        <row r="7">
          <cell r="AI7">
            <v>10000</v>
          </cell>
        </row>
      </sheetData>
      <sheetData sheetId="9631">
        <row r="7">
          <cell r="AI7">
            <v>10000</v>
          </cell>
        </row>
      </sheetData>
      <sheetData sheetId="9632">
        <row r="7">
          <cell r="AI7">
            <v>10000</v>
          </cell>
        </row>
      </sheetData>
      <sheetData sheetId="9633">
        <row r="7">
          <cell r="AI7">
            <v>10000</v>
          </cell>
        </row>
      </sheetData>
      <sheetData sheetId="9634">
        <row r="7">
          <cell r="AI7">
            <v>10000</v>
          </cell>
        </row>
      </sheetData>
      <sheetData sheetId="9635">
        <row r="7">
          <cell r="AI7">
            <v>10000</v>
          </cell>
        </row>
      </sheetData>
      <sheetData sheetId="9636">
        <row r="7">
          <cell r="AI7">
            <v>10000</v>
          </cell>
        </row>
      </sheetData>
      <sheetData sheetId="9637">
        <row r="7">
          <cell r="AI7">
            <v>10000</v>
          </cell>
        </row>
      </sheetData>
      <sheetData sheetId="9638">
        <row r="7">
          <cell r="AI7">
            <v>10000</v>
          </cell>
        </row>
      </sheetData>
      <sheetData sheetId="9639">
        <row r="7">
          <cell r="AI7">
            <v>10000</v>
          </cell>
        </row>
      </sheetData>
      <sheetData sheetId="9640">
        <row r="7">
          <cell r="AI7">
            <v>10000</v>
          </cell>
        </row>
      </sheetData>
      <sheetData sheetId="9641">
        <row r="7">
          <cell r="AI7">
            <v>10000</v>
          </cell>
        </row>
      </sheetData>
      <sheetData sheetId="9642">
        <row r="7">
          <cell r="AI7">
            <v>10000</v>
          </cell>
        </row>
      </sheetData>
      <sheetData sheetId="9643">
        <row r="7">
          <cell r="AI7">
            <v>10000</v>
          </cell>
        </row>
      </sheetData>
      <sheetData sheetId="9644">
        <row r="7">
          <cell r="AI7">
            <v>10000</v>
          </cell>
        </row>
      </sheetData>
      <sheetData sheetId="9645">
        <row r="7">
          <cell r="AI7">
            <v>10000</v>
          </cell>
        </row>
      </sheetData>
      <sheetData sheetId="9646">
        <row r="7">
          <cell r="AI7">
            <v>10000</v>
          </cell>
        </row>
      </sheetData>
      <sheetData sheetId="9647">
        <row r="7">
          <cell r="AI7">
            <v>10000</v>
          </cell>
        </row>
      </sheetData>
      <sheetData sheetId="9648">
        <row r="7">
          <cell r="AI7">
            <v>10000</v>
          </cell>
        </row>
      </sheetData>
      <sheetData sheetId="9649">
        <row r="7">
          <cell r="AI7">
            <v>10000</v>
          </cell>
        </row>
      </sheetData>
      <sheetData sheetId="9650">
        <row r="7">
          <cell r="AI7">
            <v>10000</v>
          </cell>
        </row>
      </sheetData>
      <sheetData sheetId="9651">
        <row r="7">
          <cell r="AI7">
            <v>10000</v>
          </cell>
        </row>
      </sheetData>
      <sheetData sheetId="9652">
        <row r="7">
          <cell r="AI7">
            <v>10000</v>
          </cell>
        </row>
      </sheetData>
      <sheetData sheetId="9653">
        <row r="7">
          <cell r="AI7">
            <v>10000</v>
          </cell>
        </row>
      </sheetData>
      <sheetData sheetId="9654">
        <row r="7">
          <cell r="AI7">
            <v>10000</v>
          </cell>
        </row>
      </sheetData>
      <sheetData sheetId="9655">
        <row r="7">
          <cell r="AI7">
            <v>10000</v>
          </cell>
        </row>
      </sheetData>
      <sheetData sheetId="9656">
        <row r="7">
          <cell r="AI7">
            <v>10000</v>
          </cell>
        </row>
      </sheetData>
      <sheetData sheetId="9657">
        <row r="7">
          <cell r="AI7">
            <v>10000</v>
          </cell>
        </row>
      </sheetData>
      <sheetData sheetId="9658">
        <row r="7">
          <cell r="AI7">
            <v>10000</v>
          </cell>
        </row>
      </sheetData>
      <sheetData sheetId="9659">
        <row r="7">
          <cell r="AI7">
            <v>10000</v>
          </cell>
        </row>
      </sheetData>
      <sheetData sheetId="9660">
        <row r="7">
          <cell r="AI7">
            <v>10000</v>
          </cell>
        </row>
      </sheetData>
      <sheetData sheetId="9661">
        <row r="7">
          <cell r="AI7">
            <v>10000</v>
          </cell>
        </row>
      </sheetData>
      <sheetData sheetId="9662">
        <row r="7">
          <cell r="AI7">
            <v>10000</v>
          </cell>
        </row>
      </sheetData>
      <sheetData sheetId="9663">
        <row r="7">
          <cell r="AI7">
            <v>10000</v>
          </cell>
        </row>
      </sheetData>
      <sheetData sheetId="9664">
        <row r="7">
          <cell r="AI7">
            <v>10000</v>
          </cell>
        </row>
      </sheetData>
      <sheetData sheetId="9665">
        <row r="7">
          <cell r="AI7">
            <v>10000</v>
          </cell>
        </row>
      </sheetData>
      <sheetData sheetId="9666">
        <row r="7">
          <cell r="AI7">
            <v>10000</v>
          </cell>
        </row>
      </sheetData>
      <sheetData sheetId="9667">
        <row r="7">
          <cell r="AI7">
            <v>10000</v>
          </cell>
        </row>
      </sheetData>
      <sheetData sheetId="9668">
        <row r="7">
          <cell r="AI7">
            <v>10000</v>
          </cell>
        </row>
      </sheetData>
      <sheetData sheetId="9669">
        <row r="7">
          <cell r="AI7">
            <v>10000</v>
          </cell>
        </row>
      </sheetData>
      <sheetData sheetId="9670">
        <row r="7">
          <cell r="AI7">
            <v>10000</v>
          </cell>
        </row>
      </sheetData>
      <sheetData sheetId="9671">
        <row r="7">
          <cell r="AI7">
            <v>10000</v>
          </cell>
        </row>
      </sheetData>
      <sheetData sheetId="9672">
        <row r="7">
          <cell r="AI7">
            <v>10000</v>
          </cell>
        </row>
      </sheetData>
      <sheetData sheetId="9673">
        <row r="7">
          <cell r="AI7">
            <v>10000</v>
          </cell>
        </row>
      </sheetData>
      <sheetData sheetId="9674">
        <row r="7">
          <cell r="AI7">
            <v>10000</v>
          </cell>
        </row>
      </sheetData>
      <sheetData sheetId="9675">
        <row r="7">
          <cell r="AI7">
            <v>10000</v>
          </cell>
        </row>
      </sheetData>
      <sheetData sheetId="9676">
        <row r="7">
          <cell r="AI7">
            <v>10000</v>
          </cell>
        </row>
      </sheetData>
      <sheetData sheetId="9677">
        <row r="7">
          <cell r="AI7">
            <v>10000</v>
          </cell>
        </row>
      </sheetData>
      <sheetData sheetId="9678">
        <row r="7">
          <cell r="AI7">
            <v>10000</v>
          </cell>
        </row>
      </sheetData>
      <sheetData sheetId="9679">
        <row r="7">
          <cell r="AI7">
            <v>10000</v>
          </cell>
        </row>
      </sheetData>
      <sheetData sheetId="9680">
        <row r="7">
          <cell r="AI7">
            <v>10000</v>
          </cell>
        </row>
      </sheetData>
      <sheetData sheetId="9681">
        <row r="7">
          <cell r="AI7">
            <v>10000</v>
          </cell>
        </row>
      </sheetData>
      <sheetData sheetId="9682">
        <row r="7">
          <cell r="AI7">
            <v>10000</v>
          </cell>
        </row>
      </sheetData>
      <sheetData sheetId="9683">
        <row r="7">
          <cell r="AI7">
            <v>10000</v>
          </cell>
        </row>
      </sheetData>
      <sheetData sheetId="9684">
        <row r="7">
          <cell r="AI7">
            <v>10000</v>
          </cell>
        </row>
      </sheetData>
      <sheetData sheetId="9685">
        <row r="7">
          <cell r="AI7">
            <v>10000</v>
          </cell>
        </row>
      </sheetData>
      <sheetData sheetId="9686">
        <row r="7">
          <cell r="AI7">
            <v>10000</v>
          </cell>
        </row>
      </sheetData>
      <sheetData sheetId="9687">
        <row r="7">
          <cell r="AI7">
            <v>10000</v>
          </cell>
        </row>
      </sheetData>
      <sheetData sheetId="9688">
        <row r="7">
          <cell r="AI7">
            <v>10000</v>
          </cell>
        </row>
      </sheetData>
      <sheetData sheetId="9689">
        <row r="7">
          <cell r="AI7">
            <v>10000</v>
          </cell>
        </row>
      </sheetData>
      <sheetData sheetId="9690">
        <row r="7">
          <cell r="AI7">
            <v>10000</v>
          </cell>
        </row>
      </sheetData>
      <sheetData sheetId="9691">
        <row r="7">
          <cell r="AI7">
            <v>10000</v>
          </cell>
        </row>
      </sheetData>
      <sheetData sheetId="9692">
        <row r="7">
          <cell r="AI7">
            <v>10000</v>
          </cell>
        </row>
      </sheetData>
      <sheetData sheetId="9693">
        <row r="7">
          <cell r="AI7">
            <v>10000</v>
          </cell>
        </row>
      </sheetData>
      <sheetData sheetId="9694">
        <row r="7">
          <cell r="AI7">
            <v>10000</v>
          </cell>
        </row>
      </sheetData>
      <sheetData sheetId="9695">
        <row r="7">
          <cell r="AI7">
            <v>10000</v>
          </cell>
        </row>
      </sheetData>
      <sheetData sheetId="9696">
        <row r="7">
          <cell r="AI7">
            <v>10000</v>
          </cell>
        </row>
      </sheetData>
      <sheetData sheetId="9697">
        <row r="7">
          <cell r="AI7">
            <v>10000</v>
          </cell>
        </row>
      </sheetData>
      <sheetData sheetId="9698">
        <row r="7">
          <cell r="AI7">
            <v>10000</v>
          </cell>
        </row>
      </sheetData>
      <sheetData sheetId="9699">
        <row r="7">
          <cell r="AI7">
            <v>10000</v>
          </cell>
        </row>
      </sheetData>
      <sheetData sheetId="9700">
        <row r="7">
          <cell r="AI7">
            <v>10000</v>
          </cell>
        </row>
      </sheetData>
      <sheetData sheetId="9701">
        <row r="7">
          <cell r="AI7">
            <v>10000</v>
          </cell>
        </row>
      </sheetData>
      <sheetData sheetId="9702">
        <row r="7">
          <cell r="AI7">
            <v>10000</v>
          </cell>
        </row>
      </sheetData>
      <sheetData sheetId="9703">
        <row r="7">
          <cell r="AI7">
            <v>10000</v>
          </cell>
        </row>
      </sheetData>
      <sheetData sheetId="9704">
        <row r="7">
          <cell r="AI7">
            <v>10000</v>
          </cell>
        </row>
      </sheetData>
      <sheetData sheetId="9705">
        <row r="7">
          <cell r="AI7">
            <v>10000</v>
          </cell>
        </row>
      </sheetData>
      <sheetData sheetId="9706">
        <row r="7">
          <cell r="AI7">
            <v>10000</v>
          </cell>
        </row>
      </sheetData>
      <sheetData sheetId="9707">
        <row r="7">
          <cell r="AI7">
            <v>10000</v>
          </cell>
        </row>
      </sheetData>
      <sheetData sheetId="9708">
        <row r="7">
          <cell r="AI7">
            <v>10000</v>
          </cell>
        </row>
      </sheetData>
      <sheetData sheetId="9709">
        <row r="7">
          <cell r="AI7">
            <v>10000</v>
          </cell>
        </row>
      </sheetData>
      <sheetData sheetId="9710">
        <row r="7">
          <cell r="AI7">
            <v>10000</v>
          </cell>
        </row>
      </sheetData>
      <sheetData sheetId="9711">
        <row r="7">
          <cell r="AI7">
            <v>10000</v>
          </cell>
        </row>
      </sheetData>
      <sheetData sheetId="9712">
        <row r="7">
          <cell r="AI7">
            <v>10000</v>
          </cell>
        </row>
      </sheetData>
      <sheetData sheetId="9713">
        <row r="7">
          <cell r="AI7">
            <v>10000</v>
          </cell>
        </row>
      </sheetData>
      <sheetData sheetId="9714">
        <row r="7">
          <cell r="AI7">
            <v>10000</v>
          </cell>
        </row>
      </sheetData>
      <sheetData sheetId="9715">
        <row r="7">
          <cell r="AI7">
            <v>10000</v>
          </cell>
        </row>
      </sheetData>
      <sheetData sheetId="9716">
        <row r="7">
          <cell r="AI7">
            <v>10000</v>
          </cell>
        </row>
      </sheetData>
      <sheetData sheetId="9717">
        <row r="7">
          <cell r="AI7">
            <v>10000</v>
          </cell>
        </row>
      </sheetData>
      <sheetData sheetId="9718">
        <row r="7">
          <cell r="AI7">
            <v>10000</v>
          </cell>
        </row>
      </sheetData>
      <sheetData sheetId="9719">
        <row r="7">
          <cell r="AI7">
            <v>10000</v>
          </cell>
        </row>
      </sheetData>
      <sheetData sheetId="9720">
        <row r="7">
          <cell r="AI7">
            <v>10000</v>
          </cell>
        </row>
      </sheetData>
      <sheetData sheetId="9721">
        <row r="7">
          <cell r="AI7">
            <v>10000</v>
          </cell>
        </row>
      </sheetData>
      <sheetData sheetId="9722">
        <row r="7">
          <cell r="AI7">
            <v>10000</v>
          </cell>
        </row>
      </sheetData>
      <sheetData sheetId="9723">
        <row r="7">
          <cell r="AI7">
            <v>10000</v>
          </cell>
        </row>
      </sheetData>
      <sheetData sheetId="9724">
        <row r="7">
          <cell r="AI7">
            <v>10000</v>
          </cell>
        </row>
      </sheetData>
      <sheetData sheetId="9725">
        <row r="7">
          <cell r="AI7">
            <v>10000</v>
          </cell>
        </row>
      </sheetData>
      <sheetData sheetId="9726">
        <row r="7">
          <cell r="AI7">
            <v>10000</v>
          </cell>
        </row>
      </sheetData>
      <sheetData sheetId="9727">
        <row r="7">
          <cell r="AI7">
            <v>10000</v>
          </cell>
        </row>
      </sheetData>
      <sheetData sheetId="9728">
        <row r="7">
          <cell r="AI7">
            <v>10000</v>
          </cell>
        </row>
      </sheetData>
      <sheetData sheetId="9729">
        <row r="7">
          <cell r="AI7">
            <v>10000</v>
          </cell>
        </row>
      </sheetData>
      <sheetData sheetId="9730">
        <row r="7">
          <cell r="AI7">
            <v>10000</v>
          </cell>
        </row>
      </sheetData>
      <sheetData sheetId="9731">
        <row r="7">
          <cell r="AI7">
            <v>10000</v>
          </cell>
        </row>
      </sheetData>
      <sheetData sheetId="9732">
        <row r="7">
          <cell r="AI7">
            <v>10000</v>
          </cell>
        </row>
      </sheetData>
      <sheetData sheetId="9733">
        <row r="7">
          <cell r="AI7">
            <v>10000</v>
          </cell>
        </row>
      </sheetData>
      <sheetData sheetId="9734">
        <row r="7">
          <cell r="AI7">
            <v>10000</v>
          </cell>
        </row>
      </sheetData>
      <sheetData sheetId="9735">
        <row r="7">
          <cell r="AI7">
            <v>10000</v>
          </cell>
        </row>
      </sheetData>
      <sheetData sheetId="9736">
        <row r="7">
          <cell r="AI7">
            <v>10000</v>
          </cell>
        </row>
      </sheetData>
      <sheetData sheetId="9737">
        <row r="7">
          <cell r="AI7">
            <v>10000</v>
          </cell>
        </row>
      </sheetData>
      <sheetData sheetId="9738">
        <row r="7">
          <cell r="AI7">
            <v>10000</v>
          </cell>
        </row>
      </sheetData>
      <sheetData sheetId="9739">
        <row r="7">
          <cell r="AI7">
            <v>10000</v>
          </cell>
        </row>
      </sheetData>
      <sheetData sheetId="9740">
        <row r="7">
          <cell r="AI7">
            <v>10000</v>
          </cell>
        </row>
      </sheetData>
      <sheetData sheetId="9741">
        <row r="7">
          <cell r="AI7">
            <v>10000</v>
          </cell>
        </row>
      </sheetData>
      <sheetData sheetId="9742">
        <row r="7">
          <cell r="AI7">
            <v>10000</v>
          </cell>
        </row>
      </sheetData>
      <sheetData sheetId="9743">
        <row r="7">
          <cell r="AI7">
            <v>10000</v>
          </cell>
        </row>
      </sheetData>
      <sheetData sheetId="9744">
        <row r="7">
          <cell r="AI7">
            <v>10000</v>
          </cell>
        </row>
      </sheetData>
      <sheetData sheetId="9745">
        <row r="7">
          <cell r="AI7">
            <v>10000</v>
          </cell>
        </row>
      </sheetData>
      <sheetData sheetId="9746">
        <row r="7">
          <cell r="AI7">
            <v>10000</v>
          </cell>
        </row>
      </sheetData>
      <sheetData sheetId="9747">
        <row r="7">
          <cell r="AI7">
            <v>10000</v>
          </cell>
        </row>
      </sheetData>
      <sheetData sheetId="9748">
        <row r="7">
          <cell r="AI7">
            <v>10000</v>
          </cell>
        </row>
      </sheetData>
      <sheetData sheetId="9749">
        <row r="7">
          <cell r="AI7">
            <v>10000</v>
          </cell>
        </row>
      </sheetData>
      <sheetData sheetId="9750">
        <row r="7">
          <cell r="AI7">
            <v>10000</v>
          </cell>
        </row>
      </sheetData>
      <sheetData sheetId="9751">
        <row r="7">
          <cell r="AI7">
            <v>10000</v>
          </cell>
        </row>
      </sheetData>
      <sheetData sheetId="9752">
        <row r="7">
          <cell r="AI7">
            <v>10000</v>
          </cell>
        </row>
      </sheetData>
      <sheetData sheetId="9753">
        <row r="7">
          <cell r="AI7">
            <v>10000</v>
          </cell>
        </row>
      </sheetData>
      <sheetData sheetId="9754">
        <row r="7">
          <cell r="AI7">
            <v>10000</v>
          </cell>
        </row>
      </sheetData>
      <sheetData sheetId="9755">
        <row r="7">
          <cell r="AI7">
            <v>10000</v>
          </cell>
        </row>
      </sheetData>
      <sheetData sheetId="9756">
        <row r="7">
          <cell r="AI7">
            <v>10000</v>
          </cell>
        </row>
      </sheetData>
      <sheetData sheetId="9757">
        <row r="7">
          <cell r="AI7">
            <v>10000</v>
          </cell>
        </row>
      </sheetData>
      <sheetData sheetId="9758">
        <row r="7">
          <cell r="AI7">
            <v>10000</v>
          </cell>
        </row>
      </sheetData>
      <sheetData sheetId="9759">
        <row r="7">
          <cell r="AI7">
            <v>10000</v>
          </cell>
        </row>
      </sheetData>
      <sheetData sheetId="9760">
        <row r="7">
          <cell r="AI7">
            <v>10000</v>
          </cell>
        </row>
      </sheetData>
      <sheetData sheetId="9761">
        <row r="7">
          <cell r="AI7">
            <v>10000</v>
          </cell>
        </row>
      </sheetData>
      <sheetData sheetId="9762">
        <row r="7">
          <cell r="AI7">
            <v>10000</v>
          </cell>
        </row>
      </sheetData>
      <sheetData sheetId="9763">
        <row r="7">
          <cell r="AI7">
            <v>10000</v>
          </cell>
        </row>
      </sheetData>
      <sheetData sheetId="9764">
        <row r="7">
          <cell r="AI7">
            <v>10000</v>
          </cell>
        </row>
      </sheetData>
      <sheetData sheetId="9765">
        <row r="7">
          <cell r="AI7">
            <v>10000</v>
          </cell>
        </row>
      </sheetData>
      <sheetData sheetId="9766">
        <row r="7">
          <cell r="AI7">
            <v>10000</v>
          </cell>
        </row>
      </sheetData>
      <sheetData sheetId="9767">
        <row r="7">
          <cell r="AI7">
            <v>10000</v>
          </cell>
        </row>
      </sheetData>
      <sheetData sheetId="9768">
        <row r="7">
          <cell r="AI7">
            <v>10000</v>
          </cell>
        </row>
      </sheetData>
      <sheetData sheetId="9769">
        <row r="7">
          <cell r="AI7">
            <v>10000</v>
          </cell>
        </row>
      </sheetData>
      <sheetData sheetId="9770">
        <row r="7">
          <cell r="AI7">
            <v>10000</v>
          </cell>
        </row>
      </sheetData>
      <sheetData sheetId="9771">
        <row r="7">
          <cell r="AI7">
            <v>10000</v>
          </cell>
        </row>
      </sheetData>
      <sheetData sheetId="9772">
        <row r="7">
          <cell r="AI7">
            <v>10000</v>
          </cell>
        </row>
      </sheetData>
      <sheetData sheetId="9773">
        <row r="7">
          <cell r="AI7">
            <v>10000</v>
          </cell>
        </row>
      </sheetData>
      <sheetData sheetId="9774">
        <row r="7">
          <cell r="AI7">
            <v>10000</v>
          </cell>
        </row>
      </sheetData>
      <sheetData sheetId="9775">
        <row r="7">
          <cell r="AI7">
            <v>10000</v>
          </cell>
        </row>
      </sheetData>
      <sheetData sheetId="9776">
        <row r="7">
          <cell r="AI7">
            <v>10000</v>
          </cell>
        </row>
      </sheetData>
      <sheetData sheetId="9777">
        <row r="7">
          <cell r="AI7">
            <v>10000</v>
          </cell>
        </row>
      </sheetData>
      <sheetData sheetId="9778">
        <row r="7">
          <cell r="AI7">
            <v>10000</v>
          </cell>
        </row>
      </sheetData>
      <sheetData sheetId="9779">
        <row r="7">
          <cell r="AI7">
            <v>10000</v>
          </cell>
        </row>
      </sheetData>
      <sheetData sheetId="9780">
        <row r="7">
          <cell r="AI7">
            <v>10000</v>
          </cell>
        </row>
      </sheetData>
      <sheetData sheetId="9781">
        <row r="7">
          <cell r="AI7">
            <v>10000</v>
          </cell>
        </row>
      </sheetData>
      <sheetData sheetId="9782">
        <row r="7">
          <cell r="AI7">
            <v>10000</v>
          </cell>
        </row>
      </sheetData>
      <sheetData sheetId="9783">
        <row r="7">
          <cell r="AI7">
            <v>10000</v>
          </cell>
        </row>
      </sheetData>
      <sheetData sheetId="9784">
        <row r="7">
          <cell r="AI7">
            <v>10000</v>
          </cell>
        </row>
      </sheetData>
      <sheetData sheetId="9785">
        <row r="7">
          <cell r="AI7">
            <v>10000</v>
          </cell>
        </row>
      </sheetData>
      <sheetData sheetId="9786">
        <row r="7">
          <cell r="AI7">
            <v>10000</v>
          </cell>
        </row>
      </sheetData>
      <sheetData sheetId="9787">
        <row r="7">
          <cell r="AI7">
            <v>10000</v>
          </cell>
        </row>
      </sheetData>
      <sheetData sheetId="9788">
        <row r="7">
          <cell r="AI7">
            <v>10000</v>
          </cell>
        </row>
      </sheetData>
      <sheetData sheetId="9789">
        <row r="7">
          <cell r="AI7">
            <v>10000</v>
          </cell>
        </row>
      </sheetData>
      <sheetData sheetId="9790">
        <row r="7">
          <cell r="AI7">
            <v>10000</v>
          </cell>
        </row>
      </sheetData>
      <sheetData sheetId="9791">
        <row r="7">
          <cell r="AI7">
            <v>10000</v>
          </cell>
        </row>
      </sheetData>
      <sheetData sheetId="9792">
        <row r="7">
          <cell r="AI7">
            <v>10000</v>
          </cell>
        </row>
      </sheetData>
      <sheetData sheetId="9793">
        <row r="7">
          <cell r="AI7">
            <v>10000</v>
          </cell>
        </row>
      </sheetData>
      <sheetData sheetId="9794">
        <row r="7">
          <cell r="AI7">
            <v>10000</v>
          </cell>
        </row>
      </sheetData>
      <sheetData sheetId="9795">
        <row r="7">
          <cell r="AI7">
            <v>10000</v>
          </cell>
        </row>
      </sheetData>
      <sheetData sheetId="9796">
        <row r="7">
          <cell r="AI7">
            <v>10000</v>
          </cell>
        </row>
      </sheetData>
      <sheetData sheetId="9797">
        <row r="7">
          <cell r="AI7">
            <v>10000</v>
          </cell>
        </row>
      </sheetData>
      <sheetData sheetId="9798">
        <row r="7">
          <cell r="AI7">
            <v>10000</v>
          </cell>
        </row>
      </sheetData>
      <sheetData sheetId="9799">
        <row r="7">
          <cell r="AI7">
            <v>10000</v>
          </cell>
        </row>
      </sheetData>
      <sheetData sheetId="9800">
        <row r="7">
          <cell r="AI7">
            <v>10000</v>
          </cell>
        </row>
      </sheetData>
      <sheetData sheetId="9801">
        <row r="7">
          <cell r="AI7">
            <v>10000</v>
          </cell>
        </row>
      </sheetData>
      <sheetData sheetId="9802">
        <row r="7">
          <cell r="AI7">
            <v>10000</v>
          </cell>
        </row>
      </sheetData>
      <sheetData sheetId="9803">
        <row r="7">
          <cell r="AI7">
            <v>10000</v>
          </cell>
        </row>
      </sheetData>
      <sheetData sheetId="9804">
        <row r="7">
          <cell r="AI7">
            <v>10000</v>
          </cell>
        </row>
      </sheetData>
      <sheetData sheetId="9805">
        <row r="7">
          <cell r="AI7">
            <v>10000</v>
          </cell>
        </row>
      </sheetData>
      <sheetData sheetId="9806">
        <row r="7">
          <cell r="AI7">
            <v>10000</v>
          </cell>
        </row>
      </sheetData>
      <sheetData sheetId="9807">
        <row r="7">
          <cell r="AI7">
            <v>10000</v>
          </cell>
        </row>
      </sheetData>
      <sheetData sheetId="9808">
        <row r="7">
          <cell r="AI7">
            <v>10000</v>
          </cell>
        </row>
      </sheetData>
      <sheetData sheetId="9809">
        <row r="7">
          <cell r="AI7">
            <v>10000</v>
          </cell>
        </row>
      </sheetData>
      <sheetData sheetId="9810">
        <row r="7">
          <cell r="AI7">
            <v>10000</v>
          </cell>
        </row>
      </sheetData>
      <sheetData sheetId="9811">
        <row r="7">
          <cell r="AI7">
            <v>10000</v>
          </cell>
        </row>
      </sheetData>
      <sheetData sheetId="9812">
        <row r="7">
          <cell r="AI7">
            <v>10000</v>
          </cell>
        </row>
      </sheetData>
      <sheetData sheetId="9813">
        <row r="7">
          <cell r="AI7">
            <v>10000</v>
          </cell>
        </row>
      </sheetData>
      <sheetData sheetId="9814">
        <row r="7">
          <cell r="AI7">
            <v>10000</v>
          </cell>
        </row>
      </sheetData>
      <sheetData sheetId="9815">
        <row r="7">
          <cell r="AI7">
            <v>10000</v>
          </cell>
        </row>
      </sheetData>
      <sheetData sheetId="9816">
        <row r="7">
          <cell r="AI7">
            <v>10000</v>
          </cell>
        </row>
      </sheetData>
      <sheetData sheetId="9817">
        <row r="7">
          <cell r="AI7">
            <v>10000</v>
          </cell>
        </row>
      </sheetData>
      <sheetData sheetId="9818">
        <row r="7">
          <cell r="AI7">
            <v>10000</v>
          </cell>
        </row>
      </sheetData>
      <sheetData sheetId="9819">
        <row r="7">
          <cell r="AI7">
            <v>10000</v>
          </cell>
        </row>
      </sheetData>
      <sheetData sheetId="9820">
        <row r="7">
          <cell r="AI7">
            <v>10000</v>
          </cell>
        </row>
      </sheetData>
      <sheetData sheetId="9821">
        <row r="7">
          <cell r="AI7">
            <v>10000</v>
          </cell>
        </row>
      </sheetData>
      <sheetData sheetId="9822">
        <row r="7">
          <cell r="AI7">
            <v>10000</v>
          </cell>
        </row>
      </sheetData>
      <sheetData sheetId="9823">
        <row r="7">
          <cell r="AI7">
            <v>10000</v>
          </cell>
        </row>
      </sheetData>
      <sheetData sheetId="9824">
        <row r="7">
          <cell r="AI7">
            <v>10000</v>
          </cell>
        </row>
      </sheetData>
      <sheetData sheetId="9825">
        <row r="7">
          <cell r="AI7">
            <v>10000</v>
          </cell>
        </row>
      </sheetData>
      <sheetData sheetId="9826">
        <row r="7">
          <cell r="AI7">
            <v>10000</v>
          </cell>
        </row>
      </sheetData>
      <sheetData sheetId="9827">
        <row r="7">
          <cell r="AI7">
            <v>10000</v>
          </cell>
        </row>
      </sheetData>
      <sheetData sheetId="9828">
        <row r="7">
          <cell r="AI7">
            <v>10000</v>
          </cell>
        </row>
      </sheetData>
      <sheetData sheetId="9829">
        <row r="7">
          <cell r="AI7">
            <v>10000</v>
          </cell>
        </row>
      </sheetData>
      <sheetData sheetId="9830">
        <row r="7">
          <cell r="AI7">
            <v>10000</v>
          </cell>
        </row>
      </sheetData>
      <sheetData sheetId="9831">
        <row r="7">
          <cell r="AI7">
            <v>10000</v>
          </cell>
        </row>
      </sheetData>
      <sheetData sheetId="9832">
        <row r="7">
          <cell r="AI7">
            <v>10000</v>
          </cell>
        </row>
      </sheetData>
      <sheetData sheetId="9833">
        <row r="7">
          <cell r="AI7">
            <v>10000</v>
          </cell>
        </row>
      </sheetData>
      <sheetData sheetId="9834">
        <row r="7">
          <cell r="AI7">
            <v>10000</v>
          </cell>
        </row>
      </sheetData>
      <sheetData sheetId="9835">
        <row r="7">
          <cell r="AI7">
            <v>10000</v>
          </cell>
        </row>
      </sheetData>
      <sheetData sheetId="9836">
        <row r="7">
          <cell r="AI7">
            <v>10000</v>
          </cell>
        </row>
      </sheetData>
      <sheetData sheetId="9837">
        <row r="7">
          <cell r="AI7">
            <v>10000</v>
          </cell>
        </row>
      </sheetData>
      <sheetData sheetId="9838">
        <row r="7">
          <cell r="AI7">
            <v>10000</v>
          </cell>
        </row>
      </sheetData>
      <sheetData sheetId="9839">
        <row r="7">
          <cell r="AI7">
            <v>10000</v>
          </cell>
        </row>
      </sheetData>
      <sheetData sheetId="9840">
        <row r="7">
          <cell r="AI7">
            <v>10000</v>
          </cell>
        </row>
      </sheetData>
      <sheetData sheetId="9841">
        <row r="7">
          <cell r="AI7">
            <v>10000</v>
          </cell>
        </row>
      </sheetData>
      <sheetData sheetId="9842">
        <row r="7">
          <cell r="AI7">
            <v>10000</v>
          </cell>
        </row>
      </sheetData>
      <sheetData sheetId="9843">
        <row r="7">
          <cell r="AI7">
            <v>10000</v>
          </cell>
        </row>
      </sheetData>
      <sheetData sheetId="9844">
        <row r="7">
          <cell r="AI7">
            <v>10000</v>
          </cell>
        </row>
      </sheetData>
      <sheetData sheetId="9845">
        <row r="7">
          <cell r="AI7">
            <v>10000</v>
          </cell>
        </row>
      </sheetData>
      <sheetData sheetId="9846">
        <row r="7">
          <cell r="AI7">
            <v>10000</v>
          </cell>
        </row>
      </sheetData>
      <sheetData sheetId="9847">
        <row r="7">
          <cell r="AI7">
            <v>10000</v>
          </cell>
        </row>
      </sheetData>
      <sheetData sheetId="9848">
        <row r="7">
          <cell r="AI7">
            <v>10000</v>
          </cell>
        </row>
      </sheetData>
      <sheetData sheetId="9849">
        <row r="7">
          <cell r="AI7">
            <v>10000</v>
          </cell>
        </row>
      </sheetData>
      <sheetData sheetId="9850">
        <row r="7">
          <cell r="AI7">
            <v>10000</v>
          </cell>
        </row>
      </sheetData>
      <sheetData sheetId="9851">
        <row r="7">
          <cell r="AI7">
            <v>10000</v>
          </cell>
        </row>
      </sheetData>
      <sheetData sheetId="9852">
        <row r="7">
          <cell r="AI7">
            <v>10000</v>
          </cell>
        </row>
      </sheetData>
      <sheetData sheetId="9853">
        <row r="7">
          <cell r="AI7">
            <v>10000</v>
          </cell>
        </row>
      </sheetData>
      <sheetData sheetId="9854">
        <row r="7">
          <cell r="AI7">
            <v>10000</v>
          </cell>
        </row>
      </sheetData>
      <sheetData sheetId="9855">
        <row r="7">
          <cell r="AI7">
            <v>10000</v>
          </cell>
        </row>
      </sheetData>
      <sheetData sheetId="9856">
        <row r="7">
          <cell r="AI7">
            <v>10000</v>
          </cell>
        </row>
      </sheetData>
      <sheetData sheetId="9857">
        <row r="7">
          <cell r="AI7">
            <v>10000</v>
          </cell>
        </row>
      </sheetData>
      <sheetData sheetId="9858">
        <row r="7">
          <cell r="AI7">
            <v>10000</v>
          </cell>
        </row>
      </sheetData>
      <sheetData sheetId="9859">
        <row r="7">
          <cell r="AI7">
            <v>10000</v>
          </cell>
        </row>
      </sheetData>
      <sheetData sheetId="9860">
        <row r="7">
          <cell r="AI7">
            <v>10000</v>
          </cell>
        </row>
      </sheetData>
      <sheetData sheetId="9861">
        <row r="7">
          <cell r="AI7">
            <v>10000</v>
          </cell>
        </row>
      </sheetData>
      <sheetData sheetId="9862">
        <row r="7">
          <cell r="AI7">
            <v>10000</v>
          </cell>
        </row>
      </sheetData>
      <sheetData sheetId="9863">
        <row r="7">
          <cell r="AI7">
            <v>10000</v>
          </cell>
        </row>
      </sheetData>
      <sheetData sheetId="9864">
        <row r="7">
          <cell r="AI7">
            <v>10000</v>
          </cell>
        </row>
      </sheetData>
      <sheetData sheetId="9865">
        <row r="7">
          <cell r="AI7">
            <v>10000</v>
          </cell>
        </row>
      </sheetData>
      <sheetData sheetId="9866">
        <row r="7">
          <cell r="AI7">
            <v>10000</v>
          </cell>
        </row>
      </sheetData>
      <sheetData sheetId="9867">
        <row r="7">
          <cell r="AI7">
            <v>10000</v>
          </cell>
        </row>
      </sheetData>
      <sheetData sheetId="9868">
        <row r="7">
          <cell r="AI7">
            <v>10000</v>
          </cell>
        </row>
      </sheetData>
      <sheetData sheetId="9869">
        <row r="7">
          <cell r="AI7">
            <v>10000</v>
          </cell>
        </row>
      </sheetData>
      <sheetData sheetId="9870">
        <row r="7">
          <cell r="AI7">
            <v>10000</v>
          </cell>
        </row>
      </sheetData>
      <sheetData sheetId="9871">
        <row r="7">
          <cell r="AI7">
            <v>10000</v>
          </cell>
        </row>
      </sheetData>
      <sheetData sheetId="9872">
        <row r="7">
          <cell r="AI7">
            <v>10000</v>
          </cell>
        </row>
      </sheetData>
      <sheetData sheetId="9873">
        <row r="7">
          <cell r="AI7">
            <v>10000</v>
          </cell>
        </row>
      </sheetData>
      <sheetData sheetId="9874">
        <row r="7">
          <cell r="AI7">
            <v>10000</v>
          </cell>
        </row>
      </sheetData>
      <sheetData sheetId="9875">
        <row r="7">
          <cell r="AI7">
            <v>10000</v>
          </cell>
        </row>
      </sheetData>
      <sheetData sheetId="9876">
        <row r="7">
          <cell r="AI7">
            <v>10000</v>
          </cell>
        </row>
      </sheetData>
      <sheetData sheetId="9877">
        <row r="7">
          <cell r="AI7">
            <v>10000</v>
          </cell>
        </row>
      </sheetData>
      <sheetData sheetId="9878">
        <row r="7">
          <cell r="AI7">
            <v>10000</v>
          </cell>
        </row>
      </sheetData>
      <sheetData sheetId="9879">
        <row r="7">
          <cell r="AI7">
            <v>10000</v>
          </cell>
        </row>
      </sheetData>
      <sheetData sheetId="9880">
        <row r="7">
          <cell r="AI7">
            <v>10000</v>
          </cell>
        </row>
      </sheetData>
      <sheetData sheetId="9881">
        <row r="7">
          <cell r="AI7">
            <v>10000</v>
          </cell>
        </row>
      </sheetData>
      <sheetData sheetId="9882">
        <row r="7">
          <cell r="AI7">
            <v>10000</v>
          </cell>
        </row>
      </sheetData>
      <sheetData sheetId="9883">
        <row r="7">
          <cell r="AI7">
            <v>10000</v>
          </cell>
        </row>
      </sheetData>
      <sheetData sheetId="9884">
        <row r="7">
          <cell r="AI7">
            <v>10000</v>
          </cell>
        </row>
      </sheetData>
      <sheetData sheetId="9885">
        <row r="7">
          <cell r="AI7">
            <v>10000</v>
          </cell>
        </row>
      </sheetData>
      <sheetData sheetId="9886">
        <row r="7">
          <cell r="AI7">
            <v>10000</v>
          </cell>
        </row>
      </sheetData>
      <sheetData sheetId="9887">
        <row r="7">
          <cell r="AI7">
            <v>10000</v>
          </cell>
        </row>
      </sheetData>
      <sheetData sheetId="9888">
        <row r="7">
          <cell r="AI7">
            <v>10000</v>
          </cell>
        </row>
      </sheetData>
      <sheetData sheetId="9889">
        <row r="7">
          <cell r="AI7">
            <v>10000</v>
          </cell>
        </row>
      </sheetData>
      <sheetData sheetId="9890">
        <row r="7">
          <cell r="AI7">
            <v>10000</v>
          </cell>
        </row>
      </sheetData>
      <sheetData sheetId="9891">
        <row r="7">
          <cell r="AI7">
            <v>10000</v>
          </cell>
        </row>
      </sheetData>
      <sheetData sheetId="9892">
        <row r="7">
          <cell r="AI7">
            <v>10000</v>
          </cell>
        </row>
      </sheetData>
      <sheetData sheetId="9893">
        <row r="7">
          <cell r="AI7">
            <v>10000</v>
          </cell>
        </row>
      </sheetData>
      <sheetData sheetId="9894">
        <row r="7">
          <cell r="AI7">
            <v>10000</v>
          </cell>
        </row>
      </sheetData>
      <sheetData sheetId="9895">
        <row r="7">
          <cell r="AI7">
            <v>10000</v>
          </cell>
        </row>
      </sheetData>
      <sheetData sheetId="9896">
        <row r="7">
          <cell r="AI7">
            <v>10000</v>
          </cell>
        </row>
      </sheetData>
      <sheetData sheetId="9897">
        <row r="7">
          <cell r="AI7">
            <v>10000</v>
          </cell>
        </row>
      </sheetData>
      <sheetData sheetId="9898">
        <row r="7">
          <cell r="AI7">
            <v>10000</v>
          </cell>
        </row>
      </sheetData>
      <sheetData sheetId="9899">
        <row r="7">
          <cell r="AI7">
            <v>10000</v>
          </cell>
        </row>
      </sheetData>
      <sheetData sheetId="9900">
        <row r="7">
          <cell r="AI7">
            <v>10000</v>
          </cell>
        </row>
      </sheetData>
      <sheetData sheetId="9901">
        <row r="7">
          <cell r="AI7">
            <v>10000</v>
          </cell>
        </row>
      </sheetData>
      <sheetData sheetId="9902">
        <row r="7">
          <cell r="AI7">
            <v>10000</v>
          </cell>
        </row>
      </sheetData>
      <sheetData sheetId="9903">
        <row r="7">
          <cell r="AI7">
            <v>10000</v>
          </cell>
        </row>
      </sheetData>
      <sheetData sheetId="9904">
        <row r="7">
          <cell r="AI7">
            <v>10000</v>
          </cell>
        </row>
      </sheetData>
      <sheetData sheetId="9905">
        <row r="7">
          <cell r="AI7">
            <v>10000</v>
          </cell>
        </row>
      </sheetData>
      <sheetData sheetId="9906">
        <row r="7">
          <cell r="AI7">
            <v>10000</v>
          </cell>
        </row>
      </sheetData>
      <sheetData sheetId="9907">
        <row r="7">
          <cell r="AI7">
            <v>10000</v>
          </cell>
        </row>
      </sheetData>
      <sheetData sheetId="9908">
        <row r="7">
          <cell r="AI7">
            <v>10000</v>
          </cell>
        </row>
      </sheetData>
      <sheetData sheetId="9909">
        <row r="7">
          <cell r="AI7">
            <v>10000</v>
          </cell>
        </row>
      </sheetData>
      <sheetData sheetId="9910">
        <row r="7">
          <cell r="AI7">
            <v>10000</v>
          </cell>
        </row>
      </sheetData>
      <sheetData sheetId="9911">
        <row r="7">
          <cell r="AI7">
            <v>10000</v>
          </cell>
        </row>
      </sheetData>
      <sheetData sheetId="9912">
        <row r="7">
          <cell r="AI7">
            <v>10000</v>
          </cell>
        </row>
      </sheetData>
      <sheetData sheetId="9913">
        <row r="7">
          <cell r="AI7">
            <v>10000</v>
          </cell>
        </row>
      </sheetData>
      <sheetData sheetId="9914">
        <row r="7">
          <cell r="AI7">
            <v>10000</v>
          </cell>
        </row>
      </sheetData>
      <sheetData sheetId="9915">
        <row r="7">
          <cell r="AI7">
            <v>10000</v>
          </cell>
        </row>
      </sheetData>
      <sheetData sheetId="9916">
        <row r="7">
          <cell r="AI7">
            <v>10000</v>
          </cell>
        </row>
      </sheetData>
      <sheetData sheetId="9917">
        <row r="7">
          <cell r="AI7">
            <v>10000</v>
          </cell>
        </row>
      </sheetData>
      <sheetData sheetId="9918">
        <row r="7">
          <cell r="AI7">
            <v>10000</v>
          </cell>
        </row>
      </sheetData>
      <sheetData sheetId="9919">
        <row r="7">
          <cell r="AI7">
            <v>10000</v>
          </cell>
        </row>
      </sheetData>
      <sheetData sheetId="9920">
        <row r="7">
          <cell r="AI7">
            <v>10000</v>
          </cell>
        </row>
      </sheetData>
      <sheetData sheetId="9921">
        <row r="7">
          <cell r="AI7">
            <v>10000</v>
          </cell>
        </row>
      </sheetData>
      <sheetData sheetId="9922">
        <row r="7">
          <cell r="AI7">
            <v>10000</v>
          </cell>
        </row>
      </sheetData>
      <sheetData sheetId="9923">
        <row r="7">
          <cell r="AI7">
            <v>10000</v>
          </cell>
        </row>
      </sheetData>
      <sheetData sheetId="9924">
        <row r="7">
          <cell r="AI7">
            <v>10000</v>
          </cell>
        </row>
      </sheetData>
      <sheetData sheetId="9925">
        <row r="7">
          <cell r="AI7">
            <v>10000</v>
          </cell>
        </row>
      </sheetData>
      <sheetData sheetId="9926">
        <row r="7">
          <cell r="AI7">
            <v>10000</v>
          </cell>
        </row>
      </sheetData>
      <sheetData sheetId="9927">
        <row r="7">
          <cell r="AI7">
            <v>10000</v>
          </cell>
        </row>
      </sheetData>
      <sheetData sheetId="9928">
        <row r="7">
          <cell r="AI7">
            <v>10000</v>
          </cell>
        </row>
      </sheetData>
      <sheetData sheetId="9929">
        <row r="7">
          <cell r="AI7">
            <v>10000</v>
          </cell>
        </row>
      </sheetData>
      <sheetData sheetId="9930">
        <row r="7">
          <cell r="AI7">
            <v>10000</v>
          </cell>
        </row>
      </sheetData>
      <sheetData sheetId="9931">
        <row r="7">
          <cell r="AI7">
            <v>10000</v>
          </cell>
        </row>
      </sheetData>
      <sheetData sheetId="9932">
        <row r="7">
          <cell r="AI7">
            <v>10000</v>
          </cell>
        </row>
      </sheetData>
      <sheetData sheetId="9933">
        <row r="7">
          <cell r="AI7">
            <v>10000</v>
          </cell>
        </row>
      </sheetData>
      <sheetData sheetId="9934">
        <row r="7">
          <cell r="AI7">
            <v>10000</v>
          </cell>
        </row>
      </sheetData>
      <sheetData sheetId="9935">
        <row r="7">
          <cell r="AI7">
            <v>10000</v>
          </cell>
        </row>
      </sheetData>
      <sheetData sheetId="9936">
        <row r="7">
          <cell r="AI7">
            <v>10000</v>
          </cell>
        </row>
      </sheetData>
      <sheetData sheetId="9937">
        <row r="7">
          <cell r="AI7">
            <v>10000</v>
          </cell>
        </row>
      </sheetData>
      <sheetData sheetId="9938">
        <row r="7">
          <cell r="AI7">
            <v>10000</v>
          </cell>
        </row>
      </sheetData>
      <sheetData sheetId="9939">
        <row r="7">
          <cell r="AI7">
            <v>10000</v>
          </cell>
        </row>
      </sheetData>
      <sheetData sheetId="9940">
        <row r="7">
          <cell r="AI7">
            <v>10000</v>
          </cell>
        </row>
      </sheetData>
      <sheetData sheetId="9941">
        <row r="7">
          <cell r="AI7">
            <v>10000</v>
          </cell>
        </row>
      </sheetData>
      <sheetData sheetId="9942">
        <row r="7">
          <cell r="AI7">
            <v>10000</v>
          </cell>
        </row>
      </sheetData>
      <sheetData sheetId="9943">
        <row r="7">
          <cell r="AI7">
            <v>10000</v>
          </cell>
        </row>
      </sheetData>
      <sheetData sheetId="9944">
        <row r="7">
          <cell r="AI7">
            <v>10000</v>
          </cell>
        </row>
      </sheetData>
      <sheetData sheetId="9945">
        <row r="7">
          <cell r="AI7">
            <v>10000</v>
          </cell>
        </row>
      </sheetData>
      <sheetData sheetId="9946">
        <row r="7">
          <cell r="AI7">
            <v>10000</v>
          </cell>
        </row>
      </sheetData>
      <sheetData sheetId="9947">
        <row r="7">
          <cell r="AI7">
            <v>10000</v>
          </cell>
        </row>
      </sheetData>
      <sheetData sheetId="9948">
        <row r="7">
          <cell r="AI7">
            <v>10000</v>
          </cell>
        </row>
      </sheetData>
      <sheetData sheetId="9949">
        <row r="7">
          <cell r="AI7">
            <v>10000</v>
          </cell>
        </row>
      </sheetData>
      <sheetData sheetId="9950">
        <row r="7">
          <cell r="AI7">
            <v>10000</v>
          </cell>
        </row>
      </sheetData>
      <sheetData sheetId="9951">
        <row r="7">
          <cell r="AI7">
            <v>10000</v>
          </cell>
        </row>
      </sheetData>
      <sheetData sheetId="9952">
        <row r="7">
          <cell r="AI7">
            <v>10000</v>
          </cell>
        </row>
      </sheetData>
      <sheetData sheetId="9953">
        <row r="7">
          <cell r="AI7">
            <v>10000</v>
          </cell>
        </row>
      </sheetData>
      <sheetData sheetId="9954">
        <row r="7">
          <cell r="AI7">
            <v>10000</v>
          </cell>
        </row>
      </sheetData>
      <sheetData sheetId="9955">
        <row r="7">
          <cell r="AI7">
            <v>10000</v>
          </cell>
        </row>
      </sheetData>
      <sheetData sheetId="9956">
        <row r="7">
          <cell r="AI7">
            <v>10000</v>
          </cell>
        </row>
      </sheetData>
      <sheetData sheetId="9957">
        <row r="7">
          <cell r="AI7">
            <v>10000</v>
          </cell>
        </row>
      </sheetData>
      <sheetData sheetId="9958">
        <row r="7">
          <cell r="AI7">
            <v>10000</v>
          </cell>
        </row>
      </sheetData>
      <sheetData sheetId="9959">
        <row r="7">
          <cell r="AI7">
            <v>10000</v>
          </cell>
        </row>
      </sheetData>
      <sheetData sheetId="9960">
        <row r="7">
          <cell r="AI7">
            <v>10000</v>
          </cell>
        </row>
      </sheetData>
      <sheetData sheetId="9961">
        <row r="7">
          <cell r="AI7">
            <v>10000</v>
          </cell>
        </row>
      </sheetData>
      <sheetData sheetId="9962">
        <row r="7">
          <cell r="AI7">
            <v>10000</v>
          </cell>
        </row>
      </sheetData>
      <sheetData sheetId="9963">
        <row r="7">
          <cell r="AI7">
            <v>10000</v>
          </cell>
        </row>
      </sheetData>
      <sheetData sheetId="9964">
        <row r="7">
          <cell r="AI7">
            <v>10000</v>
          </cell>
        </row>
      </sheetData>
      <sheetData sheetId="9965">
        <row r="7">
          <cell r="AI7">
            <v>10000</v>
          </cell>
        </row>
      </sheetData>
      <sheetData sheetId="9966">
        <row r="7">
          <cell r="AI7">
            <v>10000</v>
          </cell>
        </row>
      </sheetData>
      <sheetData sheetId="9967">
        <row r="7">
          <cell r="AI7">
            <v>10000</v>
          </cell>
        </row>
      </sheetData>
      <sheetData sheetId="9968">
        <row r="7">
          <cell r="AI7">
            <v>10000</v>
          </cell>
        </row>
      </sheetData>
      <sheetData sheetId="9969">
        <row r="7">
          <cell r="AI7">
            <v>10000</v>
          </cell>
        </row>
      </sheetData>
      <sheetData sheetId="9970">
        <row r="7">
          <cell r="AI7">
            <v>10000</v>
          </cell>
        </row>
      </sheetData>
      <sheetData sheetId="9971">
        <row r="7">
          <cell r="AI7">
            <v>10000</v>
          </cell>
        </row>
      </sheetData>
      <sheetData sheetId="9972">
        <row r="7">
          <cell r="AI7">
            <v>10000</v>
          </cell>
        </row>
      </sheetData>
      <sheetData sheetId="9973">
        <row r="7">
          <cell r="AI7">
            <v>10000</v>
          </cell>
        </row>
      </sheetData>
      <sheetData sheetId="9974">
        <row r="7">
          <cell r="AI7">
            <v>10000</v>
          </cell>
        </row>
      </sheetData>
      <sheetData sheetId="9975">
        <row r="7">
          <cell r="AI7">
            <v>10000</v>
          </cell>
        </row>
      </sheetData>
      <sheetData sheetId="9976">
        <row r="7">
          <cell r="AI7">
            <v>10000</v>
          </cell>
        </row>
      </sheetData>
      <sheetData sheetId="9977">
        <row r="7">
          <cell r="AI7">
            <v>10000</v>
          </cell>
        </row>
      </sheetData>
      <sheetData sheetId="9978">
        <row r="7">
          <cell r="AI7">
            <v>10000</v>
          </cell>
        </row>
      </sheetData>
      <sheetData sheetId="9979">
        <row r="7">
          <cell r="AI7">
            <v>10000</v>
          </cell>
        </row>
      </sheetData>
      <sheetData sheetId="9980">
        <row r="7">
          <cell r="AI7">
            <v>10000</v>
          </cell>
        </row>
      </sheetData>
      <sheetData sheetId="9981">
        <row r="7">
          <cell r="AI7">
            <v>10000</v>
          </cell>
        </row>
      </sheetData>
      <sheetData sheetId="9982">
        <row r="7">
          <cell r="AI7">
            <v>10000</v>
          </cell>
        </row>
      </sheetData>
      <sheetData sheetId="9983">
        <row r="7">
          <cell r="AI7">
            <v>10000</v>
          </cell>
        </row>
      </sheetData>
      <sheetData sheetId="9984">
        <row r="7">
          <cell r="AI7">
            <v>10000</v>
          </cell>
        </row>
      </sheetData>
      <sheetData sheetId="9985">
        <row r="7">
          <cell r="AI7">
            <v>10000</v>
          </cell>
        </row>
      </sheetData>
      <sheetData sheetId="9986">
        <row r="7">
          <cell r="AI7">
            <v>10000</v>
          </cell>
        </row>
      </sheetData>
      <sheetData sheetId="9987">
        <row r="7">
          <cell r="AI7">
            <v>10000</v>
          </cell>
        </row>
      </sheetData>
      <sheetData sheetId="9988">
        <row r="7">
          <cell r="AI7">
            <v>10000</v>
          </cell>
        </row>
      </sheetData>
      <sheetData sheetId="9989">
        <row r="7">
          <cell r="AI7">
            <v>10000</v>
          </cell>
        </row>
      </sheetData>
      <sheetData sheetId="9990">
        <row r="7">
          <cell r="AI7">
            <v>10000</v>
          </cell>
        </row>
      </sheetData>
      <sheetData sheetId="9991">
        <row r="7">
          <cell r="AI7">
            <v>10000</v>
          </cell>
        </row>
      </sheetData>
      <sheetData sheetId="9992">
        <row r="7">
          <cell r="AI7">
            <v>10000</v>
          </cell>
        </row>
      </sheetData>
      <sheetData sheetId="9993">
        <row r="7">
          <cell r="AI7">
            <v>10000</v>
          </cell>
        </row>
      </sheetData>
      <sheetData sheetId="9994">
        <row r="7">
          <cell r="AI7">
            <v>10000</v>
          </cell>
        </row>
      </sheetData>
      <sheetData sheetId="9995">
        <row r="7">
          <cell r="AI7">
            <v>10000</v>
          </cell>
        </row>
      </sheetData>
      <sheetData sheetId="9996">
        <row r="7">
          <cell r="AI7">
            <v>10000</v>
          </cell>
        </row>
      </sheetData>
      <sheetData sheetId="9997">
        <row r="7">
          <cell r="AI7">
            <v>10000</v>
          </cell>
        </row>
      </sheetData>
      <sheetData sheetId="9998">
        <row r="7">
          <cell r="AI7">
            <v>10000</v>
          </cell>
        </row>
      </sheetData>
      <sheetData sheetId="9999">
        <row r="7">
          <cell r="AI7">
            <v>10000</v>
          </cell>
        </row>
      </sheetData>
      <sheetData sheetId="10000">
        <row r="7">
          <cell r="AI7">
            <v>10000</v>
          </cell>
        </row>
      </sheetData>
      <sheetData sheetId="10001">
        <row r="7">
          <cell r="AI7">
            <v>10000</v>
          </cell>
        </row>
      </sheetData>
      <sheetData sheetId="10002">
        <row r="7">
          <cell r="AI7">
            <v>10000</v>
          </cell>
        </row>
      </sheetData>
      <sheetData sheetId="10003">
        <row r="7">
          <cell r="AI7">
            <v>10000</v>
          </cell>
        </row>
      </sheetData>
      <sheetData sheetId="10004">
        <row r="7">
          <cell r="AI7">
            <v>10000</v>
          </cell>
        </row>
      </sheetData>
      <sheetData sheetId="10005">
        <row r="7">
          <cell r="AI7">
            <v>10000</v>
          </cell>
        </row>
      </sheetData>
      <sheetData sheetId="10006">
        <row r="7">
          <cell r="AI7">
            <v>10000</v>
          </cell>
        </row>
      </sheetData>
      <sheetData sheetId="10007">
        <row r="7">
          <cell r="AI7">
            <v>10000</v>
          </cell>
        </row>
      </sheetData>
      <sheetData sheetId="10008">
        <row r="7">
          <cell r="AI7">
            <v>10000</v>
          </cell>
        </row>
      </sheetData>
      <sheetData sheetId="10009">
        <row r="7">
          <cell r="AI7">
            <v>10000</v>
          </cell>
        </row>
      </sheetData>
      <sheetData sheetId="10010">
        <row r="7">
          <cell r="AI7">
            <v>10000</v>
          </cell>
        </row>
      </sheetData>
      <sheetData sheetId="10011">
        <row r="7">
          <cell r="AI7">
            <v>10000</v>
          </cell>
        </row>
      </sheetData>
      <sheetData sheetId="10012">
        <row r="7">
          <cell r="AI7">
            <v>10000</v>
          </cell>
        </row>
      </sheetData>
      <sheetData sheetId="10013">
        <row r="7">
          <cell r="AI7">
            <v>10000</v>
          </cell>
        </row>
      </sheetData>
      <sheetData sheetId="10014">
        <row r="7">
          <cell r="AI7">
            <v>10000</v>
          </cell>
        </row>
      </sheetData>
      <sheetData sheetId="10015">
        <row r="7">
          <cell r="AI7">
            <v>10000</v>
          </cell>
        </row>
      </sheetData>
      <sheetData sheetId="10016">
        <row r="7">
          <cell r="AI7">
            <v>10000</v>
          </cell>
        </row>
      </sheetData>
      <sheetData sheetId="10017">
        <row r="7">
          <cell r="AI7">
            <v>10000</v>
          </cell>
        </row>
      </sheetData>
      <sheetData sheetId="10018">
        <row r="7">
          <cell r="AI7">
            <v>10000</v>
          </cell>
        </row>
      </sheetData>
      <sheetData sheetId="10019">
        <row r="7">
          <cell r="AI7">
            <v>10000</v>
          </cell>
        </row>
      </sheetData>
      <sheetData sheetId="10020">
        <row r="7">
          <cell r="AI7">
            <v>10000</v>
          </cell>
        </row>
      </sheetData>
      <sheetData sheetId="10021">
        <row r="7">
          <cell r="AI7">
            <v>10000</v>
          </cell>
        </row>
      </sheetData>
      <sheetData sheetId="10022">
        <row r="7">
          <cell r="AI7">
            <v>10000</v>
          </cell>
        </row>
      </sheetData>
      <sheetData sheetId="10023">
        <row r="7">
          <cell r="AI7">
            <v>10000</v>
          </cell>
        </row>
      </sheetData>
      <sheetData sheetId="10024">
        <row r="7">
          <cell r="AI7">
            <v>10000</v>
          </cell>
        </row>
      </sheetData>
      <sheetData sheetId="10025">
        <row r="7">
          <cell r="AI7">
            <v>10000</v>
          </cell>
        </row>
      </sheetData>
      <sheetData sheetId="10026">
        <row r="7">
          <cell r="AI7">
            <v>10000</v>
          </cell>
        </row>
      </sheetData>
      <sheetData sheetId="10027">
        <row r="7">
          <cell r="AI7">
            <v>10000</v>
          </cell>
        </row>
      </sheetData>
      <sheetData sheetId="10028">
        <row r="7">
          <cell r="AI7">
            <v>10000</v>
          </cell>
        </row>
      </sheetData>
      <sheetData sheetId="10029">
        <row r="7">
          <cell r="AI7">
            <v>10000</v>
          </cell>
        </row>
      </sheetData>
      <sheetData sheetId="10030">
        <row r="7">
          <cell r="AI7">
            <v>10000</v>
          </cell>
        </row>
      </sheetData>
      <sheetData sheetId="10031">
        <row r="7">
          <cell r="AI7">
            <v>10000</v>
          </cell>
        </row>
      </sheetData>
      <sheetData sheetId="10032">
        <row r="7">
          <cell r="AI7">
            <v>10000</v>
          </cell>
        </row>
      </sheetData>
      <sheetData sheetId="10033">
        <row r="7">
          <cell r="AI7">
            <v>10000</v>
          </cell>
        </row>
      </sheetData>
      <sheetData sheetId="10034">
        <row r="7">
          <cell r="AI7">
            <v>10000</v>
          </cell>
        </row>
      </sheetData>
      <sheetData sheetId="10035">
        <row r="7">
          <cell r="AI7">
            <v>10000</v>
          </cell>
        </row>
      </sheetData>
      <sheetData sheetId="10036">
        <row r="7">
          <cell r="AI7">
            <v>10000</v>
          </cell>
        </row>
      </sheetData>
      <sheetData sheetId="10037">
        <row r="7">
          <cell r="AI7">
            <v>10000</v>
          </cell>
        </row>
      </sheetData>
      <sheetData sheetId="10038">
        <row r="7">
          <cell r="AI7">
            <v>10000</v>
          </cell>
        </row>
      </sheetData>
      <sheetData sheetId="10039">
        <row r="7">
          <cell r="AI7">
            <v>10000</v>
          </cell>
        </row>
      </sheetData>
      <sheetData sheetId="10040">
        <row r="7">
          <cell r="AI7">
            <v>10000</v>
          </cell>
        </row>
      </sheetData>
      <sheetData sheetId="10041">
        <row r="7">
          <cell r="AI7">
            <v>10000</v>
          </cell>
        </row>
      </sheetData>
      <sheetData sheetId="10042">
        <row r="7">
          <cell r="AI7">
            <v>10000</v>
          </cell>
        </row>
      </sheetData>
      <sheetData sheetId="10043">
        <row r="7">
          <cell r="AI7">
            <v>10000</v>
          </cell>
        </row>
      </sheetData>
      <sheetData sheetId="10044">
        <row r="7">
          <cell r="AI7">
            <v>10000</v>
          </cell>
        </row>
      </sheetData>
      <sheetData sheetId="10045">
        <row r="7">
          <cell r="AI7">
            <v>10000</v>
          </cell>
        </row>
      </sheetData>
      <sheetData sheetId="10046">
        <row r="7">
          <cell r="AI7">
            <v>10000</v>
          </cell>
        </row>
      </sheetData>
      <sheetData sheetId="10047">
        <row r="7">
          <cell r="AI7">
            <v>10000</v>
          </cell>
        </row>
      </sheetData>
      <sheetData sheetId="10048">
        <row r="7">
          <cell r="AI7">
            <v>10000</v>
          </cell>
        </row>
      </sheetData>
      <sheetData sheetId="10049">
        <row r="7">
          <cell r="AI7">
            <v>10000</v>
          </cell>
        </row>
      </sheetData>
      <sheetData sheetId="10050">
        <row r="7">
          <cell r="AI7">
            <v>10000</v>
          </cell>
        </row>
      </sheetData>
      <sheetData sheetId="10051">
        <row r="7">
          <cell r="AI7">
            <v>10000</v>
          </cell>
        </row>
      </sheetData>
      <sheetData sheetId="10052">
        <row r="7">
          <cell r="AI7">
            <v>10000</v>
          </cell>
        </row>
      </sheetData>
      <sheetData sheetId="10053">
        <row r="7">
          <cell r="AI7">
            <v>10000</v>
          </cell>
        </row>
      </sheetData>
      <sheetData sheetId="10054">
        <row r="7">
          <cell r="AI7">
            <v>10000</v>
          </cell>
        </row>
      </sheetData>
      <sheetData sheetId="10055">
        <row r="7">
          <cell r="AI7">
            <v>10000</v>
          </cell>
        </row>
      </sheetData>
      <sheetData sheetId="10056">
        <row r="7">
          <cell r="AI7">
            <v>10000</v>
          </cell>
        </row>
      </sheetData>
      <sheetData sheetId="10057">
        <row r="7">
          <cell r="AI7">
            <v>10000</v>
          </cell>
        </row>
      </sheetData>
      <sheetData sheetId="10058">
        <row r="7">
          <cell r="AI7">
            <v>10000</v>
          </cell>
        </row>
      </sheetData>
      <sheetData sheetId="10059">
        <row r="7">
          <cell r="AI7">
            <v>10000</v>
          </cell>
        </row>
      </sheetData>
      <sheetData sheetId="10060">
        <row r="7">
          <cell r="AI7">
            <v>10000</v>
          </cell>
        </row>
      </sheetData>
      <sheetData sheetId="10061">
        <row r="7">
          <cell r="AI7">
            <v>10000</v>
          </cell>
        </row>
      </sheetData>
      <sheetData sheetId="10062">
        <row r="7">
          <cell r="AI7">
            <v>10000</v>
          </cell>
        </row>
      </sheetData>
      <sheetData sheetId="10063">
        <row r="7">
          <cell r="AI7">
            <v>10000</v>
          </cell>
        </row>
      </sheetData>
      <sheetData sheetId="10064">
        <row r="7">
          <cell r="AI7">
            <v>10000</v>
          </cell>
        </row>
      </sheetData>
      <sheetData sheetId="10065">
        <row r="7">
          <cell r="AI7">
            <v>10000</v>
          </cell>
        </row>
      </sheetData>
      <sheetData sheetId="10066">
        <row r="7">
          <cell r="AI7">
            <v>10000</v>
          </cell>
        </row>
      </sheetData>
      <sheetData sheetId="10067">
        <row r="7">
          <cell r="AI7">
            <v>10000</v>
          </cell>
        </row>
      </sheetData>
      <sheetData sheetId="10068">
        <row r="7">
          <cell r="AI7">
            <v>10000</v>
          </cell>
        </row>
      </sheetData>
      <sheetData sheetId="10069">
        <row r="7">
          <cell r="AI7">
            <v>10000</v>
          </cell>
        </row>
      </sheetData>
      <sheetData sheetId="10070">
        <row r="7">
          <cell r="AI7">
            <v>10000</v>
          </cell>
        </row>
      </sheetData>
      <sheetData sheetId="10071">
        <row r="7">
          <cell r="AI7">
            <v>10000</v>
          </cell>
        </row>
      </sheetData>
      <sheetData sheetId="10072">
        <row r="7">
          <cell r="AI7">
            <v>10000</v>
          </cell>
        </row>
      </sheetData>
      <sheetData sheetId="10073">
        <row r="7">
          <cell r="AI7">
            <v>10000</v>
          </cell>
        </row>
      </sheetData>
      <sheetData sheetId="10074">
        <row r="7">
          <cell r="AI7">
            <v>10000</v>
          </cell>
        </row>
      </sheetData>
      <sheetData sheetId="10075">
        <row r="7">
          <cell r="AI7">
            <v>10000</v>
          </cell>
        </row>
      </sheetData>
      <sheetData sheetId="10076">
        <row r="7">
          <cell r="AI7">
            <v>10000</v>
          </cell>
        </row>
      </sheetData>
      <sheetData sheetId="10077">
        <row r="7">
          <cell r="AI7">
            <v>10000</v>
          </cell>
        </row>
      </sheetData>
      <sheetData sheetId="10078">
        <row r="7">
          <cell r="AI7">
            <v>10000</v>
          </cell>
        </row>
      </sheetData>
      <sheetData sheetId="10079">
        <row r="7">
          <cell r="AI7">
            <v>10000</v>
          </cell>
        </row>
      </sheetData>
      <sheetData sheetId="10080">
        <row r="7">
          <cell r="AI7">
            <v>10000</v>
          </cell>
        </row>
      </sheetData>
      <sheetData sheetId="10081">
        <row r="7">
          <cell r="AI7">
            <v>10000</v>
          </cell>
        </row>
      </sheetData>
      <sheetData sheetId="10082">
        <row r="7">
          <cell r="AI7">
            <v>10000</v>
          </cell>
        </row>
      </sheetData>
      <sheetData sheetId="10083">
        <row r="7">
          <cell r="AI7">
            <v>10000</v>
          </cell>
        </row>
      </sheetData>
      <sheetData sheetId="10084">
        <row r="7">
          <cell r="AI7">
            <v>10000</v>
          </cell>
        </row>
      </sheetData>
      <sheetData sheetId="10085">
        <row r="7">
          <cell r="AI7">
            <v>10000</v>
          </cell>
        </row>
      </sheetData>
      <sheetData sheetId="10086">
        <row r="7">
          <cell r="AI7">
            <v>10000</v>
          </cell>
        </row>
      </sheetData>
      <sheetData sheetId="10087">
        <row r="7">
          <cell r="AI7">
            <v>10000</v>
          </cell>
        </row>
      </sheetData>
      <sheetData sheetId="10088">
        <row r="7">
          <cell r="AI7">
            <v>10000</v>
          </cell>
        </row>
      </sheetData>
      <sheetData sheetId="10089">
        <row r="7">
          <cell r="AI7">
            <v>10000</v>
          </cell>
        </row>
      </sheetData>
      <sheetData sheetId="10090">
        <row r="7">
          <cell r="AI7">
            <v>10000</v>
          </cell>
        </row>
      </sheetData>
      <sheetData sheetId="10091">
        <row r="7">
          <cell r="AI7">
            <v>10000</v>
          </cell>
        </row>
      </sheetData>
      <sheetData sheetId="10092">
        <row r="7">
          <cell r="AI7">
            <v>10000</v>
          </cell>
        </row>
      </sheetData>
      <sheetData sheetId="10093">
        <row r="7">
          <cell r="AI7">
            <v>10000</v>
          </cell>
        </row>
      </sheetData>
      <sheetData sheetId="10094">
        <row r="7">
          <cell r="AI7">
            <v>10000</v>
          </cell>
        </row>
      </sheetData>
      <sheetData sheetId="10095">
        <row r="7">
          <cell r="AI7">
            <v>10000</v>
          </cell>
        </row>
      </sheetData>
      <sheetData sheetId="10096">
        <row r="7">
          <cell r="AI7">
            <v>10000</v>
          </cell>
        </row>
      </sheetData>
      <sheetData sheetId="10097">
        <row r="7">
          <cell r="AI7">
            <v>10000</v>
          </cell>
        </row>
      </sheetData>
      <sheetData sheetId="10098">
        <row r="7">
          <cell r="AI7">
            <v>10000</v>
          </cell>
        </row>
      </sheetData>
      <sheetData sheetId="10099">
        <row r="7">
          <cell r="AI7">
            <v>10000</v>
          </cell>
        </row>
      </sheetData>
      <sheetData sheetId="10100">
        <row r="7">
          <cell r="AI7">
            <v>10000</v>
          </cell>
        </row>
      </sheetData>
      <sheetData sheetId="10101">
        <row r="7">
          <cell r="AI7">
            <v>10000</v>
          </cell>
        </row>
      </sheetData>
      <sheetData sheetId="10102">
        <row r="7">
          <cell r="AI7">
            <v>10000</v>
          </cell>
        </row>
      </sheetData>
      <sheetData sheetId="10103">
        <row r="7">
          <cell r="AI7">
            <v>10000</v>
          </cell>
        </row>
      </sheetData>
      <sheetData sheetId="10104">
        <row r="7">
          <cell r="AI7">
            <v>10000</v>
          </cell>
        </row>
      </sheetData>
      <sheetData sheetId="10105">
        <row r="7">
          <cell r="AI7">
            <v>10000</v>
          </cell>
        </row>
      </sheetData>
      <sheetData sheetId="10106">
        <row r="7">
          <cell r="AI7">
            <v>10000</v>
          </cell>
        </row>
      </sheetData>
      <sheetData sheetId="10107">
        <row r="7">
          <cell r="AI7">
            <v>10000</v>
          </cell>
        </row>
      </sheetData>
      <sheetData sheetId="10108">
        <row r="7">
          <cell r="AI7">
            <v>10000</v>
          </cell>
        </row>
      </sheetData>
      <sheetData sheetId="10109">
        <row r="7">
          <cell r="AI7">
            <v>10000</v>
          </cell>
        </row>
      </sheetData>
      <sheetData sheetId="10110">
        <row r="7">
          <cell r="AI7">
            <v>10000</v>
          </cell>
        </row>
      </sheetData>
      <sheetData sheetId="10111">
        <row r="7">
          <cell r="AI7">
            <v>10000</v>
          </cell>
        </row>
      </sheetData>
      <sheetData sheetId="10112">
        <row r="7">
          <cell r="AI7">
            <v>10000</v>
          </cell>
        </row>
      </sheetData>
      <sheetData sheetId="10113">
        <row r="7">
          <cell r="AI7">
            <v>10000</v>
          </cell>
        </row>
      </sheetData>
      <sheetData sheetId="10114">
        <row r="7">
          <cell r="AI7">
            <v>10000</v>
          </cell>
        </row>
      </sheetData>
      <sheetData sheetId="10115">
        <row r="7">
          <cell r="AI7">
            <v>10000</v>
          </cell>
        </row>
      </sheetData>
      <sheetData sheetId="10116">
        <row r="7">
          <cell r="AI7">
            <v>10000</v>
          </cell>
        </row>
      </sheetData>
      <sheetData sheetId="10117">
        <row r="7">
          <cell r="AI7">
            <v>10000</v>
          </cell>
        </row>
      </sheetData>
      <sheetData sheetId="10118">
        <row r="7">
          <cell r="AI7">
            <v>10000</v>
          </cell>
        </row>
      </sheetData>
      <sheetData sheetId="10119">
        <row r="7">
          <cell r="AI7">
            <v>10000</v>
          </cell>
        </row>
      </sheetData>
      <sheetData sheetId="10120">
        <row r="7">
          <cell r="AI7">
            <v>10000</v>
          </cell>
        </row>
      </sheetData>
      <sheetData sheetId="10121">
        <row r="7">
          <cell r="AI7">
            <v>10000</v>
          </cell>
        </row>
      </sheetData>
      <sheetData sheetId="10122">
        <row r="7">
          <cell r="AI7">
            <v>10000</v>
          </cell>
        </row>
      </sheetData>
      <sheetData sheetId="10123">
        <row r="7">
          <cell r="AI7">
            <v>10000</v>
          </cell>
        </row>
      </sheetData>
      <sheetData sheetId="10124">
        <row r="7">
          <cell r="AI7">
            <v>10000</v>
          </cell>
        </row>
      </sheetData>
      <sheetData sheetId="10125">
        <row r="7">
          <cell r="AI7">
            <v>10000</v>
          </cell>
        </row>
      </sheetData>
      <sheetData sheetId="10126">
        <row r="7">
          <cell r="AI7">
            <v>10000</v>
          </cell>
        </row>
      </sheetData>
      <sheetData sheetId="10127">
        <row r="7">
          <cell r="AI7">
            <v>10000</v>
          </cell>
        </row>
      </sheetData>
      <sheetData sheetId="10128">
        <row r="7">
          <cell r="AI7">
            <v>10000</v>
          </cell>
        </row>
      </sheetData>
      <sheetData sheetId="10129">
        <row r="7">
          <cell r="AI7">
            <v>10000</v>
          </cell>
        </row>
      </sheetData>
      <sheetData sheetId="10130">
        <row r="7">
          <cell r="AI7">
            <v>10000</v>
          </cell>
        </row>
      </sheetData>
      <sheetData sheetId="10131">
        <row r="7">
          <cell r="AI7">
            <v>10000</v>
          </cell>
        </row>
      </sheetData>
      <sheetData sheetId="10132">
        <row r="7">
          <cell r="AI7">
            <v>10000</v>
          </cell>
        </row>
      </sheetData>
      <sheetData sheetId="10133">
        <row r="7">
          <cell r="AI7">
            <v>10000</v>
          </cell>
        </row>
      </sheetData>
      <sheetData sheetId="10134">
        <row r="7">
          <cell r="AI7">
            <v>10000</v>
          </cell>
        </row>
      </sheetData>
      <sheetData sheetId="10135">
        <row r="7">
          <cell r="AI7">
            <v>10000</v>
          </cell>
        </row>
      </sheetData>
      <sheetData sheetId="10136">
        <row r="7">
          <cell r="AI7">
            <v>10000</v>
          </cell>
        </row>
      </sheetData>
      <sheetData sheetId="10137">
        <row r="7">
          <cell r="AI7">
            <v>10000</v>
          </cell>
        </row>
      </sheetData>
      <sheetData sheetId="10138">
        <row r="7">
          <cell r="AI7">
            <v>10000</v>
          </cell>
        </row>
      </sheetData>
      <sheetData sheetId="10139">
        <row r="7">
          <cell r="AI7">
            <v>10000</v>
          </cell>
        </row>
      </sheetData>
      <sheetData sheetId="10140">
        <row r="7">
          <cell r="AI7">
            <v>10000</v>
          </cell>
        </row>
      </sheetData>
      <sheetData sheetId="10141">
        <row r="7">
          <cell r="AI7">
            <v>10000</v>
          </cell>
        </row>
      </sheetData>
      <sheetData sheetId="10142">
        <row r="7">
          <cell r="AI7">
            <v>10000</v>
          </cell>
        </row>
      </sheetData>
      <sheetData sheetId="10143">
        <row r="7">
          <cell r="AI7">
            <v>10000</v>
          </cell>
        </row>
      </sheetData>
      <sheetData sheetId="10144">
        <row r="7">
          <cell r="AI7">
            <v>10000</v>
          </cell>
        </row>
      </sheetData>
      <sheetData sheetId="10145">
        <row r="7">
          <cell r="AI7">
            <v>10000</v>
          </cell>
        </row>
      </sheetData>
      <sheetData sheetId="10146">
        <row r="7">
          <cell r="AI7">
            <v>10000</v>
          </cell>
        </row>
      </sheetData>
      <sheetData sheetId="10147">
        <row r="7">
          <cell r="AI7">
            <v>10000</v>
          </cell>
        </row>
      </sheetData>
      <sheetData sheetId="10148">
        <row r="7">
          <cell r="AI7">
            <v>10000</v>
          </cell>
        </row>
      </sheetData>
      <sheetData sheetId="10149">
        <row r="7">
          <cell r="AI7">
            <v>10000</v>
          </cell>
        </row>
      </sheetData>
      <sheetData sheetId="10150">
        <row r="7">
          <cell r="AI7">
            <v>10000</v>
          </cell>
        </row>
      </sheetData>
      <sheetData sheetId="10151">
        <row r="7">
          <cell r="AI7">
            <v>10000</v>
          </cell>
        </row>
      </sheetData>
      <sheetData sheetId="10152">
        <row r="7">
          <cell r="AI7">
            <v>10000</v>
          </cell>
        </row>
      </sheetData>
      <sheetData sheetId="10153">
        <row r="7">
          <cell r="AI7">
            <v>10000</v>
          </cell>
        </row>
      </sheetData>
      <sheetData sheetId="10154">
        <row r="7">
          <cell r="AI7">
            <v>10000</v>
          </cell>
        </row>
      </sheetData>
      <sheetData sheetId="10155">
        <row r="7">
          <cell r="AI7">
            <v>10000</v>
          </cell>
        </row>
      </sheetData>
      <sheetData sheetId="10156">
        <row r="7">
          <cell r="AI7">
            <v>10000</v>
          </cell>
        </row>
      </sheetData>
      <sheetData sheetId="10157">
        <row r="7">
          <cell r="AI7">
            <v>10000</v>
          </cell>
        </row>
      </sheetData>
      <sheetData sheetId="10158">
        <row r="7">
          <cell r="AI7">
            <v>10000</v>
          </cell>
        </row>
      </sheetData>
      <sheetData sheetId="10159">
        <row r="7">
          <cell r="AI7">
            <v>10000</v>
          </cell>
        </row>
      </sheetData>
      <sheetData sheetId="10160">
        <row r="7">
          <cell r="AI7">
            <v>10000</v>
          </cell>
        </row>
      </sheetData>
      <sheetData sheetId="10161">
        <row r="7">
          <cell r="AI7">
            <v>10000</v>
          </cell>
        </row>
      </sheetData>
      <sheetData sheetId="10162">
        <row r="7">
          <cell r="AI7">
            <v>10000</v>
          </cell>
        </row>
      </sheetData>
      <sheetData sheetId="10163">
        <row r="7">
          <cell r="AI7">
            <v>10000</v>
          </cell>
        </row>
      </sheetData>
      <sheetData sheetId="10164">
        <row r="7">
          <cell r="AI7">
            <v>10000</v>
          </cell>
        </row>
      </sheetData>
      <sheetData sheetId="10165">
        <row r="7">
          <cell r="AI7">
            <v>10000</v>
          </cell>
        </row>
      </sheetData>
      <sheetData sheetId="10166">
        <row r="7">
          <cell r="AI7">
            <v>10000</v>
          </cell>
        </row>
      </sheetData>
      <sheetData sheetId="10167">
        <row r="7">
          <cell r="AI7">
            <v>10000</v>
          </cell>
        </row>
      </sheetData>
      <sheetData sheetId="10168">
        <row r="7">
          <cell r="AI7">
            <v>10000</v>
          </cell>
        </row>
      </sheetData>
      <sheetData sheetId="10169">
        <row r="7">
          <cell r="AI7">
            <v>10000</v>
          </cell>
        </row>
      </sheetData>
      <sheetData sheetId="10170">
        <row r="7">
          <cell r="AI7">
            <v>10000</v>
          </cell>
        </row>
      </sheetData>
      <sheetData sheetId="10171">
        <row r="7">
          <cell r="AI7">
            <v>10000</v>
          </cell>
        </row>
      </sheetData>
      <sheetData sheetId="10172">
        <row r="7">
          <cell r="AI7">
            <v>10000</v>
          </cell>
        </row>
      </sheetData>
      <sheetData sheetId="10173">
        <row r="7">
          <cell r="AI7">
            <v>10000</v>
          </cell>
        </row>
      </sheetData>
      <sheetData sheetId="10174">
        <row r="7">
          <cell r="AI7">
            <v>10000</v>
          </cell>
        </row>
      </sheetData>
      <sheetData sheetId="10175">
        <row r="7">
          <cell r="AI7">
            <v>10000</v>
          </cell>
        </row>
      </sheetData>
      <sheetData sheetId="10176">
        <row r="7">
          <cell r="AI7">
            <v>10000</v>
          </cell>
        </row>
      </sheetData>
      <sheetData sheetId="10177">
        <row r="7">
          <cell r="AI7">
            <v>10000</v>
          </cell>
        </row>
      </sheetData>
      <sheetData sheetId="10178">
        <row r="7">
          <cell r="AI7">
            <v>10000</v>
          </cell>
        </row>
      </sheetData>
      <sheetData sheetId="10179">
        <row r="7">
          <cell r="AI7">
            <v>10000</v>
          </cell>
        </row>
      </sheetData>
      <sheetData sheetId="10180">
        <row r="7">
          <cell r="AI7">
            <v>10000</v>
          </cell>
        </row>
      </sheetData>
      <sheetData sheetId="10181">
        <row r="7">
          <cell r="AI7">
            <v>10000</v>
          </cell>
        </row>
      </sheetData>
      <sheetData sheetId="10182">
        <row r="7">
          <cell r="AI7">
            <v>10000</v>
          </cell>
        </row>
      </sheetData>
      <sheetData sheetId="10183">
        <row r="7">
          <cell r="AI7">
            <v>10000</v>
          </cell>
        </row>
      </sheetData>
      <sheetData sheetId="10184">
        <row r="7">
          <cell r="AI7">
            <v>10000</v>
          </cell>
        </row>
      </sheetData>
      <sheetData sheetId="10185">
        <row r="7">
          <cell r="AI7">
            <v>10000</v>
          </cell>
        </row>
      </sheetData>
      <sheetData sheetId="10186">
        <row r="7">
          <cell r="AI7">
            <v>10000</v>
          </cell>
        </row>
      </sheetData>
      <sheetData sheetId="10187">
        <row r="7">
          <cell r="AI7">
            <v>10000</v>
          </cell>
        </row>
      </sheetData>
      <sheetData sheetId="10188">
        <row r="7">
          <cell r="AI7">
            <v>10000</v>
          </cell>
        </row>
      </sheetData>
      <sheetData sheetId="10189">
        <row r="7">
          <cell r="AI7">
            <v>10000</v>
          </cell>
        </row>
      </sheetData>
      <sheetData sheetId="10190">
        <row r="7">
          <cell r="AI7">
            <v>10000</v>
          </cell>
        </row>
      </sheetData>
      <sheetData sheetId="10191">
        <row r="7">
          <cell r="AI7">
            <v>10000</v>
          </cell>
        </row>
      </sheetData>
      <sheetData sheetId="10192">
        <row r="7">
          <cell r="AI7">
            <v>10000</v>
          </cell>
        </row>
      </sheetData>
      <sheetData sheetId="10193">
        <row r="7">
          <cell r="AI7">
            <v>10000</v>
          </cell>
        </row>
      </sheetData>
      <sheetData sheetId="10194">
        <row r="7">
          <cell r="AI7">
            <v>10000</v>
          </cell>
        </row>
      </sheetData>
      <sheetData sheetId="10195">
        <row r="7">
          <cell r="AI7">
            <v>10000</v>
          </cell>
        </row>
      </sheetData>
      <sheetData sheetId="10196">
        <row r="7">
          <cell r="AI7">
            <v>10000</v>
          </cell>
        </row>
      </sheetData>
      <sheetData sheetId="10197">
        <row r="7">
          <cell r="AI7">
            <v>10000</v>
          </cell>
        </row>
      </sheetData>
      <sheetData sheetId="10198">
        <row r="7">
          <cell r="AI7">
            <v>10000</v>
          </cell>
        </row>
      </sheetData>
      <sheetData sheetId="10199">
        <row r="7">
          <cell r="AI7">
            <v>10000</v>
          </cell>
        </row>
      </sheetData>
      <sheetData sheetId="10200">
        <row r="7">
          <cell r="AI7">
            <v>10000</v>
          </cell>
        </row>
      </sheetData>
      <sheetData sheetId="10201">
        <row r="7">
          <cell r="AI7">
            <v>10000</v>
          </cell>
        </row>
      </sheetData>
      <sheetData sheetId="10202">
        <row r="7">
          <cell r="AI7">
            <v>10000</v>
          </cell>
        </row>
      </sheetData>
      <sheetData sheetId="10203">
        <row r="7">
          <cell r="AI7">
            <v>10000</v>
          </cell>
        </row>
      </sheetData>
      <sheetData sheetId="10204">
        <row r="7">
          <cell r="AI7">
            <v>10000</v>
          </cell>
        </row>
      </sheetData>
      <sheetData sheetId="10205">
        <row r="7">
          <cell r="AI7">
            <v>10000</v>
          </cell>
        </row>
      </sheetData>
      <sheetData sheetId="10206">
        <row r="7">
          <cell r="AI7">
            <v>10000</v>
          </cell>
        </row>
      </sheetData>
      <sheetData sheetId="10207">
        <row r="7">
          <cell r="AI7">
            <v>10000</v>
          </cell>
        </row>
      </sheetData>
      <sheetData sheetId="10208">
        <row r="7">
          <cell r="AI7">
            <v>10000</v>
          </cell>
        </row>
      </sheetData>
      <sheetData sheetId="10209">
        <row r="7">
          <cell r="AI7">
            <v>10000</v>
          </cell>
        </row>
      </sheetData>
      <sheetData sheetId="10210">
        <row r="7">
          <cell r="AI7">
            <v>10000</v>
          </cell>
        </row>
      </sheetData>
      <sheetData sheetId="10211">
        <row r="7">
          <cell r="AI7">
            <v>10000</v>
          </cell>
        </row>
      </sheetData>
      <sheetData sheetId="10212">
        <row r="7">
          <cell r="AI7">
            <v>10000</v>
          </cell>
        </row>
      </sheetData>
      <sheetData sheetId="10213">
        <row r="7">
          <cell r="AI7">
            <v>10000</v>
          </cell>
        </row>
      </sheetData>
      <sheetData sheetId="10214">
        <row r="7">
          <cell r="AI7">
            <v>10000</v>
          </cell>
        </row>
      </sheetData>
      <sheetData sheetId="10215">
        <row r="7">
          <cell r="AI7">
            <v>10000</v>
          </cell>
        </row>
      </sheetData>
      <sheetData sheetId="10216">
        <row r="7">
          <cell r="AI7">
            <v>10000</v>
          </cell>
        </row>
      </sheetData>
      <sheetData sheetId="10217">
        <row r="7">
          <cell r="AI7">
            <v>10000</v>
          </cell>
        </row>
      </sheetData>
      <sheetData sheetId="10218">
        <row r="7">
          <cell r="AI7">
            <v>10000</v>
          </cell>
        </row>
      </sheetData>
      <sheetData sheetId="10219">
        <row r="7">
          <cell r="AI7">
            <v>10000</v>
          </cell>
        </row>
      </sheetData>
      <sheetData sheetId="10220">
        <row r="7">
          <cell r="AI7">
            <v>10000</v>
          </cell>
        </row>
      </sheetData>
      <sheetData sheetId="10221">
        <row r="7">
          <cell r="AI7">
            <v>10000</v>
          </cell>
        </row>
      </sheetData>
      <sheetData sheetId="10222">
        <row r="7">
          <cell r="AI7">
            <v>10000</v>
          </cell>
        </row>
      </sheetData>
      <sheetData sheetId="10223">
        <row r="7">
          <cell r="AI7">
            <v>10000</v>
          </cell>
        </row>
      </sheetData>
      <sheetData sheetId="10224">
        <row r="7">
          <cell r="AI7">
            <v>10000</v>
          </cell>
        </row>
      </sheetData>
      <sheetData sheetId="10225">
        <row r="7">
          <cell r="AI7">
            <v>10000</v>
          </cell>
        </row>
      </sheetData>
      <sheetData sheetId="10226">
        <row r="7">
          <cell r="AI7">
            <v>10000</v>
          </cell>
        </row>
      </sheetData>
      <sheetData sheetId="10227">
        <row r="7">
          <cell r="AI7">
            <v>10000</v>
          </cell>
        </row>
      </sheetData>
      <sheetData sheetId="10228">
        <row r="7">
          <cell r="AI7">
            <v>10000</v>
          </cell>
        </row>
      </sheetData>
      <sheetData sheetId="10229">
        <row r="7">
          <cell r="AI7">
            <v>10000</v>
          </cell>
        </row>
      </sheetData>
      <sheetData sheetId="10230">
        <row r="7">
          <cell r="AI7">
            <v>10000</v>
          </cell>
        </row>
      </sheetData>
      <sheetData sheetId="10231">
        <row r="7">
          <cell r="AI7">
            <v>10000</v>
          </cell>
        </row>
      </sheetData>
      <sheetData sheetId="10232">
        <row r="7">
          <cell r="AI7">
            <v>10000</v>
          </cell>
        </row>
      </sheetData>
      <sheetData sheetId="10233">
        <row r="7">
          <cell r="AI7">
            <v>10000</v>
          </cell>
        </row>
      </sheetData>
      <sheetData sheetId="10234">
        <row r="7">
          <cell r="AI7">
            <v>10000</v>
          </cell>
        </row>
      </sheetData>
      <sheetData sheetId="10235">
        <row r="7">
          <cell r="AI7">
            <v>10000</v>
          </cell>
        </row>
      </sheetData>
      <sheetData sheetId="10236">
        <row r="7">
          <cell r="AI7">
            <v>10000</v>
          </cell>
        </row>
      </sheetData>
      <sheetData sheetId="10237">
        <row r="7">
          <cell r="AI7">
            <v>10000</v>
          </cell>
        </row>
      </sheetData>
      <sheetData sheetId="10238">
        <row r="7">
          <cell r="AI7">
            <v>10000</v>
          </cell>
        </row>
      </sheetData>
      <sheetData sheetId="10239">
        <row r="7">
          <cell r="AI7">
            <v>10000</v>
          </cell>
        </row>
      </sheetData>
      <sheetData sheetId="10240">
        <row r="7">
          <cell r="AI7">
            <v>10000</v>
          </cell>
        </row>
      </sheetData>
      <sheetData sheetId="10241">
        <row r="7">
          <cell r="AI7">
            <v>10000</v>
          </cell>
        </row>
      </sheetData>
      <sheetData sheetId="10242">
        <row r="7">
          <cell r="AI7">
            <v>10000</v>
          </cell>
        </row>
      </sheetData>
      <sheetData sheetId="10243">
        <row r="7">
          <cell r="AI7">
            <v>10000</v>
          </cell>
        </row>
      </sheetData>
      <sheetData sheetId="10244">
        <row r="7">
          <cell r="AI7">
            <v>10000</v>
          </cell>
        </row>
      </sheetData>
      <sheetData sheetId="10245">
        <row r="7">
          <cell r="AI7">
            <v>10000</v>
          </cell>
        </row>
      </sheetData>
      <sheetData sheetId="10246">
        <row r="7">
          <cell r="AI7">
            <v>10000</v>
          </cell>
        </row>
      </sheetData>
      <sheetData sheetId="10247">
        <row r="7">
          <cell r="AI7">
            <v>10000</v>
          </cell>
        </row>
      </sheetData>
      <sheetData sheetId="10248">
        <row r="7">
          <cell r="AI7">
            <v>10000</v>
          </cell>
        </row>
      </sheetData>
      <sheetData sheetId="10249">
        <row r="7">
          <cell r="AI7">
            <v>10000</v>
          </cell>
        </row>
      </sheetData>
      <sheetData sheetId="10250">
        <row r="7">
          <cell r="AI7">
            <v>10000</v>
          </cell>
        </row>
      </sheetData>
      <sheetData sheetId="10251">
        <row r="7">
          <cell r="AI7">
            <v>10000</v>
          </cell>
        </row>
      </sheetData>
      <sheetData sheetId="10252">
        <row r="7">
          <cell r="AI7">
            <v>10000</v>
          </cell>
        </row>
      </sheetData>
      <sheetData sheetId="10253">
        <row r="7">
          <cell r="AI7">
            <v>10000</v>
          </cell>
        </row>
      </sheetData>
      <sheetData sheetId="10254">
        <row r="7">
          <cell r="AI7">
            <v>10000</v>
          </cell>
        </row>
      </sheetData>
      <sheetData sheetId="10255">
        <row r="7">
          <cell r="AI7">
            <v>10000</v>
          </cell>
        </row>
      </sheetData>
      <sheetData sheetId="10256">
        <row r="7">
          <cell r="AI7">
            <v>10000</v>
          </cell>
        </row>
      </sheetData>
      <sheetData sheetId="10257">
        <row r="7">
          <cell r="AI7">
            <v>10000</v>
          </cell>
        </row>
      </sheetData>
      <sheetData sheetId="10258">
        <row r="7">
          <cell r="AI7">
            <v>10000</v>
          </cell>
        </row>
      </sheetData>
      <sheetData sheetId="10259">
        <row r="7">
          <cell r="AI7">
            <v>10000</v>
          </cell>
        </row>
      </sheetData>
      <sheetData sheetId="10260">
        <row r="7">
          <cell r="AI7">
            <v>10000</v>
          </cell>
        </row>
      </sheetData>
      <sheetData sheetId="10261">
        <row r="7">
          <cell r="AI7">
            <v>10000</v>
          </cell>
        </row>
      </sheetData>
      <sheetData sheetId="10262">
        <row r="7">
          <cell r="AI7">
            <v>10000</v>
          </cell>
        </row>
      </sheetData>
      <sheetData sheetId="10263">
        <row r="7">
          <cell r="AI7">
            <v>10000</v>
          </cell>
        </row>
      </sheetData>
      <sheetData sheetId="10264">
        <row r="7">
          <cell r="AI7">
            <v>10000</v>
          </cell>
        </row>
      </sheetData>
      <sheetData sheetId="10265">
        <row r="7">
          <cell r="AI7">
            <v>10000</v>
          </cell>
        </row>
      </sheetData>
      <sheetData sheetId="10266">
        <row r="7">
          <cell r="AI7">
            <v>10000</v>
          </cell>
        </row>
      </sheetData>
      <sheetData sheetId="10267">
        <row r="7">
          <cell r="AI7">
            <v>10000</v>
          </cell>
        </row>
      </sheetData>
      <sheetData sheetId="10268">
        <row r="7">
          <cell r="AI7">
            <v>10000</v>
          </cell>
        </row>
      </sheetData>
      <sheetData sheetId="10269">
        <row r="7">
          <cell r="AI7">
            <v>10000</v>
          </cell>
        </row>
      </sheetData>
      <sheetData sheetId="10270">
        <row r="7">
          <cell r="AI7">
            <v>10000</v>
          </cell>
        </row>
      </sheetData>
      <sheetData sheetId="10271">
        <row r="7">
          <cell r="AI7">
            <v>10000</v>
          </cell>
        </row>
      </sheetData>
      <sheetData sheetId="10272">
        <row r="7">
          <cell r="AI7">
            <v>10000</v>
          </cell>
        </row>
      </sheetData>
      <sheetData sheetId="10273">
        <row r="7">
          <cell r="AI7">
            <v>10000</v>
          </cell>
        </row>
      </sheetData>
      <sheetData sheetId="10274">
        <row r="7">
          <cell r="AI7">
            <v>10000</v>
          </cell>
        </row>
      </sheetData>
      <sheetData sheetId="10275">
        <row r="7">
          <cell r="AI7">
            <v>10000</v>
          </cell>
        </row>
      </sheetData>
      <sheetData sheetId="10276">
        <row r="7">
          <cell r="AI7">
            <v>10000</v>
          </cell>
        </row>
      </sheetData>
      <sheetData sheetId="10277">
        <row r="7">
          <cell r="AI7">
            <v>10000</v>
          </cell>
        </row>
      </sheetData>
      <sheetData sheetId="10278">
        <row r="7">
          <cell r="AI7">
            <v>10000</v>
          </cell>
        </row>
      </sheetData>
      <sheetData sheetId="10279">
        <row r="7">
          <cell r="AI7">
            <v>10000</v>
          </cell>
        </row>
      </sheetData>
      <sheetData sheetId="10280">
        <row r="7">
          <cell r="AI7">
            <v>10000</v>
          </cell>
        </row>
      </sheetData>
      <sheetData sheetId="10281">
        <row r="7">
          <cell r="AI7">
            <v>10000</v>
          </cell>
        </row>
      </sheetData>
      <sheetData sheetId="10282">
        <row r="7">
          <cell r="AI7">
            <v>10000</v>
          </cell>
        </row>
      </sheetData>
      <sheetData sheetId="10283">
        <row r="7">
          <cell r="AI7">
            <v>10000</v>
          </cell>
        </row>
      </sheetData>
      <sheetData sheetId="10284">
        <row r="7">
          <cell r="AI7">
            <v>10000</v>
          </cell>
        </row>
      </sheetData>
      <sheetData sheetId="10285">
        <row r="7">
          <cell r="AI7">
            <v>10000</v>
          </cell>
        </row>
      </sheetData>
      <sheetData sheetId="10286">
        <row r="7">
          <cell r="AI7">
            <v>10000</v>
          </cell>
        </row>
      </sheetData>
      <sheetData sheetId="10287">
        <row r="7">
          <cell r="AI7">
            <v>10000</v>
          </cell>
        </row>
      </sheetData>
      <sheetData sheetId="10288">
        <row r="7">
          <cell r="AI7">
            <v>10000</v>
          </cell>
        </row>
      </sheetData>
      <sheetData sheetId="10289">
        <row r="7">
          <cell r="AI7">
            <v>10000</v>
          </cell>
        </row>
      </sheetData>
      <sheetData sheetId="10290">
        <row r="7">
          <cell r="AI7">
            <v>10000</v>
          </cell>
        </row>
      </sheetData>
      <sheetData sheetId="10291">
        <row r="7">
          <cell r="AI7">
            <v>10000</v>
          </cell>
        </row>
      </sheetData>
      <sheetData sheetId="10292">
        <row r="7">
          <cell r="AI7">
            <v>10000</v>
          </cell>
        </row>
      </sheetData>
      <sheetData sheetId="10293">
        <row r="7">
          <cell r="AI7">
            <v>10000</v>
          </cell>
        </row>
      </sheetData>
      <sheetData sheetId="10294">
        <row r="7">
          <cell r="AI7">
            <v>10000</v>
          </cell>
        </row>
      </sheetData>
      <sheetData sheetId="10295">
        <row r="7">
          <cell r="AI7">
            <v>10000</v>
          </cell>
        </row>
      </sheetData>
      <sheetData sheetId="10296">
        <row r="7">
          <cell r="AI7">
            <v>10000</v>
          </cell>
        </row>
      </sheetData>
      <sheetData sheetId="10297">
        <row r="7">
          <cell r="AI7">
            <v>10000</v>
          </cell>
        </row>
      </sheetData>
      <sheetData sheetId="10298">
        <row r="7">
          <cell r="AI7">
            <v>10000</v>
          </cell>
        </row>
      </sheetData>
      <sheetData sheetId="10299">
        <row r="7">
          <cell r="AI7">
            <v>10000</v>
          </cell>
        </row>
      </sheetData>
      <sheetData sheetId="10300">
        <row r="7">
          <cell r="AI7">
            <v>10000</v>
          </cell>
        </row>
      </sheetData>
      <sheetData sheetId="10301">
        <row r="7">
          <cell r="AI7">
            <v>10000</v>
          </cell>
        </row>
      </sheetData>
      <sheetData sheetId="10302">
        <row r="7">
          <cell r="AI7">
            <v>10000</v>
          </cell>
        </row>
      </sheetData>
      <sheetData sheetId="10303">
        <row r="7">
          <cell r="AI7">
            <v>10000</v>
          </cell>
        </row>
      </sheetData>
      <sheetData sheetId="10304">
        <row r="7">
          <cell r="AI7">
            <v>10000</v>
          </cell>
        </row>
      </sheetData>
      <sheetData sheetId="10305">
        <row r="7">
          <cell r="AI7">
            <v>10000</v>
          </cell>
        </row>
      </sheetData>
      <sheetData sheetId="10306">
        <row r="7">
          <cell r="AI7">
            <v>10000</v>
          </cell>
        </row>
      </sheetData>
      <sheetData sheetId="10307">
        <row r="7">
          <cell r="AI7">
            <v>10000</v>
          </cell>
        </row>
      </sheetData>
      <sheetData sheetId="10308">
        <row r="7">
          <cell r="AI7">
            <v>10000</v>
          </cell>
        </row>
      </sheetData>
      <sheetData sheetId="10309">
        <row r="7">
          <cell r="AI7">
            <v>10000</v>
          </cell>
        </row>
      </sheetData>
      <sheetData sheetId="10310">
        <row r="7">
          <cell r="AI7">
            <v>10000</v>
          </cell>
        </row>
      </sheetData>
      <sheetData sheetId="10311">
        <row r="7">
          <cell r="AI7">
            <v>10000</v>
          </cell>
        </row>
      </sheetData>
      <sheetData sheetId="10312">
        <row r="7">
          <cell r="AI7">
            <v>10000</v>
          </cell>
        </row>
      </sheetData>
      <sheetData sheetId="10313">
        <row r="7">
          <cell r="AI7">
            <v>10000</v>
          </cell>
        </row>
      </sheetData>
      <sheetData sheetId="10314">
        <row r="7">
          <cell r="AI7">
            <v>10000</v>
          </cell>
        </row>
      </sheetData>
      <sheetData sheetId="10315">
        <row r="7">
          <cell r="AI7">
            <v>10000</v>
          </cell>
        </row>
      </sheetData>
      <sheetData sheetId="10316">
        <row r="7">
          <cell r="AI7">
            <v>10000</v>
          </cell>
        </row>
      </sheetData>
      <sheetData sheetId="10317">
        <row r="7">
          <cell r="AI7">
            <v>10000</v>
          </cell>
        </row>
      </sheetData>
      <sheetData sheetId="10318">
        <row r="7">
          <cell r="AI7">
            <v>10000</v>
          </cell>
        </row>
      </sheetData>
      <sheetData sheetId="10319">
        <row r="7">
          <cell r="AI7">
            <v>10000</v>
          </cell>
        </row>
      </sheetData>
      <sheetData sheetId="10320">
        <row r="7">
          <cell r="AI7">
            <v>10000</v>
          </cell>
        </row>
      </sheetData>
      <sheetData sheetId="10321">
        <row r="7">
          <cell r="AI7">
            <v>10000</v>
          </cell>
        </row>
      </sheetData>
      <sheetData sheetId="10322">
        <row r="7">
          <cell r="AI7">
            <v>10000</v>
          </cell>
        </row>
      </sheetData>
      <sheetData sheetId="10323">
        <row r="7">
          <cell r="AI7">
            <v>10000</v>
          </cell>
        </row>
      </sheetData>
      <sheetData sheetId="10324">
        <row r="7">
          <cell r="AI7">
            <v>10000</v>
          </cell>
        </row>
      </sheetData>
      <sheetData sheetId="10325">
        <row r="7">
          <cell r="AI7">
            <v>10000</v>
          </cell>
        </row>
      </sheetData>
      <sheetData sheetId="10326">
        <row r="7">
          <cell r="AI7">
            <v>10000</v>
          </cell>
        </row>
      </sheetData>
      <sheetData sheetId="10327">
        <row r="7">
          <cell r="AI7">
            <v>10000</v>
          </cell>
        </row>
      </sheetData>
      <sheetData sheetId="10328">
        <row r="7">
          <cell r="AI7">
            <v>10000</v>
          </cell>
        </row>
      </sheetData>
      <sheetData sheetId="10329">
        <row r="7">
          <cell r="AI7">
            <v>10000</v>
          </cell>
        </row>
      </sheetData>
      <sheetData sheetId="10330">
        <row r="7">
          <cell r="AI7">
            <v>10000</v>
          </cell>
        </row>
      </sheetData>
      <sheetData sheetId="10331">
        <row r="7">
          <cell r="AI7">
            <v>10000</v>
          </cell>
        </row>
      </sheetData>
      <sheetData sheetId="10332">
        <row r="7">
          <cell r="AI7">
            <v>10000</v>
          </cell>
        </row>
      </sheetData>
      <sheetData sheetId="10333">
        <row r="7">
          <cell r="AI7">
            <v>10000</v>
          </cell>
        </row>
      </sheetData>
      <sheetData sheetId="10334">
        <row r="7">
          <cell r="AI7">
            <v>10000</v>
          </cell>
        </row>
      </sheetData>
      <sheetData sheetId="10335">
        <row r="7">
          <cell r="AI7">
            <v>10000</v>
          </cell>
        </row>
      </sheetData>
      <sheetData sheetId="10336">
        <row r="7">
          <cell r="AI7">
            <v>10000</v>
          </cell>
        </row>
      </sheetData>
      <sheetData sheetId="10337">
        <row r="7">
          <cell r="AI7">
            <v>10000</v>
          </cell>
        </row>
      </sheetData>
      <sheetData sheetId="10338">
        <row r="7">
          <cell r="AI7">
            <v>10000</v>
          </cell>
        </row>
      </sheetData>
      <sheetData sheetId="10339">
        <row r="7">
          <cell r="AI7">
            <v>10000</v>
          </cell>
        </row>
      </sheetData>
      <sheetData sheetId="10340">
        <row r="7">
          <cell r="AI7">
            <v>10000</v>
          </cell>
        </row>
      </sheetData>
      <sheetData sheetId="10341">
        <row r="7">
          <cell r="AI7">
            <v>10000</v>
          </cell>
        </row>
      </sheetData>
      <sheetData sheetId="10342">
        <row r="7">
          <cell r="AI7">
            <v>10000</v>
          </cell>
        </row>
      </sheetData>
      <sheetData sheetId="10343">
        <row r="7">
          <cell r="AI7">
            <v>10000</v>
          </cell>
        </row>
      </sheetData>
      <sheetData sheetId="10344">
        <row r="7">
          <cell r="AI7">
            <v>10000</v>
          </cell>
        </row>
      </sheetData>
      <sheetData sheetId="10345">
        <row r="7">
          <cell r="AI7">
            <v>10000</v>
          </cell>
        </row>
      </sheetData>
      <sheetData sheetId="10346">
        <row r="7">
          <cell r="AI7">
            <v>10000</v>
          </cell>
        </row>
      </sheetData>
      <sheetData sheetId="10347">
        <row r="7">
          <cell r="AI7">
            <v>10000</v>
          </cell>
        </row>
      </sheetData>
      <sheetData sheetId="10348">
        <row r="7">
          <cell r="AI7">
            <v>10000</v>
          </cell>
        </row>
      </sheetData>
      <sheetData sheetId="10349">
        <row r="7">
          <cell r="AI7">
            <v>10000</v>
          </cell>
        </row>
      </sheetData>
      <sheetData sheetId="10350">
        <row r="7">
          <cell r="AI7">
            <v>10000</v>
          </cell>
        </row>
      </sheetData>
      <sheetData sheetId="10351">
        <row r="7">
          <cell r="AI7">
            <v>10000</v>
          </cell>
        </row>
      </sheetData>
      <sheetData sheetId="10352">
        <row r="7">
          <cell r="AI7">
            <v>10000</v>
          </cell>
        </row>
      </sheetData>
      <sheetData sheetId="10353">
        <row r="7">
          <cell r="AI7">
            <v>10000</v>
          </cell>
        </row>
      </sheetData>
      <sheetData sheetId="10354">
        <row r="7">
          <cell r="AI7">
            <v>10000</v>
          </cell>
        </row>
      </sheetData>
      <sheetData sheetId="10355">
        <row r="7">
          <cell r="AI7">
            <v>10000</v>
          </cell>
        </row>
      </sheetData>
      <sheetData sheetId="10356">
        <row r="7">
          <cell r="AI7">
            <v>10000</v>
          </cell>
        </row>
      </sheetData>
      <sheetData sheetId="10357">
        <row r="7">
          <cell r="AI7">
            <v>10000</v>
          </cell>
        </row>
      </sheetData>
      <sheetData sheetId="10358">
        <row r="7">
          <cell r="AI7">
            <v>10000</v>
          </cell>
        </row>
      </sheetData>
      <sheetData sheetId="10359">
        <row r="7">
          <cell r="AI7">
            <v>10000</v>
          </cell>
        </row>
      </sheetData>
      <sheetData sheetId="10360">
        <row r="7">
          <cell r="AI7">
            <v>10000</v>
          </cell>
        </row>
      </sheetData>
      <sheetData sheetId="10361">
        <row r="7">
          <cell r="AI7">
            <v>10000</v>
          </cell>
        </row>
      </sheetData>
      <sheetData sheetId="10362">
        <row r="7">
          <cell r="AI7">
            <v>10000</v>
          </cell>
        </row>
      </sheetData>
      <sheetData sheetId="10363">
        <row r="7">
          <cell r="AI7">
            <v>10000</v>
          </cell>
        </row>
      </sheetData>
      <sheetData sheetId="10364">
        <row r="7">
          <cell r="AI7">
            <v>10000</v>
          </cell>
        </row>
      </sheetData>
      <sheetData sheetId="10365">
        <row r="7">
          <cell r="AI7">
            <v>10000</v>
          </cell>
        </row>
      </sheetData>
      <sheetData sheetId="10366">
        <row r="7">
          <cell r="AI7">
            <v>10000</v>
          </cell>
        </row>
      </sheetData>
      <sheetData sheetId="10367">
        <row r="7">
          <cell r="AI7">
            <v>10000</v>
          </cell>
        </row>
      </sheetData>
      <sheetData sheetId="10368">
        <row r="7">
          <cell r="AI7">
            <v>10000</v>
          </cell>
        </row>
      </sheetData>
      <sheetData sheetId="10369">
        <row r="7">
          <cell r="AI7">
            <v>10000</v>
          </cell>
        </row>
      </sheetData>
      <sheetData sheetId="10370">
        <row r="7">
          <cell r="AI7">
            <v>10000</v>
          </cell>
        </row>
      </sheetData>
      <sheetData sheetId="10371">
        <row r="7">
          <cell r="AI7">
            <v>10000</v>
          </cell>
        </row>
      </sheetData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>
        <row r="7">
          <cell r="AI7">
            <v>10000</v>
          </cell>
        </row>
      </sheetData>
      <sheetData sheetId="10397">
        <row r="7">
          <cell r="AI7">
            <v>10000</v>
          </cell>
        </row>
      </sheetData>
      <sheetData sheetId="10398">
        <row r="7">
          <cell r="AI7">
            <v>10000</v>
          </cell>
        </row>
      </sheetData>
      <sheetData sheetId="10399">
        <row r="7">
          <cell r="AI7">
            <v>10000</v>
          </cell>
        </row>
      </sheetData>
      <sheetData sheetId="10400">
        <row r="7">
          <cell r="AI7">
            <v>10000</v>
          </cell>
        </row>
      </sheetData>
      <sheetData sheetId="10401">
        <row r="7">
          <cell r="AI7">
            <v>10000</v>
          </cell>
        </row>
      </sheetData>
      <sheetData sheetId="10402">
        <row r="7">
          <cell r="AI7">
            <v>10000</v>
          </cell>
        </row>
      </sheetData>
      <sheetData sheetId="10403">
        <row r="7">
          <cell r="AI7">
            <v>10000</v>
          </cell>
        </row>
      </sheetData>
      <sheetData sheetId="10404">
        <row r="7">
          <cell r="AI7">
            <v>10000</v>
          </cell>
        </row>
      </sheetData>
      <sheetData sheetId="10405">
        <row r="7">
          <cell r="AI7">
            <v>10000</v>
          </cell>
        </row>
      </sheetData>
      <sheetData sheetId="10406">
        <row r="7">
          <cell r="AI7">
            <v>10000</v>
          </cell>
        </row>
      </sheetData>
      <sheetData sheetId="10407">
        <row r="7">
          <cell r="AI7">
            <v>10000</v>
          </cell>
        </row>
      </sheetData>
      <sheetData sheetId="10408">
        <row r="7">
          <cell r="AI7">
            <v>10000</v>
          </cell>
        </row>
      </sheetData>
      <sheetData sheetId="10409">
        <row r="7">
          <cell r="AI7">
            <v>10000</v>
          </cell>
        </row>
      </sheetData>
      <sheetData sheetId="10410">
        <row r="7">
          <cell r="AI7">
            <v>10000</v>
          </cell>
        </row>
      </sheetData>
      <sheetData sheetId="10411">
        <row r="7">
          <cell r="AI7">
            <v>10000</v>
          </cell>
        </row>
      </sheetData>
      <sheetData sheetId="10412">
        <row r="7">
          <cell r="AI7">
            <v>10000</v>
          </cell>
        </row>
      </sheetData>
      <sheetData sheetId="10413">
        <row r="7">
          <cell r="AI7">
            <v>10000</v>
          </cell>
        </row>
      </sheetData>
      <sheetData sheetId="10414">
        <row r="7">
          <cell r="AI7">
            <v>10000</v>
          </cell>
        </row>
      </sheetData>
      <sheetData sheetId="10415">
        <row r="7">
          <cell r="AI7">
            <v>10000</v>
          </cell>
        </row>
      </sheetData>
      <sheetData sheetId="10416">
        <row r="7">
          <cell r="AI7">
            <v>10000</v>
          </cell>
        </row>
      </sheetData>
      <sheetData sheetId="10417">
        <row r="7">
          <cell r="AI7">
            <v>10000</v>
          </cell>
        </row>
      </sheetData>
      <sheetData sheetId="10418">
        <row r="7">
          <cell r="AI7">
            <v>10000</v>
          </cell>
        </row>
      </sheetData>
      <sheetData sheetId="10419">
        <row r="7">
          <cell r="AI7">
            <v>10000</v>
          </cell>
        </row>
      </sheetData>
      <sheetData sheetId="10420">
        <row r="7">
          <cell r="AI7">
            <v>10000</v>
          </cell>
        </row>
      </sheetData>
      <sheetData sheetId="10421">
        <row r="7">
          <cell r="AI7">
            <v>10000</v>
          </cell>
        </row>
      </sheetData>
      <sheetData sheetId="10422">
        <row r="7">
          <cell r="AI7">
            <v>10000</v>
          </cell>
        </row>
      </sheetData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>
        <row r="7">
          <cell r="AI7">
            <v>10000</v>
          </cell>
        </row>
      </sheetData>
      <sheetData sheetId="10432">
        <row r="7">
          <cell r="AI7">
            <v>10000</v>
          </cell>
        </row>
      </sheetData>
      <sheetData sheetId="10433">
        <row r="7">
          <cell r="AI7">
            <v>10000</v>
          </cell>
        </row>
      </sheetData>
      <sheetData sheetId="10434">
        <row r="7">
          <cell r="AI7">
            <v>10000</v>
          </cell>
        </row>
      </sheetData>
      <sheetData sheetId="10435">
        <row r="7">
          <cell r="AI7">
            <v>10000</v>
          </cell>
        </row>
      </sheetData>
      <sheetData sheetId="10436">
        <row r="7">
          <cell r="AI7">
            <v>10000</v>
          </cell>
        </row>
      </sheetData>
      <sheetData sheetId="10437">
        <row r="7">
          <cell r="AI7">
            <v>10000</v>
          </cell>
        </row>
      </sheetData>
      <sheetData sheetId="10438">
        <row r="7">
          <cell r="AI7">
            <v>10000</v>
          </cell>
        </row>
      </sheetData>
      <sheetData sheetId="10439">
        <row r="7">
          <cell r="AI7">
            <v>10000</v>
          </cell>
        </row>
      </sheetData>
      <sheetData sheetId="10440">
        <row r="7">
          <cell r="AI7">
            <v>10000</v>
          </cell>
        </row>
      </sheetData>
      <sheetData sheetId="10441">
        <row r="7">
          <cell r="AI7">
            <v>10000</v>
          </cell>
        </row>
      </sheetData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>
        <row r="7">
          <cell r="AI7">
            <v>10000</v>
          </cell>
        </row>
      </sheetData>
      <sheetData sheetId="10462">
        <row r="7">
          <cell r="AI7">
            <v>10000</v>
          </cell>
        </row>
      </sheetData>
      <sheetData sheetId="10463">
        <row r="7">
          <cell r="AI7">
            <v>10000</v>
          </cell>
        </row>
      </sheetData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>
        <row r="7">
          <cell r="AI7">
            <v>10000</v>
          </cell>
        </row>
      </sheetData>
      <sheetData sheetId="10474">
        <row r="7">
          <cell r="AI7">
            <v>10000</v>
          </cell>
        </row>
      </sheetData>
      <sheetData sheetId="10475">
        <row r="7">
          <cell r="AI7">
            <v>10000</v>
          </cell>
        </row>
      </sheetData>
      <sheetData sheetId="10476">
        <row r="7">
          <cell r="AI7">
            <v>10000</v>
          </cell>
        </row>
      </sheetData>
      <sheetData sheetId="10477">
        <row r="7">
          <cell r="AI7">
            <v>10000</v>
          </cell>
        </row>
      </sheetData>
      <sheetData sheetId="10478">
        <row r="7">
          <cell r="AI7">
            <v>10000</v>
          </cell>
        </row>
      </sheetData>
      <sheetData sheetId="10479">
        <row r="7">
          <cell r="AI7">
            <v>10000</v>
          </cell>
        </row>
      </sheetData>
      <sheetData sheetId="10480">
        <row r="7">
          <cell r="AI7">
            <v>10000</v>
          </cell>
        </row>
      </sheetData>
      <sheetData sheetId="10481">
        <row r="7">
          <cell r="AI7">
            <v>10000</v>
          </cell>
        </row>
      </sheetData>
      <sheetData sheetId="10482">
        <row r="7">
          <cell r="AI7">
            <v>10000</v>
          </cell>
        </row>
      </sheetData>
      <sheetData sheetId="10483">
        <row r="7">
          <cell r="AI7">
            <v>10000</v>
          </cell>
        </row>
      </sheetData>
      <sheetData sheetId="10484">
        <row r="7">
          <cell r="AI7">
            <v>10000</v>
          </cell>
        </row>
      </sheetData>
      <sheetData sheetId="10485">
        <row r="7">
          <cell r="AI7">
            <v>10000</v>
          </cell>
        </row>
      </sheetData>
      <sheetData sheetId="10486">
        <row r="7">
          <cell r="AI7">
            <v>10000</v>
          </cell>
        </row>
      </sheetData>
      <sheetData sheetId="10487">
        <row r="7">
          <cell r="AI7">
            <v>10000</v>
          </cell>
        </row>
      </sheetData>
      <sheetData sheetId="10488">
        <row r="7">
          <cell r="AI7">
            <v>10000</v>
          </cell>
        </row>
      </sheetData>
      <sheetData sheetId="10489">
        <row r="7">
          <cell r="AI7">
            <v>10000</v>
          </cell>
        </row>
      </sheetData>
      <sheetData sheetId="10490">
        <row r="7">
          <cell r="AI7">
            <v>10000</v>
          </cell>
        </row>
      </sheetData>
      <sheetData sheetId="10491">
        <row r="7">
          <cell r="AI7">
            <v>10000</v>
          </cell>
        </row>
      </sheetData>
      <sheetData sheetId="10492">
        <row r="7">
          <cell r="AI7">
            <v>10000</v>
          </cell>
        </row>
      </sheetData>
      <sheetData sheetId="10493">
        <row r="7">
          <cell r="AI7">
            <v>10000</v>
          </cell>
        </row>
      </sheetData>
      <sheetData sheetId="10494">
        <row r="7">
          <cell r="AI7">
            <v>10000</v>
          </cell>
        </row>
      </sheetData>
      <sheetData sheetId="10495">
        <row r="7">
          <cell r="AI7">
            <v>10000</v>
          </cell>
        </row>
      </sheetData>
      <sheetData sheetId="10496">
        <row r="7">
          <cell r="AI7">
            <v>10000</v>
          </cell>
        </row>
      </sheetData>
      <sheetData sheetId="10497">
        <row r="7">
          <cell r="AI7">
            <v>10000</v>
          </cell>
        </row>
      </sheetData>
      <sheetData sheetId="10498">
        <row r="7">
          <cell r="AI7">
            <v>10000</v>
          </cell>
        </row>
      </sheetData>
      <sheetData sheetId="10499">
        <row r="7">
          <cell r="AI7">
            <v>10000</v>
          </cell>
        </row>
      </sheetData>
      <sheetData sheetId="10500">
        <row r="7">
          <cell r="AI7">
            <v>10000</v>
          </cell>
        </row>
      </sheetData>
      <sheetData sheetId="10501">
        <row r="7">
          <cell r="AI7">
            <v>10000</v>
          </cell>
        </row>
      </sheetData>
      <sheetData sheetId="10502">
        <row r="7">
          <cell r="AI7">
            <v>10000</v>
          </cell>
        </row>
      </sheetData>
      <sheetData sheetId="10503">
        <row r="7">
          <cell r="AI7">
            <v>10000</v>
          </cell>
        </row>
      </sheetData>
      <sheetData sheetId="10504">
        <row r="7">
          <cell r="AI7">
            <v>10000</v>
          </cell>
        </row>
      </sheetData>
      <sheetData sheetId="10505">
        <row r="7">
          <cell r="AI7">
            <v>10000</v>
          </cell>
        </row>
      </sheetData>
      <sheetData sheetId="10506">
        <row r="7">
          <cell r="AI7">
            <v>10000</v>
          </cell>
        </row>
      </sheetData>
      <sheetData sheetId="10507">
        <row r="7">
          <cell r="AI7">
            <v>10000</v>
          </cell>
        </row>
      </sheetData>
      <sheetData sheetId="10508">
        <row r="7">
          <cell r="AI7">
            <v>10000</v>
          </cell>
        </row>
      </sheetData>
      <sheetData sheetId="10509">
        <row r="7">
          <cell r="AI7">
            <v>10000</v>
          </cell>
        </row>
      </sheetData>
      <sheetData sheetId="10510">
        <row r="7">
          <cell r="AI7">
            <v>10000</v>
          </cell>
        </row>
      </sheetData>
      <sheetData sheetId="10511">
        <row r="7">
          <cell r="AI7">
            <v>10000</v>
          </cell>
        </row>
      </sheetData>
      <sheetData sheetId="10512">
        <row r="7">
          <cell r="AI7">
            <v>10000</v>
          </cell>
        </row>
      </sheetData>
      <sheetData sheetId="10513">
        <row r="7">
          <cell r="AI7">
            <v>10000</v>
          </cell>
        </row>
      </sheetData>
      <sheetData sheetId="10514">
        <row r="7">
          <cell r="AI7">
            <v>10000</v>
          </cell>
        </row>
      </sheetData>
      <sheetData sheetId="10515">
        <row r="7">
          <cell r="AI7">
            <v>10000</v>
          </cell>
        </row>
      </sheetData>
      <sheetData sheetId="10516">
        <row r="7">
          <cell r="AI7">
            <v>10000</v>
          </cell>
        </row>
      </sheetData>
      <sheetData sheetId="10517">
        <row r="7">
          <cell r="AI7">
            <v>10000</v>
          </cell>
        </row>
      </sheetData>
      <sheetData sheetId="10518">
        <row r="7">
          <cell r="AI7">
            <v>10000</v>
          </cell>
        </row>
      </sheetData>
      <sheetData sheetId="10519">
        <row r="7">
          <cell r="AI7">
            <v>10000</v>
          </cell>
        </row>
      </sheetData>
      <sheetData sheetId="10520">
        <row r="7">
          <cell r="AI7">
            <v>10000</v>
          </cell>
        </row>
      </sheetData>
      <sheetData sheetId="10521">
        <row r="7">
          <cell r="AI7">
            <v>10000</v>
          </cell>
        </row>
      </sheetData>
      <sheetData sheetId="10522">
        <row r="7">
          <cell r="AI7">
            <v>10000</v>
          </cell>
        </row>
      </sheetData>
      <sheetData sheetId="10523">
        <row r="7">
          <cell r="AI7">
            <v>10000</v>
          </cell>
        </row>
      </sheetData>
      <sheetData sheetId="10524">
        <row r="7">
          <cell r="AI7">
            <v>10000</v>
          </cell>
        </row>
      </sheetData>
      <sheetData sheetId="10525">
        <row r="7">
          <cell r="AI7">
            <v>10000</v>
          </cell>
        </row>
      </sheetData>
      <sheetData sheetId="10526">
        <row r="7">
          <cell r="AI7">
            <v>10000</v>
          </cell>
        </row>
      </sheetData>
      <sheetData sheetId="10527">
        <row r="7">
          <cell r="AI7">
            <v>10000</v>
          </cell>
        </row>
      </sheetData>
      <sheetData sheetId="10528">
        <row r="7">
          <cell r="AI7">
            <v>10000</v>
          </cell>
        </row>
      </sheetData>
      <sheetData sheetId="10529">
        <row r="7">
          <cell r="AI7">
            <v>10000</v>
          </cell>
        </row>
      </sheetData>
      <sheetData sheetId="10530">
        <row r="7">
          <cell r="AI7">
            <v>10000</v>
          </cell>
        </row>
      </sheetData>
      <sheetData sheetId="10531">
        <row r="7">
          <cell r="AI7">
            <v>10000</v>
          </cell>
        </row>
      </sheetData>
      <sheetData sheetId="10532">
        <row r="7">
          <cell r="AI7">
            <v>10000</v>
          </cell>
        </row>
      </sheetData>
      <sheetData sheetId="10533">
        <row r="7">
          <cell r="AI7">
            <v>10000</v>
          </cell>
        </row>
      </sheetData>
      <sheetData sheetId="10534">
        <row r="7">
          <cell r="AI7">
            <v>10000</v>
          </cell>
        </row>
      </sheetData>
      <sheetData sheetId="10535">
        <row r="7">
          <cell r="AI7">
            <v>10000</v>
          </cell>
        </row>
      </sheetData>
      <sheetData sheetId="10536">
        <row r="7">
          <cell r="AI7">
            <v>10000</v>
          </cell>
        </row>
      </sheetData>
      <sheetData sheetId="10537">
        <row r="7">
          <cell r="AI7">
            <v>10000</v>
          </cell>
        </row>
      </sheetData>
      <sheetData sheetId="10538">
        <row r="7">
          <cell r="AI7">
            <v>10000</v>
          </cell>
        </row>
      </sheetData>
      <sheetData sheetId="10539">
        <row r="7">
          <cell r="AI7">
            <v>10000</v>
          </cell>
        </row>
      </sheetData>
      <sheetData sheetId="10540">
        <row r="7">
          <cell r="AI7">
            <v>10000</v>
          </cell>
        </row>
      </sheetData>
      <sheetData sheetId="10541">
        <row r="7">
          <cell r="AI7">
            <v>10000</v>
          </cell>
        </row>
      </sheetData>
      <sheetData sheetId="10542">
        <row r="7">
          <cell r="AI7">
            <v>10000</v>
          </cell>
        </row>
      </sheetData>
      <sheetData sheetId="10543">
        <row r="7">
          <cell r="AI7">
            <v>10000</v>
          </cell>
        </row>
      </sheetData>
      <sheetData sheetId="10544">
        <row r="7">
          <cell r="AI7">
            <v>10000</v>
          </cell>
        </row>
      </sheetData>
      <sheetData sheetId="10545">
        <row r="7">
          <cell r="AI7">
            <v>10000</v>
          </cell>
        </row>
      </sheetData>
      <sheetData sheetId="10546">
        <row r="7">
          <cell r="AI7">
            <v>10000</v>
          </cell>
        </row>
      </sheetData>
      <sheetData sheetId="10547">
        <row r="7">
          <cell r="AI7">
            <v>10000</v>
          </cell>
        </row>
      </sheetData>
      <sheetData sheetId="10548">
        <row r="7">
          <cell r="AI7">
            <v>10000</v>
          </cell>
        </row>
      </sheetData>
      <sheetData sheetId="10549">
        <row r="7">
          <cell r="AI7">
            <v>10000</v>
          </cell>
        </row>
      </sheetData>
      <sheetData sheetId="10550">
        <row r="7">
          <cell r="AI7">
            <v>10000</v>
          </cell>
        </row>
      </sheetData>
      <sheetData sheetId="10551">
        <row r="7">
          <cell r="AI7">
            <v>10000</v>
          </cell>
        </row>
      </sheetData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>
        <row r="7">
          <cell r="AI7">
            <v>10000</v>
          </cell>
        </row>
      </sheetData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>
        <row r="7">
          <cell r="AI7">
            <v>10000</v>
          </cell>
        </row>
      </sheetData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>
        <row r="7">
          <cell r="AI7">
            <v>10000</v>
          </cell>
        </row>
      </sheetData>
      <sheetData sheetId="10606">
        <row r="7">
          <cell r="AI7">
            <v>10000</v>
          </cell>
        </row>
      </sheetData>
      <sheetData sheetId="10607" refreshError="1"/>
      <sheetData sheetId="10608"/>
      <sheetData sheetId="10609"/>
      <sheetData sheetId="10610">
        <row r="7">
          <cell r="AI7">
            <v>10000</v>
          </cell>
        </row>
      </sheetData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>
        <row r="7">
          <cell r="AI7">
            <v>10000</v>
          </cell>
        </row>
      </sheetData>
      <sheetData sheetId="10620">
        <row r="7">
          <cell r="AI7">
            <v>10000</v>
          </cell>
        </row>
      </sheetData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>
        <row r="7">
          <cell r="AI7">
            <v>10000</v>
          </cell>
        </row>
      </sheetData>
      <sheetData sheetId="10636">
        <row r="7">
          <cell r="AI7">
            <v>10000</v>
          </cell>
        </row>
      </sheetData>
      <sheetData sheetId="10637">
        <row r="7">
          <cell r="AI7">
            <v>10000</v>
          </cell>
        </row>
      </sheetData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>
        <row r="7">
          <cell r="AI7">
            <v>10000</v>
          </cell>
        </row>
      </sheetData>
      <sheetData sheetId="10644">
        <row r="7">
          <cell r="AI7">
            <v>10000</v>
          </cell>
        </row>
      </sheetData>
      <sheetData sheetId="10645">
        <row r="7">
          <cell r="AI7">
            <v>10000</v>
          </cell>
        </row>
      </sheetData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>
        <row r="7">
          <cell r="AI7">
            <v>10000</v>
          </cell>
        </row>
      </sheetData>
      <sheetData sheetId="10649">
        <row r="7">
          <cell r="AI7">
            <v>10000</v>
          </cell>
        </row>
      </sheetData>
      <sheetData sheetId="10650">
        <row r="7">
          <cell r="AI7">
            <v>10000</v>
          </cell>
        </row>
      </sheetData>
      <sheetData sheetId="10651">
        <row r="7">
          <cell r="AI7">
            <v>10000</v>
          </cell>
        </row>
      </sheetData>
      <sheetData sheetId="10652">
        <row r="7">
          <cell r="AI7">
            <v>10000</v>
          </cell>
        </row>
      </sheetData>
      <sheetData sheetId="10653">
        <row r="7">
          <cell r="AI7">
            <v>10000</v>
          </cell>
        </row>
      </sheetData>
      <sheetData sheetId="10654">
        <row r="7">
          <cell r="AI7">
            <v>10000</v>
          </cell>
        </row>
      </sheetData>
      <sheetData sheetId="10655" refreshError="1"/>
      <sheetData sheetId="10656" refreshError="1"/>
      <sheetData sheetId="10657" refreshError="1"/>
      <sheetData sheetId="10658" refreshError="1"/>
      <sheetData sheetId="10659">
        <row r="7">
          <cell r="AI7">
            <v>10000</v>
          </cell>
        </row>
      </sheetData>
      <sheetData sheetId="10660" refreshError="1"/>
      <sheetData sheetId="10661">
        <row r="7">
          <cell r="AI7">
            <v>10000</v>
          </cell>
        </row>
      </sheetData>
      <sheetData sheetId="10662">
        <row r="7">
          <cell r="AI7">
            <v>10000</v>
          </cell>
        </row>
      </sheetData>
      <sheetData sheetId="10663">
        <row r="7">
          <cell r="AI7">
            <v>10000</v>
          </cell>
        </row>
      </sheetData>
      <sheetData sheetId="10664">
        <row r="7">
          <cell r="AI7">
            <v>10000</v>
          </cell>
        </row>
      </sheetData>
      <sheetData sheetId="10665">
        <row r="7">
          <cell r="AI7">
            <v>10000</v>
          </cell>
        </row>
      </sheetData>
      <sheetData sheetId="10666">
        <row r="7">
          <cell r="AI7">
            <v>10000</v>
          </cell>
        </row>
      </sheetData>
      <sheetData sheetId="10667">
        <row r="7">
          <cell r="AI7">
            <v>10000</v>
          </cell>
        </row>
      </sheetData>
      <sheetData sheetId="10668">
        <row r="7">
          <cell r="AI7">
            <v>10000</v>
          </cell>
        </row>
      </sheetData>
      <sheetData sheetId="10669">
        <row r="7">
          <cell r="AI7">
            <v>10000</v>
          </cell>
        </row>
      </sheetData>
      <sheetData sheetId="10670">
        <row r="7">
          <cell r="AI7">
            <v>10000</v>
          </cell>
        </row>
      </sheetData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>
        <row r="7">
          <cell r="AI7">
            <v>10000</v>
          </cell>
        </row>
      </sheetData>
      <sheetData sheetId="10679">
        <row r="7">
          <cell r="AI7">
            <v>10000</v>
          </cell>
        </row>
      </sheetData>
      <sheetData sheetId="10680">
        <row r="7">
          <cell r="AI7">
            <v>10000</v>
          </cell>
        </row>
      </sheetData>
      <sheetData sheetId="10681">
        <row r="7">
          <cell r="AI7">
            <v>10000</v>
          </cell>
        </row>
      </sheetData>
      <sheetData sheetId="10682">
        <row r="7">
          <cell r="AI7">
            <v>10000</v>
          </cell>
        </row>
      </sheetData>
      <sheetData sheetId="10683">
        <row r="7">
          <cell r="AI7">
            <v>10000</v>
          </cell>
        </row>
      </sheetData>
      <sheetData sheetId="10684">
        <row r="7">
          <cell r="AI7">
            <v>10000</v>
          </cell>
        </row>
      </sheetData>
      <sheetData sheetId="10685">
        <row r="7">
          <cell r="AI7">
            <v>10000</v>
          </cell>
        </row>
      </sheetData>
      <sheetData sheetId="10686">
        <row r="7">
          <cell r="AI7">
            <v>10000</v>
          </cell>
        </row>
      </sheetData>
      <sheetData sheetId="10687">
        <row r="7">
          <cell r="AI7">
            <v>10000</v>
          </cell>
        </row>
      </sheetData>
      <sheetData sheetId="10688">
        <row r="7">
          <cell r="AI7">
            <v>10000</v>
          </cell>
        </row>
      </sheetData>
      <sheetData sheetId="10689">
        <row r="7">
          <cell r="AI7">
            <v>10000</v>
          </cell>
        </row>
      </sheetData>
      <sheetData sheetId="10690">
        <row r="7">
          <cell r="AI7">
            <v>10000</v>
          </cell>
        </row>
      </sheetData>
      <sheetData sheetId="10691">
        <row r="7">
          <cell r="AI7">
            <v>10000</v>
          </cell>
        </row>
      </sheetData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>
        <row r="7">
          <cell r="AI7">
            <v>10000</v>
          </cell>
        </row>
      </sheetData>
      <sheetData sheetId="10703">
        <row r="7">
          <cell r="AI7">
            <v>10000</v>
          </cell>
        </row>
      </sheetData>
      <sheetData sheetId="10704">
        <row r="7">
          <cell r="AI7">
            <v>10000</v>
          </cell>
        </row>
      </sheetData>
      <sheetData sheetId="10705">
        <row r="7">
          <cell r="AI7">
            <v>10000</v>
          </cell>
        </row>
      </sheetData>
      <sheetData sheetId="10706">
        <row r="7">
          <cell r="AI7">
            <v>10000</v>
          </cell>
        </row>
      </sheetData>
      <sheetData sheetId="10707" refreshError="1"/>
      <sheetData sheetId="10708" refreshError="1"/>
      <sheetData sheetId="10709" refreshError="1"/>
      <sheetData sheetId="10710">
        <row r="7">
          <cell r="AI7">
            <v>10000</v>
          </cell>
        </row>
      </sheetData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>
        <row r="7">
          <cell r="AI7">
            <v>10000</v>
          </cell>
        </row>
      </sheetData>
      <sheetData sheetId="10718">
        <row r="7">
          <cell r="AI7">
            <v>10000</v>
          </cell>
        </row>
      </sheetData>
      <sheetData sheetId="10719">
        <row r="7">
          <cell r="AI7">
            <v>10000</v>
          </cell>
        </row>
      </sheetData>
      <sheetData sheetId="10720">
        <row r="7">
          <cell r="AI7">
            <v>10000</v>
          </cell>
        </row>
      </sheetData>
      <sheetData sheetId="10721">
        <row r="7">
          <cell r="AI7">
            <v>10000</v>
          </cell>
        </row>
      </sheetData>
      <sheetData sheetId="10722">
        <row r="7">
          <cell r="AI7">
            <v>10000</v>
          </cell>
        </row>
      </sheetData>
      <sheetData sheetId="10723">
        <row r="7">
          <cell r="AI7">
            <v>10000</v>
          </cell>
        </row>
      </sheetData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>
        <row r="7">
          <cell r="AI7">
            <v>10000</v>
          </cell>
        </row>
      </sheetData>
      <sheetData sheetId="10765">
        <row r="7">
          <cell r="AI7">
            <v>10000</v>
          </cell>
        </row>
      </sheetData>
      <sheetData sheetId="10766">
        <row r="7">
          <cell r="AI7">
            <v>10000</v>
          </cell>
        </row>
      </sheetData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>
        <row r="7">
          <cell r="AI7">
            <v>10000</v>
          </cell>
        </row>
      </sheetData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>
        <row r="7">
          <cell r="AI7">
            <v>10000</v>
          </cell>
        </row>
      </sheetData>
      <sheetData sheetId="10780">
        <row r="7">
          <cell r="AI7">
            <v>10000</v>
          </cell>
        </row>
      </sheetData>
      <sheetData sheetId="10781">
        <row r="7">
          <cell r="AI7">
            <v>10000</v>
          </cell>
        </row>
      </sheetData>
      <sheetData sheetId="10782">
        <row r="7">
          <cell r="AI7">
            <v>10000</v>
          </cell>
        </row>
      </sheetData>
      <sheetData sheetId="10783">
        <row r="7">
          <cell r="AI7">
            <v>10000</v>
          </cell>
        </row>
      </sheetData>
      <sheetData sheetId="10784">
        <row r="7">
          <cell r="AI7">
            <v>10000</v>
          </cell>
        </row>
      </sheetData>
      <sheetData sheetId="10785">
        <row r="7">
          <cell r="AI7">
            <v>10000</v>
          </cell>
        </row>
      </sheetData>
      <sheetData sheetId="10786" refreshError="1"/>
      <sheetData sheetId="10787">
        <row r="7">
          <cell r="AI7">
            <v>10000</v>
          </cell>
        </row>
      </sheetData>
      <sheetData sheetId="10788">
        <row r="7">
          <cell r="AI7">
            <v>10000</v>
          </cell>
        </row>
      </sheetData>
      <sheetData sheetId="10789">
        <row r="7">
          <cell r="AI7">
            <v>10000</v>
          </cell>
        </row>
      </sheetData>
      <sheetData sheetId="10790">
        <row r="7">
          <cell r="AI7">
            <v>10000</v>
          </cell>
        </row>
      </sheetData>
      <sheetData sheetId="10791">
        <row r="7">
          <cell r="AI7">
            <v>10000</v>
          </cell>
        </row>
      </sheetData>
      <sheetData sheetId="10792">
        <row r="7">
          <cell r="AI7">
            <v>10000</v>
          </cell>
        </row>
      </sheetData>
      <sheetData sheetId="10793">
        <row r="7">
          <cell r="AI7">
            <v>10000</v>
          </cell>
        </row>
      </sheetData>
      <sheetData sheetId="10794">
        <row r="7">
          <cell r="AI7">
            <v>10000</v>
          </cell>
        </row>
      </sheetData>
      <sheetData sheetId="10795">
        <row r="7">
          <cell r="AI7">
            <v>10000</v>
          </cell>
        </row>
      </sheetData>
      <sheetData sheetId="10796">
        <row r="7">
          <cell r="AI7">
            <v>10000</v>
          </cell>
        </row>
      </sheetData>
      <sheetData sheetId="10797">
        <row r="7">
          <cell r="AI7">
            <v>10000</v>
          </cell>
        </row>
      </sheetData>
      <sheetData sheetId="10798">
        <row r="7">
          <cell r="AI7">
            <v>10000</v>
          </cell>
        </row>
      </sheetData>
      <sheetData sheetId="10799">
        <row r="7">
          <cell r="AI7">
            <v>10000</v>
          </cell>
        </row>
      </sheetData>
      <sheetData sheetId="10800">
        <row r="7">
          <cell r="AI7">
            <v>10000</v>
          </cell>
        </row>
      </sheetData>
      <sheetData sheetId="10801">
        <row r="7">
          <cell r="AI7">
            <v>10000</v>
          </cell>
        </row>
      </sheetData>
      <sheetData sheetId="10802">
        <row r="7">
          <cell r="AI7">
            <v>10000</v>
          </cell>
        </row>
      </sheetData>
      <sheetData sheetId="10803">
        <row r="7">
          <cell r="AI7">
            <v>10000</v>
          </cell>
        </row>
      </sheetData>
      <sheetData sheetId="10804">
        <row r="7">
          <cell r="AI7">
            <v>10000</v>
          </cell>
        </row>
      </sheetData>
      <sheetData sheetId="10805">
        <row r="7">
          <cell r="AI7">
            <v>10000</v>
          </cell>
        </row>
      </sheetData>
      <sheetData sheetId="10806">
        <row r="7">
          <cell r="AI7">
            <v>10000</v>
          </cell>
        </row>
      </sheetData>
      <sheetData sheetId="10807">
        <row r="7">
          <cell r="AI7">
            <v>10000</v>
          </cell>
        </row>
      </sheetData>
      <sheetData sheetId="10808">
        <row r="7">
          <cell r="AI7">
            <v>10000</v>
          </cell>
        </row>
      </sheetData>
      <sheetData sheetId="10809">
        <row r="7">
          <cell r="AI7">
            <v>10000</v>
          </cell>
        </row>
      </sheetData>
      <sheetData sheetId="10810">
        <row r="7">
          <cell r="AI7">
            <v>10000</v>
          </cell>
        </row>
      </sheetData>
      <sheetData sheetId="10811">
        <row r="7">
          <cell r="AI7">
            <v>10000</v>
          </cell>
        </row>
      </sheetData>
      <sheetData sheetId="10812">
        <row r="7">
          <cell r="AI7">
            <v>10000</v>
          </cell>
        </row>
      </sheetData>
      <sheetData sheetId="10813">
        <row r="7">
          <cell r="AI7">
            <v>10000</v>
          </cell>
        </row>
      </sheetData>
      <sheetData sheetId="10814">
        <row r="7">
          <cell r="AI7">
            <v>10000</v>
          </cell>
        </row>
      </sheetData>
      <sheetData sheetId="10815">
        <row r="7">
          <cell r="AI7">
            <v>10000</v>
          </cell>
        </row>
      </sheetData>
      <sheetData sheetId="10816" refreshError="1"/>
      <sheetData sheetId="10817">
        <row r="7">
          <cell r="AI7">
            <v>10000</v>
          </cell>
        </row>
      </sheetData>
      <sheetData sheetId="10818">
        <row r="7">
          <cell r="AI7">
            <v>10000</v>
          </cell>
        </row>
      </sheetData>
      <sheetData sheetId="10819">
        <row r="7">
          <cell r="AI7">
            <v>10000</v>
          </cell>
        </row>
      </sheetData>
      <sheetData sheetId="10820">
        <row r="7">
          <cell r="AI7">
            <v>10000</v>
          </cell>
        </row>
      </sheetData>
      <sheetData sheetId="10821">
        <row r="7">
          <cell r="AI7">
            <v>10000</v>
          </cell>
        </row>
      </sheetData>
      <sheetData sheetId="10822">
        <row r="7">
          <cell r="AI7">
            <v>10000</v>
          </cell>
        </row>
      </sheetData>
      <sheetData sheetId="10823">
        <row r="7">
          <cell r="AI7">
            <v>10000</v>
          </cell>
        </row>
      </sheetData>
      <sheetData sheetId="10824">
        <row r="7">
          <cell r="AI7">
            <v>10000</v>
          </cell>
        </row>
      </sheetData>
      <sheetData sheetId="10825">
        <row r="7">
          <cell r="AI7">
            <v>10000</v>
          </cell>
        </row>
      </sheetData>
      <sheetData sheetId="10826">
        <row r="7">
          <cell r="AI7">
            <v>10000</v>
          </cell>
        </row>
      </sheetData>
      <sheetData sheetId="10827">
        <row r="7">
          <cell r="AI7">
            <v>10000</v>
          </cell>
        </row>
      </sheetData>
      <sheetData sheetId="10828" refreshError="1"/>
      <sheetData sheetId="10829">
        <row r="7">
          <cell r="AI7">
            <v>10000</v>
          </cell>
        </row>
      </sheetData>
      <sheetData sheetId="10830">
        <row r="7">
          <cell r="AI7">
            <v>10000</v>
          </cell>
        </row>
      </sheetData>
      <sheetData sheetId="10831">
        <row r="7">
          <cell r="AI7">
            <v>10000</v>
          </cell>
        </row>
      </sheetData>
      <sheetData sheetId="10832">
        <row r="7">
          <cell r="AI7">
            <v>10000</v>
          </cell>
        </row>
      </sheetData>
      <sheetData sheetId="10833">
        <row r="7">
          <cell r="AI7">
            <v>10000</v>
          </cell>
        </row>
      </sheetData>
      <sheetData sheetId="10834">
        <row r="7">
          <cell r="AI7">
            <v>10000</v>
          </cell>
        </row>
      </sheetData>
      <sheetData sheetId="10835">
        <row r="7">
          <cell r="AI7">
            <v>10000</v>
          </cell>
        </row>
      </sheetData>
      <sheetData sheetId="10836">
        <row r="7">
          <cell r="AI7">
            <v>10000</v>
          </cell>
        </row>
      </sheetData>
      <sheetData sheetId="10837">
        <row r="7">
          <cell r="AI7">
            <v>10000</v>
          </cell>
        </row>
      </sheetData>
      <sheetData sheetId="10838">
        <row r="7">
          <cell r="AI7">
            <v>10000</v>
          </cell>
        </row>
      </sheetData>
      <sheetData sheetId="10839">
        <row r="7">
          <cell r="AI7">
            <v>10000</v>
          </cell>
        </row>
      </sheetData>
      <sheetData sheetId="10840">
        <row r="7">
          <cell r="AI7">
            <v>10000</v>
          </cell>
        </row>
      </sheetData>
      <sheetData sheetId="10841">
        <row r="7">
          <cell r="AI7">
            <v>10000</v>
          </cell>
        </row>
      </sheetData>
      <sheetData sheetId="10842">
        <row r="7">
          <cell r="AI7">
            <v>10000</v>
          </cell>
        </row>
      </sheetData>
      <sheetData sheetId="10843">
        <row r="7">
          <cell r="AI7">
            <v>10000</v>
          </cell>
        </row>
      </sheetData>
      <sheetData sheetId="10844">
        <row r="7">
          <cell r="AI7">
            <v>10000</v>
          </cell>
        </row>
      </sheetData>
      <sheetData sheetId="10845">
        <row r="7">
          <cell r="AI7">
            <v>10000</v>
          </cell>
        </row>
      </sheetData>
      <sheetData sheetId="10846">
        <row r="7">
          <cell r="AI7">
            <v>10000</v>
          </cell>
        </row>
      </sheetData>
      <sheetData sheetId="10847">
        <row r="7">
          <cell r="AI7">
            <v>10000</v>
          </cell>
        </row>
      </sheetData>
      <sheetData sheetId="10848">
        <row r="7">
          <cell r="AI7">
            <v>10000</v>
          </cell>
        </row>
      </sheetData>
      <sheetData sheetId="10849">
        <row r="7">
          <cell r="AI7">
            <v>10000</v>
          </cell>
        </row>
      </sheetData>
      <sheetData sheetId="10850">
        <row r="7">
          <cell r="AI7">
            <v>10000</v>
          </cell>
        </row>
      </sheetData>
      <sheetData sheetId="10851">
        <row r="7">
          <cell r="AI7">
            <v>10000</v>
          </cell>
        </row>
      </sheetData>
      <sheetData sheetId="10852">
        <row r="7">
          <cell r="AI7">
            <v>10000</v>
          </cell>
        </row>
      </sheetData>
      <sheetData sheetId="10853">
        <row r="7">
          <cell r="AI7">
            <v>10000</v>
          </cell>
        </row>
      </sheetData>
      <sheetData sheetId="10854">
        <row r="7">
          <cell r="AI7">
            <v>10000</v>
          </cell>
        </row>
      </sheetData>
      <sheetData sheetId="10855" refreshError="1"/>
      <sheetData sheetId="10856">
        <row r="7">
          <cell r="AI7">
            <v>10000</v>
          </cell>
        </row>
      </sheetData>
      <sheetData sheetId="10857">
        <row r="7">
          <cell r="AI7">
            <v>10000</v>
          </cell>
        </row>
      </sheetData>
      <sheetData sheetId="10858">
        <row r="7">
          <cell r="AI7">
            <v>10000</v>
          </cell>
        </row>
      </sheetData>
      <sheetData sheetId="10859">
        <row r="7">
          <cell r="AI7">
            <v>10000</v>
          </cell>
        </row>
      </sheetData>
      <sheetData sheetId="10860">
        <row r="7">
          <cell r="AI7">
            <v>10000</v>
          </cell>
        </row>
      </sheetData>
      <sheetData sheetId="10861">
        <row r="7">
          <cell r="AI7">
            <v>10000</v>
          </cell>
        </row>
      </sheetData>
      <sheetData sheetId="10862">
        <row r="7">
          <cell r="AI7">
            <v>10000</v>
          </cell>
        </row>
      </sheetData>
      <sheetData sheetId="10863">
        <row r="7">
          <cell r="AI7">
            <v>10000</v>
          </cell>
        </row>
      </sheetData>
      <sheetData sheetId="10864">
        <row r="7">
          <cell r="AI7">
            <v>10000</v>
          </cell>
        </row>
      </sheetData>
      <sheetData sheetId="10865">
        <row r="7">
          <cell r="AI7">
            <v>10000</v>
          </cell>
        </row>
      </sheetData>
      <sheetData sheetId="10866">
        <row r="7">
          <cell r="AI7">
            <v>10000</v>
          </cell>
        </row>
      </sheetData>
      <sheetData sheetId="10867">
        <row r="7">
          <cell r="AI7">
            <v>10000</v>
          </cell>
        </row>
      </sheetData>
      <sheetData sheetId="10868">
        <row r="7">
          <cell r="AI7">
            <v>10000</v>
          </cell>
        </row>
      </sheetData>
      <sheetData sheetId="10869">
        <row r="7">
          <cell r="AI7">
            <v>10000</v>
          </cell>
        </row>
      </sheetData>
      <sheetData sheetId="10870">
        <row r="7">
          <cell r="AI7">
            <v>10000</v>
          </cell>
        </row>
      </sheetData>
      <sheetData sheetId="10871">
        <row r="7">
          <cell r="AI7">
            <v>10000</v>
          </cell>
        </row>
      </sheetData>
      <sheetData sheetId="10872">
        <row r="7">
          <cell r="AI7">
            <v>10000</v>
          </cell>
        </row>
      </sheetData>
      <sheetData sheetId="10873">
        <row r="7">
          <cell r="AI7">
            <v>10000</v>
          </cell>
        </row>
      </sheetData>
      <sheetData sheetId="10874">
        <row r="7">
          <cell r="AI7">
            <v>10000</v>
          </cell>
        </row>
      </sheetData>
      <sheetData sheetId="10875">
        <row r="7">
          <cell r="AI7">
            <v>10000</v>
          </cell>
        </row>
      </sheetData>
      <sheetData sheetId="10876">
        <row r="7">
          <cell r="AI7">
            <v>10000</v>
          </cell>
        </row>
      </sheetData>
      <sheetData sheetId="10877">
        <row r="7">
          <cell r="AI7">
            <v>10000</v>
          </cell>
        </row>
      </sheetData>
      <sheetData sheetId="10878">
        <row r="7">
          <cell r="AI7">
            <v>10000</v>
          </cell>
        </row>
      </sheetData>
      <sheetData sheetId="10879">
        <row r="7">
          <cell r="AI7">
            <v>10000</v>
          </cell>
        </row>
      </sheetData>
      <sheetData sheetId="10880">
        <row r="7">
          <cell r="AI7">
            <v>10000</v>
          </cell>
        </row>
      </sheetData>
      <sheetData sheetId="10881">
        <row r="7">
          <cell r="AI7">
            <v>10000</v>
          </cell>
        </row>
      </sheetData>
      <sheetData sheetId="10882">
        <row r="7">
          <cell r="AI7">
            <v>10000</v>
          </cell>
        </row>
      </sheetData>
      <sheetData sheetId="10883">
        <row r="7">
          <cell r="AI7">
            <v>10000</v>
          </cell>
        </row>
      </sheetData>
      <sheetData sheetId="10884">
        <row r="7">
          <cell r="AI7">
            <v>10000</v>
          </cell>
        </row>
      </sheetData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>
        <row r="7">
          <cell r="AI7">
            <v>10000</v>
          </cell>
        </row>
      </sheetData>
      <sheetData sheetId="10895">
        <row r="7">
          <cell r="AI7">
            <v>10000</v>
          </cell>
        </row>
      </sheetData>
      <sheetData sheetId="10896">
        <row r="7">
          <cell r="AI7">
            <v>10000</v>
          </cell>
        </row>
      </sheetData>
      <sheetData sheetId="10897">
        <row r="7">
          <cell r="AI7">
            <v>10000</v>
          </cell>
        </row>
      </sheetData>
      <sheetData sheetId="10898">
        <row r="7">
          <cell r="AI7">
            <v>10000</v>
          </cell>
        </row>
      </sheetData>
      <sheetData sheetId="10899">
        <row r="7">
          <cell r="AI7">
            <v>10000</v>
          </cell>
        </row>
      </sheetData>
      <sheetData sheetId="10900">
        <row r="7">
          <cell r="AI7">
            <v>10000</v>
          </cell>
        </row>
      </sheetData>
      <sheetData sheetId="10901">
        <row r="7">
          <cell r="AI7">
            <v>10000</v>
          </cell>
        </row>
      </sheetData>
      <sheetData sheetId="10902">
        <row r="7">
          <cell r="AI7">
            <v>10000</v>
          </cell>
        </row>
      </sheetData>
      <sheetData sheetId="10903">
        <row r="7">
          <cell r="AI7">
            <v>10000</v>
          </cell>
        </row>
      </sheetData>
      <sheetData sheetId="10904">
        <row r="7">
          <cell r="AI7">
            <v>10000</v>
          </cell>
        </row>
      </sheetData>
      <sheetData sheetId="10905">
        <row r="7">
          <cell r="AI7">
            <v>10000</v>
          </cell>
        </row>
      </sheetData>
      <sheetData sheetId="10906">
        <row r="7">
          <cell r="AI7">
            <v>10000</v>
          </cell>
        </row>
      </sheetData>
      <sheetData sheetId="10907">
        <row r="7">
          <cell r="AI7">
            <v>10000</v>
          </cell>
        </row>
      </sheetData>
      <sheetData sheetId="10908">
        <row r="7">
          <cell r="AI7">
            <v>10000</v>
          </cell>
        </row>
      </sheetData>
      <sheetData sheetId="10909">
        <row r="7">
          <cell r="AI7">
            <v>10000</v>
          </cell>
        </row>
      </sheetData>
      <sheetData sheetId="10910">
        <row r="7">
          <cell r="AI7">
            <v>10000</v>
          </cell>
        </row>
      </sheetData>
      <sheetData sheetId="10911">
        <row r="7">
          <cell r="AI7">
            <v>10000</v>
          </cell>
        </row>
      </sheetData>
      <sheetData sheetId="10912">
        <row r="7">
          <cell r="AI7">
            <v>10000</v>
          </cell>
        </row>
      </sheetData>
      <sheetData sheetId="10913">
        <row r="7">
          <cell r="AI7">
            <v>10000</v>
          </cell>
        </row>
      </sheetData>
      <sheetData sheetId="10914">
        <row r="7">
          <cell r="AI7">
            <v>10000</v>
          </cell>
        </row>
      </sheetData>
      <sheetData sheetId="10915">
        <row r="7">
          <cell r="AI7">
            <v>10000</v>
          </cell>
        </row>
      </sheetData>
      <sheetData sheetId="10916">
        <row r="7">
          <cell r="AI7">
            <v>10000</v>
          </cell>
        </row>
      </sheetData>
      <sheetData sheetId="10917">
        <row r="7">
          <cell r="AI7">
            <v>10000</v>
          </cell>
        </row>
      </sheetData>
      <sheetData sheetId="10918">
        <row r="7">
          <cell r="AI7">
            <v>10000</v>
          </cell>
        </row>
      </sheetData>
      <sheetData sheetId="10919">
        <row r="7">
          <cell r="AI7">
            <v>10000</v>
          </cell>
        </row>
      </sheetData>
      <sheetData sheetId="10920">
        <row r="7">
          <cell r="AI7">
            <v>10000</v>
          </cell>
        </row>
      </sheetData>
      <sheetData sheetId="10921">
        <row r="7">
          <cell r="AI7">
            <v>10000</v>
          </cell>
        </row>
      </sheetData>
      <sheetData sheetId="10922">
        <row r="7">
          <cell r="AI7">
            <v>10000</v>
          </cell>
        </row>
      </sheetData>
      <sheetData sheetId="10923">
        <row r="7">
          <cell r="AI7">
            <v>10000</v>
          </cell>
        </row>
      </sheetData>
      <sheetData sheetId="10924">
        <row r="7">
          <cell r="AI7">
            <v>10000</v>
          </cell>
        </row>
      </sheetData>
      <sheetData sheetId="10925">
        <row r="7">
          <cell r="AI7">
            <v>10000</v>
          </cell>
        </row>
      </sheetData>
      <sheetData sheetId="10926">
        <row r="7">
          <cell r="AI7">
            <v>10000</v>
          </cell>
        </row>
      </sheetData>
      <sheetData sheetId="10927">
        <row r="7">
          <cell r="AI7">
            <v>10000</v>
          </cell>
        </row>
      </sheetData>
      <sheetData sheetId="10928">
        <row r="7">
          <cell r="AI7">
            <v>10000</v>
          </cell>
        </row>
      </sheetData>
      <sheetData sheetId="10929">
        <row r="7">
          <cell r="AI7">
            <v>10000</v>
          </cell>
        </row>
      </sheetData>
      <sheetData sheetId="10930">
        <row r="7">
          <cell r="AI7">
            <v>10000</v>
          </cell>
        </row>
      </sheetData>
      <sheetData sheetId="10931">
        <row r="7">
          <cell r="AI7">
            <v>10000</v>
          </cell>
        </row>
      </sheetData>
      <sheetData sheetId="10932">
        <row r="7">
          <cell r="AI7">
            <v>10000</v>
          </cell>
        </row>
      </sheetData>
      <sheetData sheetId="10933">
        <row r="7">
          <cell r="AI7">
            <v>10000</v>
          </cell>
        </row>
      </sheetData>
      <sheetData sheetId="10934">
        <row r="7">
          <cell r="AI7">
            <v>10000</v>
          </cell>
        </row>
      </sheetData>
      <sheetData sheetId="10935">
        <row r="7">
          <cell r="AI7">
            <v>10000</v>
          </cell>
        </row>
      </sheetData>
      <sheetData sheetId="10936">
        <row r="7">
          <cell r="AI7">
            <v>10000</v>
          </cell>
        </row>
      </sheetData>
      <sheetData sheetId="10937">
        <row r="7">
          <cell r="AI7">
            <v>10000</v>
          </cell>
        </row>
      </sheetData>
      <sheetData sheetId="10938">
        <row r="7">
          <cell r="AI7">
            <v>10000</v>
          </cell>
        </row>
      </sheetData>
      <sheetData sheetId="10939">
        <row r="7">
          <cell r="AI7">
            <v>10000</v>
          </cell>
        </row>
      </sheetData>
      <sheetData sheetId="10940">
        <row r="7">
          <cell r="AI7">
            <v>10000</v>
          </cell>
        </row>
      </sheetData>
      <sheetData sheetId="10941">
        <row r="7">
          <cell r="AI7">
            <v>10000</v>
          </cell>
        </row>
      </sheetData>
      <sheetData sheetId="10942">
        <row r="7">
          <cell r="AI7">
            <v>10000</v>
          </cell>
        </row>
      </sheetData>
      <sheetData sheetId="10943">
        <row r="7">
          <cell r="AI7">
            <v>10000</v>
          </cell>
        </row>
      </sheetData>
      <sheetData sheetId="10944">
        <row r="7">
          <cell r="AI7">
            <v>10000</v>
          </cell>
        </row>
      </sheetData>
      <sheetData sheetId="10945">
        <row r="7">
          <cell r="AI7">
            <v>10000</v>
          </cell>
        </row>
      </sheetData>
      <sheetData sheetId="10946">
        <row r="7">
          <cell r="AI7">
            <v>10000</v>
          </cell>
        </row>
      </sheetData>
      <sheetData sheetId="10947">
        <row r="7">
          <cell r="AI7">
            <v>10000</v>
          </cell>
        </row>
      </sheetData>
      <sheetData sheetId="10948">
        <row r="7">
          <cell r="AI7">
            <v>10000</v>
          </cell>
        </row>
      </sheetData>
      <sheetData sheetId="10949">
        <row r="7">
          <cell r="AI7">
            <v>10000</v>
          </cell>
        </row>
      </sheetData>
      <sheetData sheetId="10950">
        <row r="7">
          <cell r="AI7">
            <v>10000</v>
          </cell>
        </row>
      </sheetData>
      <sheetData sheetId="10951">
        <row r="7">
          <cell r="AI7">
            <v>10000</v>
          </cell>
        </row>
      </sheetData>
      <sheetData sheetId="10952">
        <row r="7">
          <cell r="AI7">
            <v>10000</v>
          </cell>
        </row>
      </sheetData>
      <sheetData sheetId="10953">
        <row r="7">
          <cell r="AI7">
            <v>10000</v>
          </cell>
        </row>
      </sheetData>
      <sheetData sheetId="10954">
        <row r="7">
          <cell r="AI7">
            <v>10000</v>
          </cell>
        </row>
      </sheetData>
      <sheetData sheetId="10955">
        <row r="7">
          <cell r="AI7">
            <v>10000</v>
          </cell>
        </row>
      </sheetData>
      <sheetData sheetId="10956">
        <row r="7">
          <cell r="AI7">
            <v>10000</v>
          </cell>
        </row>
      </sheetData>
      <sheetData sheetId="10957">
        <row r="7">
          <cell r="AI7">
            <v>10000</v>
          </cell>
        </row>
      </sheetData>
      <sheetData sheetId="10958">
        <row r="7">
          <cell r="AI7">
            <v>10000</v>
          </cell>
        </row>
      </sheetData>
      <sheetData sheetId="10959">
        <row r="7">
          <cell r="AI7">
            <v>10000</v>
          </cell>
        </row>
      </sheetData>
      <sheetData sheetId="10960">
        <row r="7">
          <cell r="AI7">
            <v>10000</v>
          </cell>
        </row>
      </sheetData>
      <sheetData sheetId="10961">
        <row r="7">
          <cell r="AI7">
            <v>10000</v>
          </cell>
        </row>
      </sheetData>
      <sheetData sheetId="10962">
        <row r="7">
          <cell r="AI7">
            <v>10000</v>
          </cell>
        </row>
      </sheetData>
      <sheetData sheetId="10963">
        <row r="7">
          <cell r="AI7">
            <v>10000</v>
          </cell>
        </row>
      </sheetData>
      <sheetData sheetId="10964">
        <row r="7">
          <cell r="AI7">
            <v>10000</v>
          </cell>
        </row>
      </sheetData>
      <sheetData sheetId="10965">
        <row r="7">
          <cell r="AI7">
            <v>10000</v>
          </cell>
        </row>
      </sheetData>
      <sheetData sheetId="10966">
        <row r="7">
          <cell r="AI7">
            <v>10000</v>
          </cell>
        </row>
      </sheetData>
      <sheetData sheetId="10967">
        <row r="7">
          <cell r="AI7">
            <v>10000</v>
          </cell>
        </row>
      </sheetData>
      <sheetData sheetId="10968">
        <row r="7">
          <cell r="AI7">
            <v>10000</v>
          </cell>
        </row>
      </sheetData>
      <sheetData sheetId="10969">
        <row r="7">
          <cell r="AI7">
            <v>10000</v>
          </cell>
        </row>
      </sheetData>
      <sheetData sheetId="10970">
        <row r="7">
          <cell r="AI7">
            <v>10000</v>
          </cell>
        </row>
      </sheetData>
      <sheetData sheetId="10971">
        <row r="7">
          <cell r="AI7">
            <v>10000</v>
          </cell>
        </row>
      </sheetData>
      <sheetData sheetId="10972">
        <row r="7">
          <cell r="AI7">
            <v>10000</v>
          </cell>
        </row>
      </sheetData>
      <sheetData sheetId="10973">
        <row r="7">
          <cell r="AI7">
            <v>10000</v>
          </cell>
        </row>
      </sheetData>
      <sheetData sheetId="10974">
        <row r="7">
          <cell r="AI7">
            <v>10000</v>
          </cell>
        </row>
      </sheetData>
      <sheetData sheetId="10975">
        <row r="7">
          <cell r="AI7">
            <v>10000</v>
          </cell>
        </row>
      </sheetData>
      <sheetData sheetId="10976">
        <row r="7">
          <cell r="AI7">
            <v>10000</v>
          </cell>
        </row>
      </sheetData>
      <sheetData sheetId="10977">
        <row r="7">
          <cell r="AI7">
            <v>10000</v>
          </cell>
        </row>
      </sheetData>
      <sheetData sheetId="10978">
        <row r="7">
          <cell r="AI7">
            <v>10000</v>
          </cell>
        </row>
      </sheetData>
      <sheetData sheetId="10979">
        <row r="7">
          <cell r="AI7">
            <v>10000</v>
          </cell>
        </row>
      </sheetData>
      <sheetData sheetId="10980">
        <row r="7">
          <cell r="AI7">
            <v>10000</v>
          </cell>
        </row>
      </sheetData>
      <sheetData sheetId="10981">
        <row r="7">
          <cell r="AI7">
            <v>10000</v>
          </cell>
        </row>
      </sheetData>
      <sheetData sheetId="10982">
        <row r="7">
          <cell r="AI7">
            <v>10000</v>
          </cell>
        </row>
      </sheetData>
      <sheetData sheetId="10983">
        <row r="7">
          <cell r="AI7">
            <v>10000</v>
          </cell>
        </row>
      </sheetData>
      <sheetData sheetId="10984">
        <row r="7">
          <cell r="AI7">
            <v>10000</v>
          </cell>
        </row>
      </sheetData>
      <sheetData sheetId="10985">
        <row r="7">
          <cell r="AI7">
            <v>10000</v>
          </cell>
        </row>
      </sheetData>
      <sheetData sheetId="10986">
        <row r="7">
          <cell r="AI7">
            <v>10000</v>
          </cell>
        </row>
      </sheetData>
      <sheetData sheetId="10987">
        <row r="7">
          <cell r="AI7">
            <v>10000</v>
          </cell>
        </row>
      </sheetData>
      <sheetData sheetId="10988">
        <row r="7">
          <cell r="AI7">
            <v>10000</v>
          </cell>
        </row>
      </sheetData>
      <sheetData sheetId="10989">
        <row r="7">
          <cell r="AI7">
            <v>10000</v>
          </cell>
        </row>
      </sheetData>
      <sheetData sheetId="10990">
        <row r="7">
          <cell r="AI7">
            <v>10000</v>
          </cell>
        </row>
      </sheetData>
      <sheetData sheetId="10991">
        <row r="7">
          <cell r="AI7">
            <v>10000</v>
          </cell>
        </row>
      </sheetData>
      <sheetData sheetId="10992">
        <row r="7">
          <cell r="AI7">
            <v>10000</v>
          </cell>
        </row>
      </sheetData>
      <sheetData sheetId="10993" refreshError="1"/>
      <sheetData sheetId="10994" refreshError="1"/>
      <sheetData sheetId="10995">
        <row r="7">
          <cell r="AI7">
            <v>10000</v>
          </cell>
        </row>
      </sheetData>
      <sheetData sheetId="10996">
        <row r="7">
          <cell r="AI7">
            <v>10000</v>
          </cell>
        </row>
      </sheetData>
      <sheetData sheetId="10997">
        <row r="7">
          <cell r="AI7">
            <v>10000</v>
          </cell>
        </row>
      </sheetData>
      <sheetData sheetId="10998">
        <row r="7">
          <cell r="AI7">
            <v>10000</v>
          </cell>
        </row>
      </sheetData>
      <sheetData sheetId="10999">
        <row r="7">
          <cell r="AI7">
            <v>10000</v>
          </cell>
        </row>
      </sheetData>
      <sheetData sheetId="11000">
        <row r="7">
          <cell r="AI7">
            <v>10000</v>
          </cell>
        </row>
      </sheetData>
      <sheetData sheetId="11001">
        <row r="7">
          <cell r="AI7">
            <v>10000</v>
          </cell>
        </row>
      </sheetData>
      <sheetData sheetId="11002">
        <row r="7">
          <cell r="AI7">
            <v>10000</v>
          </cell>
        </row>
      </sheetData>
      <sheetData sheetId="11003">
        <row r="7">
          <cell r="AI7">
            <v>10000</v>
          </cell>
        </row>
      </sheetData>
      <sheetData sheetId="11004">
        <row r="7">
          <cell r="AI7">
            <v>10000</v>
          </cell>
        </row>
      </sheetData>
      <sheetData sheetId="11005">
        <row r="7">
          <cell r="AI7">
            <v>10000</v>
          </cell>
        </row>
      </sheetData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>
        <row r="7">
          <cell r="AI7">
            <v>10000</v>
          </cell>
        </row>
      </sheetData>
      <sheetData sheetId="11020">
        <row r="7">
          <cell r="AI7">
            <v>10000</v>
          </cell>
        </row>
      </sheetData>
      <sheetData sheetId="11021">
        <row r="7">
          <cell r="AI7">
            <v>10000</v>
          </cell>
        </row>
      </sheetData>
      <sheetData sheetId="11022">
        <row r="7">
          <cell r="AI7">
            <v>10000</v>
          </cell>
        </row>
      </sheetData>
      <sheetData sheetId="11023">
        <row r="7">
          <cell r="AI7">
            <v>10000</v>
          </cell>
        </row>
      </sheetData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>
        <row r="7">
          <cell r="AI7">
            <v>10000</v>
          </cell>
        </row>
      </sheetData>
      <sheetData sheetId="11106">
        <row r="7">
          <cell r="AI7">
            <v>10000</v>
          </cell>
        </row>
      </sheetData>
      <sheetData sheetId="11107">
        <row r="7">
          <cell r="AI7">
            <v>10000</v>
          </cell>
        </row>
      </sheetData>
      <sheetData sheetId="11108">
        <row r="7">
          <cell r="AI7">
            <v>10000</v>
          </cell>
        </row>
      </sheetData>
      <sheetData sheetId="11109">
        <row r="7">
          <cell r="AI7">
            <v>10000</v>
          </cell>
        </row>
      </sheetData>
      <sheetData sheetId="11110">
        <row r="7">
          <cell r="AI7">
            <v>10000</v>
          </cell>
        </row>
      </sheetData>
      <sheetData sheetId="11111">
        <row r="7">
          <cell r="AI7">
            <v>10000</v>
          </cell>
        </row>
      </sheetData>
      <sheetData sheetId="11112">
        <row r="7">
          <cell r="AI7">
            <v>10000</v>
          </cell>
        </row>
      </sheetData>
      <sheetData sheetId="11113">
        <row r="7">
          <cell r="AI7">
            <v>10000</v>
          </cell>
        </row>
      </sheetData>
      <sheetData sheetId="11114">
        <row r="7">
          <cell r="AI7">
            <v>10000</v>
          </cell>
        </row>
      </sheetData>
      <sheetData sheetId="11115">
        <row r="7">
          <cell r="AI7">
            <v>10000</v>
          </cell>
        </row>
      </sheetData>
      <sheetData sheetId="11116">
        <row r="7">
          <cell r="AI7">
            <v>10000</v>
          </cell>
        </row>
      </sheetData>
      <sheetData sheetId="11117">
        <row r="7">
          <cell r="AI7">
            <v>10000</v>
          </cell>
        </row>
      </sheetData>
      <sheetData sheetId="11118">
        <row r="7">
          <cell r="AI7">
            <v>10000</v>
          </cell>
        </row>
      </sheetData>
      <sheetData sheetId="11119">
        <row r="7">
          <cell r="AI7">
            <v>10000</v>
          </cell>
        </row>
      </sheetData>
      <sheetData sheetId="11120">
        <row r="7">
          <cell r="AI7">
            <v>10000</v>
          </cell>
        </row>
      </sheetData>
      <sheetData sheetId="11121">
        <row r="7">
          <cell r="AI7">
            <v>10000</v>
          </cell>
        </row>
      </sheetData>
      <sheetData sheetId="11122">
        <row r="7">
          <cell r="AI7">
            <v>10000</v>
          </cell>
        </row>
      </sheetData>
      <sheetData sheetId="11123">
        <row r="7">
          <cell r="AI7">
            <v>10000</v>
          </cell>
        </row>
      </sheetData>
      <sheetData sheetId="11124">
        <row r="7">
          <cell r="AI7">
            <v>10000</v>
          </cell>
        </row>
      </sheetData>
      <sheetData sheetId="11125">
        <row r="7">
          <cell r="AI7">
            <v>10000</v>
          </cell>
        </row>
      </sheetData>
      <sheetData sheetId="11126">
        <row r="7">
          <cell r="AI7">
            <v>10000</v>
          </cell>
        </row>
      </sheetData>
      <sheetData sheetId="11127">
        <row r="7">
          <cell r="AI7">
            <v>10000</v>
          </cell>
        </row>
      </sheetData>
      <sheetData sheetId="11128">
        <row r="7">
          <cell r="AI7">
            <v>10000</v>
          </cell>
        </row>
      </sheetData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>
        <row r="7">
          <cell r="AI7">
            <v>10000</v>
          </cell>
        </row>
      </sheetData>
      <sheetData sheetId="11146"/>
      <sheetData sheetId="11147" refreshError="1"/>
      <sheetData sheetId="11148" refreshError="1"/>
      <sheetData sheetId="11149" refreshError="1"/>
      <sheetData sheetId="11150" refreshError="1"/>
      <sheetData sheetId="1115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>
        <row r="7">
          <cell r="AH7" t="str">
            <v>SP1</v>
          </cell>
        </row>
      </sheetData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>
        <row r="7">
          <cell r="AH7" t="str">
            <v>SP1</v>
          </cell>
        </row>
      </sheetData>
      <sheetData sheetId="11243">
        <row r="7">
          <cell r="AH7" t="str">
            <v>SP1</v>
          </cell>
        </row>
      </sheetData>
      <sheetData sheetId="11244">
        <row r="7">
          <cell r="AH7" t="str">
            <v>SP1</v>
          </cell>
        </row>
      </sheetData>
      <sheetData sheetId="11245" refreshError="1"/>
      <sheetData sheetId="11246">
        <row r="7">
          <cell r="AI7">
            <v>10000</v>
          </cell>
        </row>
      </sheetData>
      <sheetData sheetId="11247" refreshError="1"/>
      <sheetData sheetId="11248" refreshError="1"/>
      <sheetData sheetId="11249">
        <row r="7">
          <cell r="AH7" t="str">
            <v>SP1</v>
          </cell>
        </row>
      </sheetData>
      <sheetData sheetId="11250" refreshError="1"/>
      <sheetData sheetId="11251">
        <row r="7">
          <cell r="AI7">
            <v>10000</v>
          </cell>
        </row>
      </sheetData>
      <sheetData sheetId="11252">
        <row r="7">
          <cell r="AH7" t="str">
            <v>SP1</v>
          </cell>
        </row>
      </sheetData>
      <sheetData sheetId="11253">
        <row r="7">
          <cell r="AH7" t="str">
            <v>SP1</v>
          </cell>
        </row>
      </sheetData>
      <sheetData sheetId="11254">
        <row r="7">
          <cell r="AH7" t="str">
            <v>SP1</v>
          </cell>
        </row>
      </sheetData>
      <sheetData sheetId="11255">
        <row r="7">
          <cell r="AI7">
            <v>10000</v>
          </cell>
        </row>
      </sheetData>
      <sheetData sheetId="11256">
        <row r="7">
          <cell r="AI7">
            <v>10000</v>
          </cell>
        </row>
      </sheetData>
      <sheetData sheetId="11257">
        <row r="7">
          <cell r="AH7" t="str">
            <v>SP1</v>
          </cell>
        </row>
      </sheetData>
      <sheetData sheetId="11258">
        <row r="7">
          <cell r="AH7" t="str">
            <v>SP1</v>
          </cell>
        </row>
      </sheetData>
      <sheetData sheetId="11259">
        <row r="7">
          <cell r="AH7" t="str">
            <v>SP1</v>
          </cell>
        </row>
      </sheetData>
      <sheetData sheetId="11260">
        <row r="7">
          <cell r="AI7">
            <v>10000</v>
          </cell>
        </row>
      </sheetData>
      <sheetData sheetId="11261">
        <row r="7">
          <cell r="AI7">
            <v>10000</v>
          </cell>
        </row>
      </sheetData>
      <sheetData sheetId="11262">
        <row r="7">
          <cell r="AI7">
            <v>10000</v>
          </cell>
        </row>
      </sheetData>
      <sheetData sheetId="11263">
        <row r="7">
          <cell r="AI7">
            <v>10000</v>
          </cell>
        </row>
      </sheetData>
      <sheetData sheetId="11264">
        <row r="7">
          <cell r="AI7">
            <v>10000</v>
          </cell>
        </row>
      </sheetData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>
        <row r="7">
          <cell r="AI7">
            <v>10000</v>
          </cell>
        </row>
      </sheetData>
      <sheetData sheetId="11277">
        <row r="7">
          <cell r="AI7">
            <v>10000</v>
          </cell>
        </row>
      </sheetData>
      <sheetData sheetId="11278">
        <row r="7">
          <cell r="AI7">
            <v>10000</v>
          </cell>
        </row>
      </sheetData>
      <sheetData sheetId="11279">
        <row r="7">
          <cell r="AI7">
            <v>10000</v>
          </cell>
        </row>
      </sheetData>
      <sheetData sheetId="11280">
        <row r="7">
          <cell r="AI7">
            <v>10000</v>
          </cell>
        </row>
      </sheetData>
      <sheetData sheetId="11281">
        <row r="7">
          <cell r="AI7">
            <v>10000</v>
          </cell>
        </row>
      </sheetData>
      <sheetData sheetId="11282">
        <row r="7">
          <cell r="AI7">
            <v>10000</v>
          </cell>
        </row>
      </sheetData>
      <sheetData sheetId="11283">
        <row r="7">
          <cell r="AI7">
            <v>10000</v>
          </cell>
        </row>
      </sheetData>
      <sheetData sheetId="11284">
        <row r="7">
          <cell r="AI7">
            <v>10000</v>
          </cell>
        </row>
      </sheetData>
      <sheetData sheetId="11285">
        <row r="7">
          <cell r="AI7">
            <v>10000</v>
          </cell>
        </row>
      </sheetData>
      <sheetData sheetId="11286">
        <row r="7">
          <cell r="AI7">
            <v>10000</v>
          </cell>
        </row>
      </sheetData>
      <sheetData sheetId="11287">
        <row r="7">
          <cell r="AI7">
            <v>10000</v>
          </cell>
        </row>
      </sheetData>
      <sheetData sheetId="11288">
        <row r="7">
          <cell r="AI7">
            <v>10000</v>
          </cell>
        </row>
      </sheetData>
      <sheetData sheetId="11289">
        <row r="7">
          <cell r="AI7">
            <v>10000</v>
          </cell>
        </row>
      </sheetData>
      <sheetData sheetId="11290">
        <row r="7">
          <cell r="AI7">
            <v>10000</v>
          </cell>
        </row>
      </sheetData>
      <sheetData sheetId="11291">
        <row r="7">
          <cell r="AI7">
            <v>10000</v>
          </cell>
        </row>
      </sheetData>
      <sheetData sheetId="11292">
        <row r="7">
          <cell r="AI7">
            <v>10000</v>
          </cell>
        </row>
      </sheetData>
      <sheetData sheetId="11293">
        <row r="7">
          <cell r="AI7">
            <v>10000</v>
          </cell>
        </row>
      </sheetData>
      <sheetData sheetId="11294">
        <row r="7">
          <cell r="AI7">
            <v>10000</v>
          </cell>
        </row>
      </sheetData>
      <sheetData sheetId="11295">
        <row r="7">
          <cell r="AI7">
            <v>10000</v>
          </cell>
        </row>
      </sheetData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>
        <row r="7">
          <cell r="AI7">
            <v>10000</v>
          </cell>
        </row>
      </sheetData>
      <sheetData sheetId="11319">
        <row r="7">
          <cell r="AI7">
            <v>10000</v>
          </cell>
        </row>
      </sheetData>
      <sheetData sheetId="11320" refreshError="1"/>
      <sheetData sheetId="11321">
        <row r="7">
          <cell r="AI7">
            <v>10000</v>
          </cell>
        </row>
      </sheetData>
      <sheetData sheetId="11322">
        <row r="7">
          <cell r="AI7">
            <v>10000</v>
          </cell>
        </row>
      </sheetData>
      <sheetData sheetId="11323">
        <row r="7">
          <cell r="AI7">
            <v>10000</v>
          </cell>
        </row>
      </sheetData>
      <sheetData sheetId="11324">
        <row r="7">
          <cell r="AI7">
            <v>10000</v>
          </cell>
        </row>
      </sheetData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>
        <row r="7">
          <cell r="AI7">
            <v>10000</v>
          </cell>
        </row>
      </sheetData>
      <sheetData sheetId="11332">
        <row r="7">
          <cell r="AI7">
            <v>10000</v>
          </cell>
        </row>
      </sheetData>
      <sheetData sheetId="11333">
        <row r="7">
          <cell r="AI7">
            <v>10000</v>
          </cell>
        </row>
      </sheetData>
      <sheetData sheetId="11334">
        <row r="7">
          <cell r="AI7">
            <v>10000</v>
          </cell>
        </row>
      </sheetData>
      <sheetData sheetId="11335">
        <row r="7">
          <cell r="AI7">
            <v>10000</v>
          </cell>
        </row>
      </sheetData>
      <sheetData sheetId="11336">
        <row r="7">
          <cell r="AI7">
            <v>10000</v>
          </cell>
        </row>
      </sheetData>
      <sheetData sheetId="11337">
        <row r="7">
          <cell r="AI7">
            <v>10000</v>
          </cell>
        </row>
      </sheetData>
      <sheetData sheetId="11338">
        <row r="7">
          <cell r="AI7">
            <v>10000</v>
          </cell>
        </row>
      </sheetData>
      <sheetData sheetId="11339">
        <row r="7">
          <cell r="AI7">
            <v>10000</v>
          </cell>
        </row>
      </sheetData>
      <sheetData sheetId="11340">
        <row r="7">
          <cell r="AI7">
            <v>10000</v>
          </cell>
        </row>
      </sheetData>
      <sheetData sheetId="11341">
        <row r="7">
          <cell r="AI7">
            <v>10000</v>
          </cell>
        </row>
      </sheetData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>
        <row r="7">
          <cell r="AI7">
            <v>10000</v>
          </cell>
        </row>
      </sheetData>
      <sheetData sheetId="11348">
        <row r="7">
          <cell r="AI7">
            <v>10000</v>
          </cell>
        </row>
      </sheetData>
      <sheetData sheetId="11349">
        <row r="7">
          <cell r="AI7">
            <v>10000</v>
          </cell>
        </row>
      </sheetData>
      <sheetData sheetId="11350">
        <row r="7">
          <cell r="AI7">
            <v>10000</v>
          </cell>
        </row>
      </sheetData>
      <sheetData sheetId="11351">
        <row r="7">
          <cell r="AI7">
            <v>10000</v>
          </cell>
        </row>
      </sheetData>
      <sheetData sheetId="11352">
        <row r="7">
          <cell r="AI7">
            <v>10000</v>
          </cell>
        </row>
      </sheetData>
      <sheetData sheetId="11353">
        <row r="7">
          <cell r="AI7">
            <v>10000</v>
          </cell>
        </row>
      </sheetData>
      <sheetData sheetId="11354">
        <row r="7">
          <cell r="AI7">
            <v>10000</v>
          </cell>
        </row>
      </sheetData>
      <sheetData sheetId="11355">
        <row r="7">
          <cell r="AI7">
            <v>10000</v>
          </cell>
        </row>
      </sheetData>
      <sheetData sheetId="11356">
        <row r="7">
          <cell r="AI7">
            <v>10000</v>
          </cell>
        </row>
      </sheetData>
      <sheetData sheetId="11357">
        <row r="7">
          <cell r="AI7">
            <v>10000</v>
          </cell>
        </row>
      </sheetData>
      <sheetData sheetId="11358">
        <row r="7">
          <cell r="AI7">
            <v>10000</v>
          </cell>
        </row>
      </sheetData>
      <sheetData sheetId="11359">
        <row r="7">
          <cell r="AI7">
            <v>10000</v>
          </cell>
        </row>
      </sheetData>
      <sheetData sheetId="11360">
        <row r="7">
          <cell r="AI7">
            <v>10000</v>
          </cell>
        </row>
      </sheetData>
      <sheetData sheetId="11361">
        <row r="7">
          <cell r="AI7">
            <v>10000</v>
          </cell>
        </row>
      </sheetData>
      <sheetData sheetId="11362">
        <row r="7">
          <cell r="AI7">
            <v>10000</v>
          </cell>
        </row>
      </sheetData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>
        <row r="7">
          <cell r="AI7">
            <v>10000</v>
          </cell>
        </row>
      </sheetData>
      <sheetData sheetId="11379">
        <row r="7">
          <cell r="AI7">
            <v>10000</v>
          </cell>
        </row>
      </sheetData>
      <sheetData sheetId="11380">
        <row r="7">
          <cell r="AI7">
            <v>10000</v>
          </cell>
        </row>
      </sheetData>
      <sheetData sheetId="11381">
        <row r="7">
          <cell r="AI7">
            <v>10000</v>
          </cell>
        </row>
      </sheetData>
      <sheetData sheetId="11382">
        <row r="7">
          <cell r="AI7">
            <v>10000</v>
          </cell>
        </row>
      </sheetData>
      <sheetData sheetId="11383">
        <row r="7">
          <cell r="AI7">
            <v>10000</v>
          </cell>
        </row>
      </sheetData>
      <sheetData sheetId="11384">
        <row r="7">
          <cell r="AI7">
            <v>10000</v>
          </cell>
        </row>
      </sheetData>
      <sheetData sheetId="11385">
        <row r="7">
          <cell r="AI7">
            <v>10000</v>
          </cell>
        </row>
      </sheetData>
      <sheetData sheetId="11386">
        <row r="7">
          <cell r="AI7">
            <v>10000</v>
          </cell>
        </row>
      </sheetData>
      <sheetData sheetId="11387">
        <row r="7">
          <cell r="AI7">
            <v>10000</v>
          </cell>
        </row>
      </sheetData>
      <sheetData sheetId="11388">
        <row r="7">
          <cell r="AI7">
            <v>10000</v>
          </cell>
        </row>
      </sheetData>
      <sheetData sheetId="11389">
        <row r="7">
          <cell r="AI7">
            <v>10000</v>
          </cell>
        </row>
      </sheetData>
      <sheetData sheetId="11390">
        <row r="7">
          <cell r="AI7">
            <v>10000</v>
          </cell>
        </row>
      </sheetData>
      <sheetData sheetId="11391">
        <row r="7">
          <cell r="AI7">
            <v>10000</v>
          </cell>
        </row>
      </sheetData>
      <sheetData sheetId="11392">
        <row r="7">
          <cell r="AI7">
            <v>10000</v>
          </cell>
        </row>
      </sheetData>
      <sheetData sheetId="11393">
        <row r="7">
          <cell r="AI7">
            <v>10000</v>
          </cell>
        </row>
      </sheetData>
      <sheetData sheetId="11394">
        <row r="7">
          <cell r="AI7">
            <v>10000</v>
          </cell>
        </row>
      </sheetData>
      <sheetData sheetId="11395">
        <row r="7">
          <cell r="AI7">
            <v>10000</v>
          </cell>
        </row>
      </sheetData>
      <sheetData sheetId="11396">
        <row r="7">
          <cell r="AI7">
            <v>10000</v>
          </cell>
        </row>
      </sheetData>
      <sheetData sheetId="11397">
        <row r="7">
          <cell r="AI7">
            <v>10000</v>
          </cell>
        </row>
      </sheetData>
      <sheetData sheetId="11398">
        <row r="7">
          <cell r="AI7">
            <v>10000</v>
          </cell>
        </row>
      </sheetData>
      <sheetData sheetId="11399">
        <row r="7">
          <cell r="AI7">
            <v>10000</v>
          </cell>
        </row>
      </sheetData>
      <sheetData sheetId="11400">
        <row r="7">
          <cell r="AI7">
            <v>10000</v>
          </cell>
        </row>
      </sheetData>
      <sheetData sheetId="11401">
        <row r="7">
          <cell r="AI7">
            <v>10000</v>
          </cell>
        </row>
      </sheetData>
      <sheetData sheetId="11402">
        <row r="7">
          <cell r="AI7">
            <v>10000</v>
          </cell>
        </row>
      </sheetData>
      <sheetData sheetId="11403">
        <row r="7">
          <cell r="AI7">
            <v>10000</v>
          </cell>
        </row>
      </sheetData>
      <sheetData sheetId="11404">
        <row r="7">
          <cell r="AI7">
            <v>10000</v>
          </cell>
        </row>
      </sheetData>
      <sheetData sheetId="11405">
        <row r="7">
          <cell r="AI7">
            <v>10000</v>
          </cell>
        </row>
      </sheetData>
      <sheetData sheetId="11406">
        <row r="7">
          <cell r="AI7">
            <v>10000</v>
          </cell>
        </row>
      </sheetData>
      <sheetData sheetId="11407">
        <row r="7">
          <cell r="AI7">
            <v>10000</v>
          </cell>
        </row>
      </sheetData>
      <sheetData sheetId="11408">
        <row r="7">
          <cell r="AI7">
            <v>10000</v>
          </cell>
        </row>
      </sheetData>
      <sheetData sheetId="11409">
        <row r="7">
          <cell r="AI7">
            <v>10000</v>
          </cell>
        </row>
      </sheetData>
      <sheetData sheetId="11410">
        <row r="7">
          <cell r="AI7">
            <v>10000</v>
          </cell>
        </row>
      </sheetData>
      <sheetData sheetId="11411">
        <row r="7">
          <cell r="AI7">
            <v>10000</v>
          </cell>
        </row>
      </sheetData>
      <sheetData sheetId="11412">
        <row r="7">
          <cell r="AI7">
            <v>10000</v>
          </cell>
        </row>
      </sheetData>
      <sheetData sheetId="11413">
        <row r="7">
          <cell r="AI7">
            <v>10000</v>
          </cell>
        </row>
      </sheetData>
      <sheetData sheetId="11414">
        <row r="7">
          <cell r="AI7">
            <v>10000</v>
          </cell>
        </row>
      </sheetData>
      <sheetData sheetId="11415">
        <row r="7">
          <cell r="AI7">
            <v>10000</v>
          </cell>
        </row>
      </sheetData>
      <sheetData sheetId="11416">
        <row r="7">
          <cell r="AI7">
            <v>10000</v>
          </cell>
        </row>
      </sheetData>
      <sheetData sheetId="11417">
        <row r="7">
          <cell r="AI7">
            <v>10000</v>
          </cell>
        </row>
      </sheetData>
      <sheetData sheetId="11418">
        <row r="7">
          <cell r="AI7">
            <v>10000</v>
          </cell>
        </row>
      </sheetData>
      <sheetData sheetId="11419">
        <row r="7">
          <cell r="AI7">
            <v>10000</v>
          </cell>
        </row>
      </sheetData>
      <sheetData sheetId="11420">
        <row r="7">
          <cell r="AI7">
            <v>10000</v>
          </cell>
        </row>
      </sheetData>
      <sheetData sheetId="11421">
        <row r="7">
          <cell r="AI7">
            <v>10000</v>
          </cell>
        </row>
      </sheetData>
      <sheetData sheetId="11422">
        <row r="7">
          <cell r="AI7">
            <v>10000</v>
          </cell>
        </row>
      </sheetData>
      <sheetData sheetId="11423">
        <row r="7">
          <cell r="AI7">
            <v>10000</v>
          </cell>
        </row>
      </sheetData>
      <sheetData sheetId="11424">
        <row r="7">
          <cell r="AI7">
            <v>10000</v>
          </cell>
        </row>
      </sheetData>
      <sheetData sheetId="11425">
        <row r="7">
          <cell r="AI7">
            <v>10000</v>
          </cell>
        </row>
      </sheetData>
      <sheetData sheetId="11426">
        <row r="7">
          <cell r="AI7">
            <v>10000</v>
          </cell>
        </row>
      </sheetData>
      <sheetData sheetId="11427">
        <row r="7">
          <cell r="AI7">
            <v>10000</v>
          </cell>
        </row>
      </sheetData>
      <sheetData sheetId="11428">
        <row r="7">
          <cell r="AI7">
            <v>10000</v>
          </cell>
        </row>
      </sheetData>
      <sheetData sheetId="11429">
        <row r="7">
          <cell r="AI7">
            <v>10000</v>
          </cell>
        </row>
      </sheetData>
      <sheetData sheetId="11430">
        <row r="7">
          <cell r="AI7">
            <v>10000</v>
          </cell>
        </row>
      </sheetData>
      <sheetData sheetId="11431">
        <row r="7">
          <cell r="AI7">
            <v>10000</v>
          </cell>
        </row>
      </sheetData>
      <sheetData sheetId="11432">
        <row r="7">
          <cell r="AI7">
            <v>10000</v>
          </cell>
        </row>
      </sheetData>
      <sheetData sheetId="11433">
        <row r="7">
          <cell r="AI7">
            <v>10000</v>
          </cell>
        </row>
      </sheetData>
      <sheetData sheetId="11434">
        <row r="7">
          <cell r="AI7">
            <v>10000</v>
          </cell>
        </row>
      </sheetData>
      <sheetData sheetId="11435">
        <row r="7">
          <cell r="AI7">
            <v>10000</v>
          </cell>
        </row>
      </sheetData>
      <sheetData sheetId="11436">
        <row r="7">
          <cell r="AI7">
            <v>10000</v>
          </cell>
        </row>
      </sheetData>
      <sheetData sheetId="11437">
        <row r="7">
          <cell r="AI7">
            <v>10000</v>
          </cell>
        </row>
      </sheetData>
      <sheetData sheetId="11438">
        <row r="7">
          <cell r="AI7">
            <v>10000</v>
          </cell>
        </row>
      </sheetData>
      <sheetData sheetId="11439">
        <row r="7">
          <cell r="AI7">
            <v>10000</v>
          </cell>
        </row>
      </sheetData>
      <sheetData sheetId="11440">
        <row r="7">
          <cell r="AI7">
            <v>10000</v>
          </cell>
        </row>
      </sheetData>
      <sheetData sheetId="11441">
        <row r="7">
          <cell r="AI7">
            <v>10000</v>
          </cell>
        </row>
      </sheetData>
      <sheetData sheetId="11442">
        <row r="7">
          <cell r="AI7">
            <v>10000</v>
          </cell>
        </row>
      </sheetData>
      <sheetData sheetId="11443">
        <row r="7">
          <cell r="AI7">
            <v>10000</v>
          </cell>
        </row>
      </sheetData>
      <sheetData sheetId="11444">
        <row r="7">
          <cell r="AI7">
            <v>10000</v>
          </cell>
        </row>
      </sheetData>
      <sheetData sheetId="11445">
        <row r="7">
          <cell r="AI7">
            <v>10000</v>
          </cell>
        </row>
      </sheetData>
      <sheetData sheetId="11446">
        <row r="7">
          <cell r="AI7">
            <v>10000</v>
          </cell>
        </row>
      </sheetData>
      <sheetData sheetId="11447">
        <row r="7">
          <cell r="AI7">
            <v>10000</v>
          </cell>
        </row>
      </sheetData>
      <sheetData sheetId="11448">
        <row r="7">
          <cell r="AI7">
            <v>10000</v>
          </cell>
        </row>
      </sheetData>
      <sheetData sheetId="11449">
        <row r="7">
          <cell r="AI7">
            <v>10000</v>
          </cell>
        </row>
      </sheetData>
      <sheetData sheetId="11450">
        <row r="7">
          <cell r="AI7">
            <v>10000</v>
          </cell>
        </row>
      </sheetData>
      <sheetData sheetId="11451">
        <row r="7">
          <cell r="AI7">
            <v>10000</v>
          </cell>
        </row>
      </sheetData>
      <sheetData sheetId="11452">
        <row r="7">
          <cell r="AI7">
            <v>10000</v>
          </cell>
        </row>
      </sheetData>
      <sheetData sheetId="11453">
        <row r="7">
          <cell r="AI7">
            <v>10000</v>
          </cell>
        </row>
      </sheetData>
      <sheetData sheetId="11454">
        <row r="7">
          <cell r="AI7">
            <v>10000</v>
          </cell>
        </row>
      </sheetData>
      <sheetData sheetId="11455">
        <row r="7">
          <cell r="AI7">
            <v>10000</v>
          </cell>
        </row>
      </sheetData>
      <sheetData sheetId="11456">
        <row r="7">
          <cell r="AI7">
            <v>10000</v>
          </cell>
        </row>
      </sheetData>
      <sheetData sheetId="11457">
        <row r="7">
          <cell r="AI7">
            <v>10000</v>
          </cell>
        </row>
      </sheetData>
      <sheetData sheetId="11458">
        <row r="7">
          <cell r="AI7">
            <v>10000</v>
          </cell>
        </row>
      </sheetData>
      <sheetData sheetId="11459">
        <row r="7">
          <cell r="AI7">
            <v>10000</v>
          </cell>
        </row>
      </sheetData>
      <sheetData sheetId="11460">
        <row r="7">
          <cell r="AI7">
            <v>10000</v>
          </cell>
        </row>
      </sheetData>
      <sheetData sheetId="11461">
        <row r="7">
          <cell r="AI7">
            <v>10000</v>
          </cell>
        </row>
      </sheetData>
      <sheetData sheetId="11462">
        <row r="7">
          <cell r="AI7">
            <v>10000</v>
          </cell>
        </row>
      </sheetData>
      <sheetData sheetId="11463">
        <row r="7">
          <cell r="AI7">
            <v>10000</v>
          </cell>
        </row>
      </sheetData>
      <sheetData sheetId="11464">
        <row r="7">
          <cell r="AI7">
            <v>10000</v>
          </cell>
        </row>
      </sheetData>
      <sheetData sheetId="11465">
        <row r="7">
          <cell r="AI7">
            <v>10000</v>
          </cell>
        </row>
      </sheetData>
      <sheetData sheetId="11466">
        <row r="7">
          <cell r="AI7">
            <v>10000</v>
          </cell>
        </row>
      </sheetData>
      <sheetData sheetId="11467">
        <row r="7">
          <cell r="AI7">
            <v>10000</v>
          </cell>
        </row>
      </sheetData>
      <sheetData sheetId="11468">
        <row r="7">
          <cell r="AI7">
            <v>10000</v>
          </cell>
        </row>
      </sheetData>
      <sheetData sheetId="11469">
        <row r="7">
          <cell r="AI7">
            <v>10000</v>
          </cell>
        </row>
      </sheetData>
      <sheetData sheetId="11470">
        <row r="7">
          <cell r="AI7">
            <v>10000</v>
          </cell>
        </row>
      </sheetData>
      <sheetData sheetId="11471">
        <row r="7">
          <cell r="AI7">
            <v>10000</v>
          </cell>
        </row>
      </sheetData>
      <sheetData sheetId="11472">
        <row r="7">
          <cell r="AI7">
            <v>10000</v>
          </cell>
        </row>
      </sheetData>
      <sheetData sheetId="11473">
        <row r="7">
          <cell r="AI7">
            <v>10000</v>
          </cell>
        </row>
      </sheetData>
      <sheetData sheetId="11474">
        <row r="7">
          <cell r="AI7">
            <v>10000</v>
          </cell>
        </row>
      </sheetData>
      <sheetData sheetId="11475">
        <row r="7">
          <cell r="AI7">
            <v>10000</v>
          </cell>
        </row>
      </sheetData>
      <sheetData sheetId="11476">
        <row r="7">
          <cell r="AI7">
            <v>10000</v>
          </cell>
        </row>
      </sheetData>
      <sheetData sheetId="11477">
        <row r="7">
          <cell r="AI7">
            <v>10000</v>
          </cell>
        </row>
      </sheetData>
      <sheetData sheetId="11478">
        <row r="7">
          <cell r="AI7">
            <v>10000</v>
          </cell>
        </row>
      </sheetData>
      <sheetData sheetId="11479">
        <row r="7">
          <cell r="AI7">
            <v>10000</v>
          </cell>
        </row>
      </sheetData>
      <sheetData sheetId="11480">
        <row r="7">
          <cell r="AI7">
            <v>10000</v>
          </cell>
        </row>
      </sheetData>
      <sheetData sheetId="11481">
        <row r="7">
          <cell r="AI7">
            <v>10000</v>
          </cell>
        </row>
      </sheetData>
      <sheetData sheetId="11482">
        <row r="7">
          <cell r="AI7">
            <v>10000</v>
          </cell>
        </row>
      </sheetData>
      <sheetData sheetId="11483">
        <row r="7">
          <cell r="AI7">
            <v>10000</v>
          </cell>
        </row>
      </sheetData>
      <sheetData sheetId="11484">
        <row r="7">
          <cell r="AI7">
            <v>10000</v>
          </cell>
        </row>
      </sheetData>
      <sheetData sheetId="11485">
        <row r="7">
          <cell r="AI7">
            <v>10000</v>
          </cell>
        </row>
      </sheetData>
      <sheetData sheetId="11486">
        <row r="7">
          <cell r="AI7">
            <v>10000</v>
          </cell>
        </row>
      </sheetData>
      <sheetData sheetId="11487">
        <row r="7">
          <cell r="AI7">
            <v>10000</v>
          </cell>
        </row>
      </sheetData>
      <sheetData sheetId="11488">
        <row r="7">
          <cell r="AI7">
            <v>10000</v>
          </cell>
        </row>
      </sheetData>
      <sheetData sheetId="11489">
        <row r="7">
          <cell r="AI7">
            <v>10000</v>
          </cell>
        </row>
      </sheetData>
      <sheetData sheetId="11490">
        <row r="7">
          <cell r="AI7">
            <v>10000</v>
          </cell>
        </row>
      </sheetData>
      <sheetData sheetId="11491">
        <row r="7">
          <cell r="AI7">
            <v>10000</v>
          </cell>
        </row>
      </sheetData>
      <sheetData sheetId="11492">
        <row r="7">
          <cell r="AI7">
            <v>10000</v>
          </cell>
        </row>
      </sheetData>
      <sheetData sheetId="11493">
        <row r="7">
          <cell r="AI7">
            <v>10000</v>
          </cell>
        </row>
      </sheetData>
      <sheetData sheetId="11494">
        <row r="7">
          <cell r="AI7">
            <v>10000</v>
          </cell>
        </row>
      </sheetData>
      <sheetData sheetId="11495">
        <row r="7">
          <cell r="AI7">
            <v>10000</v>
          </cell>
        </row>
      </sheetData>
      <sheetData sheetId="11496">
        <row r="7">
          <cell r="AI7">
            <v>10000</v>
          </cell>
        </row>
      </sheetData>
      <sheetData sheetId="11497">
        <row r="7">
          <cell r="AI7">
            <v>10000</v>
          </cell>
        </row>
      </sheetData>
      <sheetData sheetId="11498">
        <row r="7">
          <cell r="AI7">
            <v>10000</v>
          </cell>
        </row>
      </sheetData>
      <sheetData sheetId="11499">
        <row r="7">
          <cell r="AI7">
            <v>10000</v>
          </cell>
        </row>
      </sheetData>
      <sheetData sheetId="11500">
        <row r="7">
          <cell r="AI7">
            <v>10000</v>
          </cell>
        </row>
      </sheetData>
      <sheetData sheetId="11501">
        <row r="7">
          <cell r="AI7">
            <v>10000</v>
          </cell>
        </row>
      </sheetData>
      <sheetData sheetId="11502">
        <row r="7">
          <cell r="AI7">
            <v>10000</v>
          </cell>
        </row>
      </sheetData>
      <sheetData sheetId="11503">
        <row r="7">
          <cell r="AI7">
            <v>10000</v>
          </cell>
        </row>
      </sheetData>
      <sheetData sheetId="11504">
        <row r="7">
          <cell r="AI7">
            <v>10000</v>
          </cell>
        </row>
      </sheetData>
      <sheetData sheetId="11505">
        <row r="7">
          <cell r="AI7">
            <v>10000</v>
          </cell>
        </row>
      </sheetData>
      <sheetData sheetId="11506">
        <row r="7">
          <cell r="AI7">
            <v>10000</v>
          </cell>
        </row>
      </sheetData>
      <sheetData sheetId="11507">
        <row r="7">
          <cell r="AI7">
            <v>10000</v>
          </cell>
        </row>
      </sheetData>
      <sheetData sheetId="11508">
        <row r="7">
          <cell r="AI7">
            <v>10000</v>
          </cell>
        </row>
      </sheetData>
      <sheetData sheetId="11509">
        <row r="7">
          <cell r="AI7">
            <v>10000</v>
          </cell>
        </row>
      </sheetData>
      <sheetData sheetId="11510">
        <row r="7">
          <cell r="AI7">
            <v>10000</v>
          </cell>
        </row>
      </sheetData>
      <sheetData sheetId="11511">
        <row r="7">
          <cell r="AI7">
            <v>10000</v>
          </cell>
        </row>
      </sheetData>
      <sheetData sheetId="11512">
        <row r="7">
          <cell r="AI7">
            <v>10000</v>
          </cell>
        </row>
      </sheetData>
      <sheetData sheetId="11513">
        <row r="7">
          <cell r="AI7">
            <v>10000</v>
          </cell>
        </row>
      </sheetData>
      <sheetData sheetId="11514">
        <row r="7">
          <cell r="AI7">
            <v>10000</v>
          </cell>
        </row>
      </sheetData>
      <sheetData sheetId="11515">
        <row r="7">
          <cell r="AI7">
            <v>10000</v>
          </cell>
        </row>
      </sheetData>
      <sheetData sheetId="11516">
        <row r="7">
          <cell r="AI7">
            <v>10000</v>
          </cell>
        </row>
      </sheetData>
      <sheetData sheetId="11517">
        <row r="7">
          <cell r="AI7">
            <v>10000</v>
          </cell>
        </row>
      </sheetData>
      <sheetData sheetId="11518">
        <row r="7">
          <cell r="AI7">
            <v>10000</v>
          </cell>
        </row>
      </sheetData>
      <sheetData sheetId="11519">
        <row r="7">
          <cell r="AI7">
            <v>10000</v>
          </cell>
        </row>
      </sheetData>
      <sheetData sheetId="11520">
        <row r="7">
          <cell r="AI7">
            <v>10000</v>
          </cell>
        </row>
      </sheetData>
      <sheetData sheetId="11521">
        <row r="7">
          <cell r="AI7">
            <v>10000</v>
          </cell>
        </row>
      </sheetData>
      <sheetData sheetId="11522">
        <row r="7">
          <cell r="AI7">
            <v>10000</v>
          </cell>
        </row>
      </sheetData>
      <sheetData sheetId="11523">
        <row r="7">
          <cell r="AI7">
            <v>10000</v>
          </cell>
        </row>
      </sheetData>
      <sheetData sheetId="11524">
        <row r="7">
          <cell r="AI7">
            <v>10000</v>
          </cell>
        </row>
      </sheetData>
      <sheetData sheetId="11525">
        <row r="7">
          <cell r="AI7">
            <v>10000</v>
          </cell>
        </row>
      </sheetData>
      <sheetData sheetId="11526">
        <row r="7">
          <cell r="AI7">
            <v>10000</v>
          </cell>
        </row>
      </sheetData>
      <sheetData sheetId="11527">
        <row r="7">
          <cell r="AI7">
            <v>10000</v>
          </cell>
        </row>
      </sheetData>
      <sheetData sheetId="11528">
        <row r="7">
          <cell r="AI7">
            <v>10000</v>
          </cell>
        </row>
      </sheetData>
      <sheetData sheetId="11529">
        <row r="7">
          <cell r="AI7">
            <v>10000</v>
          </cell>
        </row>
      </sheetData>
      <sheetData sheetId="11530">
        <row r="7">
          <cell r="AI7">
            <v>10000</v>
          </cell>
        </row>
      </sheetData>
      <sheetData sheetId="11531">
        <row r="7">
          <cell r="AI7">
            <v>10000</v>
          </cell>
        </row>
      </sheetData>
      <sheetData sheetId="11532">
        <row r="7">
          <cell r="AI7">
            <v>10000</v>
          </cell>
        </row>
      </sheetData>
      <sheetData sheetId="11533">
        <row r="7">
          <cell r="AI7">
            <v>10000</v>
          </cell>
        </row>
      </sheetData>
      <sheetData sheetId="11534">
        <row r="7">
          <cell r="AI7">
            <v>10000</v>
          </cell>
        </row>
      </sheetData>
      <sheetData sheetId="11535">
        <row r="7">
          <cell r="AI7">
            <v>10000</v>
          </cell>
        </row>
      </sheetData>
      <sheetData sheetId="11536">
        <row r="7">
          <cell r="AI7">
            <v>10000</v>
          </cell>
        </row>
      </sheetData>
      <sheetData sheetId="11537">
        <row r="7">
          <cell r="AI7">
            <v>10000</v>
          </cell>
        </row>
      </sheetData>
      <sheetData sheetId="11538">
        <row r="7">
          <cell r="AI7">
            <v>10000</v>
          </cell>
        </row>
      </sheetData>
      <sheetData sheetId="11539">
        <row r="7">
          <cell r="AI7">
            <v>10000</v>
          </cell>
        </row>
      </sheetData>
      <sheetData sheetId="11540">
        <row r="7">
          <cell r="AI7">
            <v>10000</v>
          </cell>
        </row>
      </sheetData>
      <sheetData sheetId="11541">
        <row r="7">
          <cell r="AI7">
            <v>10000</v>
          </cell>
        </row>
      </sheetData>
      <sheetData sheetId="11542">
        <row r="7">
          <cell r="AI7">
            <v>10000</v>
          </cell>
        </row>
      </sheetData>
      <sheetData sheetId="11543">
        <row r="7">
          <cell r="AI7">
            <v>10000</v>
          </cell>
        </row>
      </sheetData>
      <sheetData sheetId="11544">
        <row r="7">
          <cell r="AI7">
            <v>10000</v>
          </cell>
        </row>
      </sheetData>
      <sheetData sheetId="11545">
        <row r="7">
          <cell r="AI7">
            <v>10000</v>
          </cell>
        </row>
      </sheetData>
      <sheetData sheetId="11546">
        <row r="7">
          <cell r="AI7">
            <v>10000</v>
          </cell>
        </row>
      </sheetData>
      <sheetData sheetId="11547">
        <row r="7">
          <cell r="AI7">
            <v>10000</v>
          </cell>
        </row>
      </sheetData>
      <sheetData sheetId="11548">
        <row r="7">
          <cell r="AI7">
            <v>10000</v>
          </cell>
        </row>
      </sheetData>
      <sheetData sheetId="11549">
        <row r="7">
          <cell r="AI7">
            <v>10000</v>
          </cell>
        </row>
      </sheetData>
      <sheetData sheetId="11550">
        <row r="7">
          <cell r="AI7">
            <v>10000</v>
          </cell>
        </row>
      </sheetData>
      <sheetData sheetId="11551">
        <row r="7">
          <cell r="AI7">
            <v>10000</v>
          </cell>
        </row>
      </sheetData>
      <sheetData sheetId="11552">
        <row r="7">
          <cell r="AI7">
            <v>10000</v>
          </cell>
        </row>
      </sheetData>
      <sheetData sheetId="11553">
        <row r="7">
          <cell r="AI7">
            <v>10000</v>
          </cell>
        </row>
      </sheetData>
      <sheetData sheetId="11554">
        <row r="7">
          <cell r="AI7">
            <v>10000</v>
          </cell>
        </row>
      </sheetData>
      <sheetData sheetId="11555">
        <row r="7">
          <cell r="AI7">
            <v>10000</v>
          </cell>
        </row>
      </sheetData>
      <sheetData sheetId="11556">
        <row r="7">
          <cell r="AI7">
            <v>10000</v>
          </cell>
        </row>
      </sheetData>
      <sheetData sheetId="11557">
        <row r="7">
          <cell r="AI7">
            <v>10000</v>
          </cell>
        </row>
      </sheetData>
      <sheetData sheetId="11558">
        <row r="7">
          <cell r="AI7">
            <v>10000</v>
          </cell>
        </row>
      </sheetData>
      <sheetData sheetId="11559">
        <row r="7">
          <cell r="AI7">
            <v>10000</v>
          </cell>
        </row>
      </sheetData>
      <sheetData sheetId="11560">
        <row r="7">
          <cell r="AI7">
            <v>10000</v>
          </cell>
        </row>
      </sheetData>
      <sheetData sheetId="11561">
        <row r="7">
          <cell r="AI7">
            <v>10000</v>
          </cell>
        </row>
      </sheetData>
      <sheetData sheetId="11562">
        <row r="7">
          <cell r="AI7">
            <v>10000</v>
          </cell>
        </row>
      </sheetData>
      <sheetData sheetId="11563">
        <row r="7">
          <cell r="AI7">
            <v>10000</v>
          </cell>
        </row>
      </sheetData>
      <sheetData sheetId="11564">
        <row r="7">
          <cell r="AI7">
            <v>10000</v>
          </cell>
        </row>
      </sheetData>
      <sheetData sheetId="11565">
        <row r="7">
          <cell r="AI7">
            <v>10000</v>
          </cell>
        </row>
      </sheetData>
      <sheetData sheetId="11566">
        <row r="7">
          <cell r="AI7">
            <v>10000</v>
          </cell>
        </row>
      </sheetData>
      <sheetData sheetId="11567">
        <row r="7">
          <cell r="AI7">
            <v>10000</v>
          </cell>
        </row>
      </sheetData>
      <sheetData sheetId="11568">
        <row r="7">
          <cell r="AI7">
            <v>10000</v>
          </cell>
        </row>
      </sheetData>
      <sheetData sheetId="11569">
        <row r="7">
          <cell r="AI7">
            <v>10000</v>
          </cell>
        </row>
      </sheetData>
      <sheetData sheetId="11570">
        <row r="7">
          <cell r="AI7">
            <v>10000</v>
          </cell>
        </row>
      </sheetData>
      <sheetData sheetId="11571">
        <row r="7">
          <cell r="AI7">
            <v>10000</v>
          </cell>
        </row>
      </sheetData>
      <sheetData sheetId="11572">
        <row r="7">
          <cell r="AI7">
            <v>10000</v>
          </cell>
        </row>
      </sheetData>
      <sheetData sheetId="11573">
        <row r="7">
          <cell r="AI7">
            <v>10000</v>
          </cell>
        </row>
      </sheetData>
      <sheetData sheetId="11574">
        <row r="7">
          <cell r="AI7">
            <v>10000</v>
          </cell>
        </row>
      </sheetData>
      <sheetData sheetId="11575">
        <row r="7">
          <cell r="AI7">
            <v>10000</v>
          </cell>
        </row>
      </sheetData>
      <sheetData sheetId="11576">
        <row r="7">
          <cell r="AI7">
            <v>10000</v>
          </cell>
        </row>
      </sheetData>
      <sheetData sheetId="11577">
        <row r="7">
          <cell r="AI7">
            <v>10000</v>
          </cell>
        </row>
      </sheetData>
      <sheetData sheetId="11578">
        <row r="7">
          <cell r="AI7">
            <v>10000</v>
          </cell>
        </row>
      </sheetData>
      <sheetData sheetId="11579">
        <row r="7">
          <cell r="AI7">
            <v>10000</v>
          </cell>
        </row>
      </sheetData>
      <sheetData sheetId="11580">
        <row r="7">
          <cell r="AI7">
            <v>10000</v>
          </cell>
        </row>
      </sheetData>
      <sheetData sheetId="11581">
        <row r="7">
          <cell r="AI7">
            <v>10000</v>
          </cell>
        </row>
      </sheetData>
      <sheetData sheetId="11582">
        <row r="7">
          <cell r="AI7">
            <v>10000</v>
          </cell>
        </row>
      </sheetData>
      <sheetData sheetId="11583">
        <row r="7">
          <cell r="AI7">
            <v>10000</v>
          </cell>
        </row>
      </sheetData>
      <sheetData sheetId="11584">
        <row r="7">
          <cell r="AI7">
            <v>10000</v>
          </cell>
        </row>
      </sheetData>
      <sheetData sheetId="11585">
        <row r="7">
          <cell r="AI7">
            <v>10000</v>
          </cell>
        </row>
      </sheetData>
      <sheetData sheetId="11586">
        <row r="7">
          <cell r="AI7">
            <v>10000</v>
          </cell>
        </row>
      </sheetData>
      <sheetData sheetId="11587">
        <row r="7">
          <cell r="AI7">
            <v>10000</v>
          </cell>
        </row>
      </sheetData>
      <sheetData sheetId="11588">
        <row r="7">
          <cell r="AI7">
            <v>10000</v>
          </cell>
        </row>
      </sheetData>
      <sheetData sheetId="11589">
        <row r="7">
          <cell r="AI7">
            <v>10000</v>
          </cell>
        </row>
      </sheetData>
      <sheetData sheetId="11590">
        <row r="7">
          <cell r="AI7">
            <v>10000</v>
          </cell>
        </row>
      </sheetData>
      <sheetData sheetId="11591">
        <row r="7">
          <cell r="AI7">
            <v>10000</v>
          </cell>
        </row>
      </sheetData>
      <sheetData sheetId="11592">
        <row r="7">
          <cell r="AI7">
            <v>10000</v>
          </cell>
        </row>
      </sheetData>
      <sheetData sheetId="11593">
        <row r="7">
          <cell r="AI7">
            <v>10000</v>
          </cell>
        </row>
      </sheetData>
      <sheetData sheetId="11594">
        <row r="7">
          <cell r="AI7">
            <v>10000</v>
          </cell>
        </row>
      </sheetData>
      <sheetData sheetId="11595">
        <row r="7">
          <cell r="AI7">
            <v>10000</v>
          </cell>
        </row>
      </sheetData>
      <sheetData sheetId="11596">
        <row r="7">
          <cell r="AI7">
            <v>10000</v>
          </cell>
        </row>
      </sheetData>
      <sheetData sheetId="11597">
        <row r="7">
          <cell r="AI7">
            <v>10000</v>
          </cell>
        </row>
      </sheetData>
      <sheetData sheetId="11598">
        <row r="7">
          <cell r="AI7">
            <v>10000</v>
          </cell>
        </row>
      </sheetData>
      <sheetData sheetId="11599">
        <row r="7">
          <cell r="AI7">
            <v>10000</v>
          </cell>
        </row>
      </sheetData>
      <sheetData sheetId="11600">
        <row r="7">
          <cell r="AI7">
            <v>10000</v>
          </cell>
        </row>
      </sheetData>
      <sheetData sheetId="11601">
        <row r="7">
          <cell r="AI7">
            <v>10000</v>
          </cell>
        </row>
      </sheetData>
      <sheetData sheetId="11602">
        <row r="7">
          <cell r="AI7">
            <v>10000</v>
          </cell>
        </row>
      </sheetData>
      <sheetData sheetId="11603">
        <row r="7">
          <cell r="AI7">
            <v>10000</v>
          </cell>
        </row>
      </sheetData>
      <sheetData sheetId="11604">
        <row r="7">
          <cell r="AI7">
            <v>10000</v>
          </cell>
        </row>
      </sheetData>
      <sheetData sheetId="11605">
        <row r="7">
          <cell r="AI7">
            <v>10000</v>
          </cell>
        </row>
      </sheetData>
      <sheetData sheetId="11606">
        <row r="7">
          <cell r="AI7">
            <v>10000</v>
          </cell>
        </row>
      </sheetData>
      <sheetData sheetId="11607">
        <row r="7">
          <cell r="AI7">
            <v>10000</v>
          </cell>
        </row>
      </sheetData>
      <sheetData sheetId="11608">
        <row r="7">
          <cell r="AI7">
            <v>10000</v>
          </cell>
        </row>
      </sheetData>
      <sheetData sheetId="11609">
        <row r="7">
          <cell r="AI7">
            <v>10000</v>
          </cell>
        </row>
      </sheetData>
      <sheetData sheetId="11610">
        <row r="7">
          <cell r="AI7">
            <v>10000</v>
          </cell>
        </row>
      </sheetData>
      <sheetData sheetId="11611">
        <row r="7">
          <cell r="AI7">
            <v>10000</v>
          </cell>
        </row>
      </sheetData>
      <sheetData sheetId="11612">
        <row r="7">
          <cell r="AI7">
            <v>10000</v>
          </cell>
        </row>
      </sheetData>
      <sheetData sheetId="11613">
        <row r="7">
          <cell r="AI7">
            <v>10000</v>
          </cell>
        </row>
      </sheetData>
      <sheetData sheetId="11614">
        <row r="7">
          <cell r="AI7">
            <v>10000</v>
          </cell>
        </row>
      </sheetData>
      <sheetData sheetId="11615">
        <row r="7">
          <cell r="AI7">
            <v>10000</v>
          </cell>
        </row>
      </sheetData>
      <sheetData sheetId="11616">
        <row r="7">
          <cell r="AI7">
            <v>10000</v>
          </cell>
        </row>
      </sheetData>
      <sheetData sheetId="11617">
        <row r="7">
          <cell r="AI7">
            <v>10000</v>
          </cell>
        </row>
      </sheetData>
      <sheetData sheetId="11618">
        <row r="7">
          <cell r="AI7">
            <v>10000</v>
          </cell>
        </row>
      </sheetData>
      <sheetData sheetId="11619">
        <row r="7">
          <cell r="AI7">
            <v>10000</v>
          </cell>
        </row>
      </sheetData>
      <sheetData sheetId="11620">
        <row r="7">
          <cell r="AI7">
            <v>10000</v>
          </cell>
        </row>
      </sheetData>
      <sheetData sheetId="11621">
        <row r="7">
          <cell r="AI7">
            <v>10000</v>
          </cell>
        </row>
      </sheetData>
      <sheetData sheetId="11622">
        <row r="7">
          <cell r="AI7">
            <v>10000</v>
          </cell>
        </row>
      </sheetData>
      <sheetData sheetId="11623">
        <row r="7">
          <cell r="AI7">
            <v>10000</v>
          </cell>
        </row>
      </sheetData>
      <sheetData sheetId="11624">
        <row r="7">
          <cell r="AI7">
            <v>10000</v>
          </cell>
        </row>
      </sheetData>
      <sheetData sheetId="11625">
        <row r="7">
          <cell r="AI7">
            <v>10000</v>
          </cell>
        </row>
      </sheetData>
      <sheetData sheetId="11626">
        <row r="7">
          <cell r="AI7">
            <v>10000</v>
          </cell>
        </row>
      </sheetData>
      <sheetData sheetId="11627">
        <row r="7">
          <cell r="AI7">
            <v>10000</v>
          </cell>
        </row>
      </sheetData>
      <sheetData sheetId="11628">
        <row r="7">
          <cell r="AI7">
            <v>10000</v>
          </cell>
        </row>
      </sheetData>
      <sheetData sheetId="11629">
        <row r="7">
          <cell r="AI7">
            <v>10000</v>
          </cell>
        </row>
      </sheetData>
      <sheetData sheetId="11630">
        <row r="7">
          <cell r="AI7">
            <v>10000</v>
          </cell>
        </row>
      </sheetData>
      <sheetData sheetId="11631">
        <row r="7">
          <cell r="AI7">
            <v>10000</v>
          </cell>
        </row>
      </sheetData>
      <sheetData sheetId="11632">
        <row r="7">
          <cell r="AI7">
            <v>10000</v>
          </cell>
        </row>
      </sheetData>
      <sheetData sheetId="11633">
        <row r="7">
          <cell r="AI7">
            <v>10000</v>
          </cell>
        </row>
      </sheetData>
      <sheetData sheetId="11634">
        <row r="7">
          <cell r="AI7">
            <v>10000</v>
          </cell>
        </row>
      </sheetData>
      <sheetData sheetId="11635">
        <row r="7">
          <cell r="AI7">
            <v>10000</v>
          </cell>
        </row>
      </sheetData>
      <sheetData sheetId="11636">
        <row r="7">
          <cell r="AI7">
            <v>10000</v>
          </cell>
        </row>
      </sheetData>
      <sheetData sheetId="11637">
        <row r="7">
          <cell r="AI7">
            <v>10000</v>
          </cell>
        </row>
      </sheetData>
      <sheetData sheetId="11638">
        <row r="7">
          <cell r="AI7">
            <v>10000</v>
          </cell>
        </row>
      </sheetData>
      <sheetData sheetId="11639">
        <row r="7">
          <cell r="AI7">
            <v>10000</v>
          </cell>
        </row>
      </sheetData>
      <sheetData sheetId="11640">
        <row r="7">
          <cell r="AI7">
            <v>10000</v>
          </cell>
        </row>
      </sheetData>
      <sheetData sheetId="11641">
        <row r="7">
          <cell r="AI7">
            <v>10000</v>
          </cell>
        </row>
      </sheetData>
      <sheetData sheetId="11642">
        <row r="7">
          <cell r="AI7">
            <v>10000</v>
          </cell>
        </row>
      </sheetData>
      <sheetData sheetId="11643">
        <row r="7">
          <cell r="AI7">
            <v>10000</v>
          </cell>
        </row>
      </sheetData>
      <sheetData sheetId="11644">
        <row r="7">
          <cell r="AI7">
            <v>10000</v>
          </cell>
        </row>
      </sheetData>
      <sheetData sheetId="11645">
        <row r="7">
          <cell r="AI7">
            <v>10000</v>
          </cell>
        </row>
      </sheetData>
      <sheetData sheetId="11646">
        <row r="7">
          <cell r="AI7">
            <v>10000</v>
          </cell>
        </row>
      </sheetData>
      <sheetData sheetId="11647">
        <row r="7">
          <cell r="AI7">
            <v>10000</v>
          </cell>
        </row>
      </sheetData>
      <sheetData sheetId="11648">
        <row r="7">
          <cell r="AI7">
            <v>10000</v>
          </cell>
        </row>
      </sheetData>
      <sheetData sheetId="11649">
        <row r="7">
          <cell r="AI7">
            <v>10000</v>
          </cell>
        </row>
      </sheetData>
      <sheetData sheetId="11650">
        <row r="7">
          <cell r="AI7">
            <v>10000</v>
          </cell>
        </row>
      </sheetData>
      <sheetData sheetId="11651">
        <row r="7">
          <cell r="AI7">
            <v>10000</v>
          </cell>
        </row>
      </sheetData>
      <sheetData sheetId="11652">
        <row r="7">
          <cell r="AI7">
            <v>10000</v>
          </cell>
        </row>
      </sheetData>
      <sheetData sheetId="11653">
        <row r="7">
          <cell r="AI7">
            <v>10000</v>
          </cell>
        </row>
      </sheetData>
      <sheetData sheetId="11654">
        <row r="7">
          <cell r="AI7">
            <v>10000</v>
          </cell>
        </row>
      </sheetData>
      <sheetData sheetId="11655">
        <row r="7">
          <cell r="AI7">
            <v>10000</v>
          </cell>
        </row>
      </sheetData>
      <sheetData sheetId="11656">
        <row r="7">
          <cell r="AI7">
            <v>10000</v>
          </cell>
        </row>
      </sheetData>
      <sheetData sheetId="11657">
        <row r="7">
          <cell r="AI7">
            <v>10000</v>
          </cell>
        </row>
      </sheetData>
      <sheetData sheetId="11658">
        <row r="7">
          <cell r="AI7">
            <v>10000</v>
          </cell>
        </row>
      </sheetData>
      <sheetData sheetId="11659">
        <row r="7">
          <cell r="AI7">
            <v>10000</v>
          </cell>
        </row>
      </sheetData>
      <sheetData sheetId="11660">
        <row r="7">
          <cell r="AI7">
            <v>10000</v>
          </cell>
        </row>
      </sheetData>
      <sheetData sheetId="11661">
        <row r="7">
          <cell r="AI7">
            <v>10000</v>
          </cell>
        </row>
      </sheetData>
      <sheetData sheetId="11662">
        <row r="7">
          <cell r="AI7">
            <v>10000</v>
          </cell>
        </row>
      </sheetData>
      <sheetData sheetId="11663">
        <row r="7">
          <cell r="AI7">
            <v>10000</v>
          </cell>
        </row>
      </sheetData>
      <sheetData sheetId="11664">
        <row r="7">
          <cell r="AI7">
            <v>10000</v>
          </cell>
        </row>
      </sheetData>
      <sheetData sheetId="11665">
        <row r="7">
          <cell r="AI7">
            <v>10000</v>
          </cell>
        </row>
      </sheetData>
      <sheetData sheetId="11666">
        <row r="7">
          <cell r="AI7">
            <v>10000</v>
          </cell>
        </row>
      </sheetData>
      <sheetData sheetId="11667">
        <row r="7">
          <cell r="AI7">
            <v>10000</v>
          </cell>
        </row>
      </sheetData>
      <sheetData sheetId="11668">
        <row r="7">
          <cell r="AI7">
            <v>10000</v>
          </cell>
        </row>
      </sheetData>
      <sheetData sheetId="11669">
        <row r="7">
          <cell r="AI7">
            <v>10000</v>
          </cell>
        </row>
      </sheetData>
      <sheetData sheetId="11670">
        <row r="7">
          <cell r="AI7">
            <v>10000</v>
          </cell>
        </row>
      </sheetData>
      <sheetData sheetId="11671">
        <row r="7">
          <cell r="AI7">
            <v>10000</v>
          </cell>
        </row>
      </sheetData>
      <sheetData sheetId="11672">
        <row r="7">
          <cell r="AI7">
            <v>10000</v>
          </cell>
        </row>
      </sheetData>
      <sheetData sheetId="11673">
        <row r="7">
          <cell r="AI7">
            <v>10000</v>
          </cell>
        </row>
      </sheetData>
      <sheetData sheetId="11674">
        <row r="7">
          <cell r="AI7">
            <v>10000</v>
          </cell>
        </row>
      </sheetData>
      <sheetData sheetId="11675">
        <row r="7">
          <cell r="AI7">
            <v>10000</v>
          </cell>
        </row>
      </sheetData>
      <sheetData sheetId="11676">
        <row r="7">
          <cell r="AI7">
            <v>10000</v>
          </cell>
        </row>
      </sheetData>
      <sheetData sheetId="11677">
        <row r="7">
          <cell r="AI7">
            <v>10000</v>
          </cell>
        </row>
      </sheetData>
      <sheetData sheetId="11678">
        <row r="7">
          <cell r="AI7">
            <v>10000</v>
          </cell>
        </row>
      </sheetData>
      <sheetData sheetId="11679">
        <row r="7">
          <cell r="AI7">
            <v>10000</v>
          </cell>
        </row>
      </sheetData>
      <sheetData sheetId="11680">
        <row r="7">
          <cell r="AI7">
            <v>10000</v>
          </cell>
        </row>
      </sheetData>
      <sheetData sheetId="11681">
        <row r="7">
          <cell r="AI7">
            <v>10000</v>
          </cell>
        </row>
      </sheetData>
      <sheetData sheetId="11682">
        <row r="7">
          <cell r="AI7">
            <v>10000</v>
          </cell>
        </row>
      </sheetData>
      <sheetData sheetId="11683">
        <row r="7">
          <cell r="AI7">
            <v>10000</v>
          </cell>
        </row>
      </sheetData>
      <sheetData sheetId="11684">
        <row r="7">
          <cell r="AI7">
            <v>10000</v>
          </cell>
        </row>
      </sheetData>
      <sheetData sheetId="11685">
        <row r="7">
          <cell r="AI7">
            <v>10000</v>
          </cell>
        </row>
      </sheetData>
      <sheetData sheetId="11686">
        <row r="7">
          <cell r="AI7">
            <v>10000</v>
          </cell>
        </row>
      </sheetData>
      <sheetData sheetId="11687">
        <row r="7">
          <cell r="AI7">
            <v>10000</v>
          </cell>
        </row>
      </sheetData>
      <sheetData sheetId="11688">
        <row r="7">
          <cell r="AI7">
            <v>10000</v>
          </cell>
        </row>
      </sheetData>
      <sheetData sheetId="11689">
        <row r="7">
          <cell r="AI7">
            <v>10000</v>
          </cell>
        </row>
      </sheetData>
      <sheetData sheetId="11690">
        <row r="7">
          <cell r="AI7">
            <v>10000</v>
          </cell>
        </row>
      </sheetData>
      <sheetData sheetId="11691">
        <row r="7">
          <cell r="AI7">
            <v>10000</v>
          </cell>
        </row>
      </sheetData>
      <sheetData sheetId="11692">
        <row r="7">
          <cell r="AI7">
            <v>10000</v>
          </cell>
        </row>
      </sheetData>
      <sheetData sheetId="11693">
        <row r="7">
          <cell r="AI7">
            <v>10000</v>
          </cell>
        </row>
      </sheetData>
      <sheetData sheetId="11694">
        <row r="7">
          <cell r="AI7">
            <v>10000</v>
          </cell>
        </row>
      </sheetData>
      <sheetData sheetId="11695">
        <row r="7">
          <cell r="AI7">
            <v>10000</v>
          </cell>
        </row>
      </sheetData>
      <sheetData sheetId="11696">
        <row r="7">
          <cell r="AI7">
            <v>10000</v>
          </cell>
        </row>
      </sheetData>
      <sheetData sheetId="11697">
        <row r="7">
          <cell r="AI7">
            <v>10000</v>
          </cell>
        </row>
      </sheetData>
      <sheetData sheetId="11698">
        <row r="7">
          <cell r="AI7">
            <v>10000</v>
          </cell>
        </row>
      </sheetData>
      <sheetData sheetId="11699">
        <row r="7">
          <cell r="AI7">
            <v>10000</v>
          </cell>
        </row>
      </sheetData>
      <sheetData sheetId="11700">
        <row r="7">
          <cell r="AI7">
            <v>10000</v>
          </cell>
        </row>
      </sheetData>
      <sheetData sheetId="11701">
        <row r="7">
          <cell r="AI7">
            <v>10000</v>
          </cell>
        </row>
      </sheetData>
      <sheetData sheetId="11702">
        <row r="7">
          <cell r="AI7">
            <v>10000</v>
          </cell>
        </row>
      </sheetData>
      <sheetData sheetId="11703">
        <row r="7">
          <cell r="AI7">
            <v>10000</v>
          </cell>
        </row>
      </sheetData>
      <sheetData sheetId="11704">
        <row r="7">
          <cell r="AI7">
            <v>10000</v>
          </cell>
        </row>
      </sheetData>
      <sheetData sheetId="11705">
        <row r="7">
          <cell r="AI7">
            <v>10000</v>
          </cell>
        </row>
      </sheetData>
      <sheetData sheetId="11706">
        <row r="7">
          <cell r="AI7">
            <v>10000</v>
          </cell>
        </row>
      </sheetData>
      <sheetData sheetId="11707">
        <row r="7">
          <cell r="AI7">
            <v>10000</v>
          </cell>
        </row>
      </sheetData>
      <sheetData sheetId="11708">
        <row r="7">
          <cell r="AI7">
            <v>10000</v>
          </cell>
        </row>
      </sheetData>
      <sheetData sheetId="11709">
        <row r="7">
          <cell r="AI7">
            <v>10000</v>
          </cell>
        </row>
      </sheetData>
      <sheetData sheetId="11710">
        <row r="7">
          <cell r="AI7">
            <v>10000</v>
          </cell>
        </row>
      </sheetData>
      <sheetData sheetId="11711">
        <row r="7">
          <cell r="AI7">
            <v>10000</v>
          </cell>
        </row>
      </sheetData>
      <sheetData sheetId="11712">
        <row r="7">
          <cell r="AI7">
            <v>10000</v>
          </cell>
        </row>
      </sheetData>
      <sheetData sheetId="11713">
        <row r="7">
          <cell r="AI7">
            <v>10000</v>
          </cell>
        </row>
      </sheetData>
      <sheetData sheetId="11714">
        <row r="7">
          <cell r="AI7">
            <v>10000</v>
          </cell>
        </row>
      </sheetData>
      <sheetData sheetId="11715">
        <row r="7">
          <cell r="AI7">
            <v>10000</v>
          </cell>
        </row>
      </sheetData>
      <sheetData sheetId="11716">
        <row r="7">
          <cell r="AI7">
            <v>10000</v>
          </cell>
        </row>
      </sheetData>
      <sheetData sheetId="11717">
        <row r="7">
          <cell r="AI7">
            <v>10000</v>
          </cell>
        </row>
      </sheetData>
      <sheetData sheetId="11718">
        <row r="7">
          <cell r="AI7">
            <v>10000</v>
          </cell>
        </row>
      </sheetData>
      <sheetData sheetId="11719">
        <row r="7">
          <cell r="AI7">
            <v>10000</v>
          </cell>
        </row>
      </sheetData>
      <sheetData sheetId="11720">
        <row r="7">
          <cell r="AI7">
            <v>10000</v>
          </cell>
        </row>
      </sheetData>
      <sheetData sheetId="11721">
        <row r="7">
          <cell r="AI7">
            <v>10000</v>
          </cell>
        </row>
      </sheetData>
      <sheetData sheetId="11722">
        <row r="7">
          <cell r="AI7">
            <v>10000</v>
          </cell>
        </row>
      </sheetData>
      <sheetData sheetId="11723">
        <row r="7">
          <cell r="AI7">
            <v>10000</v>
          </cell>
        </row>
      </sheetData>
      <sheetData sheetId="11724">
        <row r="7">
          <cell r="AI7">
            <v>10000</v>
          </cell>
        </row>
      </sheetData>
      <sheetData sheetId="11725">
        <row r="7">
          <cell r="AI7">
            <v>10000</v>
          </cell>
        </row>
      </sheetData>
      <sheetData sheetId="11726">
        <row r="7">
          <cell r="AI7">
            <v>10000</v>
          </cell>
        </row>
      </sheetData>
      <sheetData sheetId="11727">
        <row r="7">
          <cell r="AI7">
            <v>10000</v>
          </cell>
        </row>
      </sheetData>
      <sheetData sheetId="11728">
        <row r="7">
          <cell r="AI7">
            <v>10000</v>
          </cell>
        </row>
      </sheetData>
      <sheetData sheetId="11729">
        <row r="7">
          <cell r="AI7">
            <v>10000</v>
          </cell>
        </row>
      </sheetData>
      <sheetData sheetId="11730">
        <row r="7">
          <cell r="AI7">
            <v>10000</v>
          </cell>
        </row>
      </sheetData>
      <sheetData sheetId="11731">
        <row r="7">
          <cell r="AI7">
            <v>10000</v>
          </cell>
        </row>
      </sheetData>
      <sheetData sheetId="11732">
        <row r="7">
          <cell r="AI7">
            <v>10000</v>
          </cell>
        </row>
      </sheetData>
      <sheetData sheetId="11733">
        <row r="7">
          <cell r="AI7">
            <v>10000</v>
          </cell>
        </row>
      </sheetData>
      <sheetData sheetId="11734">
        <row r="7">
          <cell r="AI7">
            <v>10000</v>
          </cell>
        </row>
      </sheetData>
      <sheetData sheetId="11735">
        <row r="7">
          <cell r="AI7">
            <v>10000</v>
          </cell>
        </row>
      </sheetData>
      <sheetData sheetId="11736">
        <row r="7">
          <cell r="AI7">
            <v>10000</v>
          </cell>
        </row>
      </sheetData>
      <sheetData sheetId="11737">
        <row r="7">
          <cell r="AI7">
            <v>10000</v>
          </cell>
        </row>
      </sheetData>
      <sheetData sheetId="11738">
        <row r="7">
          <cell r="AI7">
            <v>10000</v>
          </cell>
        </row>
      </sheetData>
      <sheetData sheetId="11739">
        <row r="7">
          <cell r="AI7">
            <v>10000</v>
          </cell>
        </row>
      </sheetData>
      <sheetData sheetId="11740">
        <row r="7">
          <cell r="AI7">
            <v>10000</v>
          </cell>
        </row>
      </sheetData>
      <sheetData sheetId="11741">
        <row r="7">
          <cell r="AI7">
            <v>10000</v>
          </cell>
        </row>
      </sheetData>
      <sheetData sheetId="11742">
        <row r="7">
          <cell r="AI7">
            <v>10000</v>
          </cell>
        </row>
      </sheetData>
      <sheetData sheetId="11743">
        <row r="7">
          <cell r="AI7">
            <v>10000</v>
          </cell>
        </row>
      </sheetData>
      <sheetData sheetId="11744">
        <row r="7">
          <cell r="AI7">
            <v>10000</v>
          </cell>
        </row>
      </sheetData>
      <sheetData sheetId="11745">
        <row r="7">
          <cell r="AI7">
            <v>10000</v>
          </cell>
        </row>
      </sheetData>
      <sheetData sheetId="11746">
        <row r="7">
          <cell r="AI7">
            <v>10000</v>
          </cell>
        </row>
      </sheetData>
      <sheetData sheetId="11747">
        <row r="7">
          <cell r="AI7">
            <v>10000</v>
          </cell>
        </row>
      </sheetData>
      <sheetData sheetId="11748">
        <row r="7">
          <cell r="AI7">
            <v>10000</v>
          </cell>
        </row>
      </sheetData>
      <sheetData sheetId="11749">
        <row r="7">
          <cell r="AI7">
            <v>10000</v>
          </cell>
        </row>
      </sheetData>
      <sheetData sheetId="11750">
        <row r="7">
          <cell r="AI7">
            <v>10000</v>
          </cell>
        </row>
      </sheetData>
      <sheetData sheetId="11751">
        <row r="7">
          <cell r="AI7">
            <v>10000</v>
          </cell>
        </row>
      </sheetData>
      <sheetData sheetId="11752">
        <row r="7">
          <cell r="AI7">
            <v>10000</v>
          </cell>
        </row>
      </sheetData>
      <sheetData sheetId="11753">
        <row r="7">
          <cell r="AI7">
            <v>10000</v>
          </cell>
        </row>
      </sheetData>
      <sheetData sheetId="11754">
        <row r="7">
          <cell r="AI7">
            <v>10000</v>
          </cell>
        </row>
      </sheetData>
      <sheetData sheetId="11755">
        <row r="7">
          <cell r="AI7">
            <v>10000</v>
          </cell>
        </row>
      </sheetData>
      <sheetData sheetId="11756">
        <row r="7">
          <cell r="AI7">
            <v>10000</v>
          </cell>
        </row>
      </sheetData>
      <sheetData sheetId="11757">
        <row r="7">
          <cell r="AI7">
            <v>10000</v>
          </cell>
        </row>
      </sheetData>
      <sheetData sheetId="11758">
        <row r="7">
          <cell r="AI7">
            <v>10000</v>
          </cell>
        </row>
      </sheetData>
      <sheetData sheetId="11759">
        <row r="7">
          <cell r="AI7">
            <v>10000</v>
          </cell>
        </row>
      </sheetData>
      <sheetData sheetId="11760">
        <row r="7">
          <cell r="AI7">
            <v>10000</v>
          </cell>
        </row>
      </sheetData>
      <sheetData sheetId="11761">
        <row r="7">
          <cell r="AI7">
            <v>10000</v>
          </cell>
        </row>
      </sheetData>
      <sheetData sheetId="11762">
        <row r="7">
          <cell r="AI7">
            <v>10000</v>
          </cell>
        </row>
      </sheetData>
      <sheetData sheetId="11763">
        <row r="7">
          <cell r="AI7">
            <v>10000</v>
          </cell>
        </row>
      </sheetData>
      <sheetData sheetId="11764">
        <row r="7">
          <cell r="AI7">
            <v>10000</v>
          </cell>
        </row>
      </sheetData>
      <sheetData sheetId="11765">
        <row r="7">
          <cell r="AI7">
            <v>10000</v>
          </cell>
        </row>
      </sheetData>
      <sheetData sheetId="11766">
        <row r="7">
          <cell r="AI7">
            <v>10000</v>
          </cell>
        </row>
      </sheetData>
      <sheetData sheetId="11767">
        <row r="7">
          <cell r="AI7">
            <v>10000</v>
          </cell>
        </row>
      </sheetData>
      <sheetData sheetId="11768">
        <row r="7">
          <cell r="AI7">
            <v>10000</v>
          </cell>
        </row>
      </sheetData>
      <sheetData sheetId="11769">
        <row r="7">
          <cell r="AI7">
            <v>10000</v>
          </cell>
        </row>
      </sheetData>
      <sheetData sheetId="11770">
        <row r="7">
          <cell r="AI7">
            <v>10000</v>
          </cell>
        </row>
      </sheetData>
      <sheetData sheetId="11771">
        <row r="7">
          <cell r="AI7">
            <v>10000</v>
          </cell>
        </row>
      </sheetData>
      <sheetData sheetId="11772">
        <row r="7">
          <cell r="AI7">
            <v>10000</v>
          </cell>
        </row>
      </sheetData>
      <sheetData sheetId="11773">
        <row r="7">
          <cell r="AI7">
            <v>10000</v>
          </cell>
        </row>
      </sheetData>
      <sheetData sheetId="11774">
        <row r="7">
          <cell r="AI7">
            <v>10000</v>
          </cell>
        </row>
      </sheetData>
      <sheetData sheetId="11775">
        <row r="7">
          <cell r="AI7">
            <v>10000</v>
          </cell>
        </row>
      </sheetData>
      <sheetData sheetId="11776">
        <row r="7">
          <cell r="AI7">
            <v>10000</v>
          </cell>
        </row>
      </sheetData>
      <sheetData sheetId="11777">
        <row r="7">
          <cell r="AI7">
            <v>10000</v>
          </cell>
        </row>
      </sheetData>
      <sheetData sheetId="11778">
        <row r="7">
          <cell r="AI7">
            <v>10000</v>
          </cell>
        </row>
      </sheetData>
      <sheetData sheetId="11779">
        <row r="7">
          <cell r="AI7">
            <v>10000</v>
          </cell>
        </row>
      </sheetData>
      <sheetData sheetId="11780">
        <row r="7">
          <cell r="AI7">
            <v>10000</v>
          </cell>
        </row>
      </sheetData>
      <sheetData sheetId="11781">
        <row r="7">
          <cell r="AI7">
            <v>10000</v>
          </cell>
        </row>
      </sheetData>
      <sheetData sheetId="11782">
        <row r="7">
          <cell r="AI7">
            <v>10000</v>
          </cell>
        </row>
      </sheetData>
      <sheetData sheetId="11783">
        <row r="7">
          <cell r="AI7">
            <v>10000</v>
          </cell>
        </row>
      </sheetData>
      <sheetData sheetId="11784">
        <row r="7">
          <cell r="AI7">
            <v>10000</v>
          </cell>
        </row>
      </sheetData>
      <sheetData sheetId="11785">
        <row r="7">
          <cell r="AI7">
            <v>10000</v>
          </cell>
        </row>
      </sheetData>
      <sheetData sheetId="11786">
        <row r="7">
          <cell r="AI7">
            <v>10000</v>
          </cell>
        </row>
      </sheetData>
      <sheetData sheetId="11787">
        <row r="7">
          <cell r="AI7">
            <v>10000</v>
          </cell>
        </row>
      </sheetData>
      <sheetData sheetId="11788">
        <row r="7">
          <cell r="AI7">
            <v>10000</v>
          </cell>
        </row>
      </sheetData>
      <sheetData sheetId="11789">
        <row r="7">
          <cell r="AI7">
            <v>10000</v>
          </cell>
        </row>
      </sheetData>
      <sheetData sheetId="11790">
        <row r="7">
          <cell r="AI7">
            <v>10000</v>
          </cell>
        </row>
      </sheetData>
      <sheetData sheetId="11791">
        <row r="7">
          <cell r="AI7">
            <v>10000</v>
          </cell>
        </row>
      </sheetData>
      <sheetData sheetId="11792">
        <row r="7">
          <cell r="AI7">
            <v>10000</v>
          </cell>
        </row>
      </sheetData>
      <sheetData sheetId="11793">
        <row r="7">
          <cell r="AI7">
            <v>10000</v>
          </cell>
        </row>
      </sheetData>
      <sheetData sheetId="11794">
        <row r="7">
          <cell r="AI7">
            <v>10000</v>
          </cell>
        </row>
      </sheetData>
      <sheetData sheetId="11795">
        <row r="7">
          <cell r="AI7">
            <v>10000</v>
          </cell>
        </row>
      </sheetData>
      <sheetData sheetId="11796">
        <row r="7">
          <cell r="AI7">
            <v>10000</v>
          </cell>
        </row>
      </sheetData>
      <sheetData sheetId="11797">
        <row r="7">
          <cell r="AI7">
            <v>10000</v>
          </cell>
        </row>
      </sheetData>
      <sheetData sheetId="11798">
        <row r="7">
          <cell r="AI7">
            <v>10000</v>
          </cell>
        </row>
      </sheetData>
      <sheetData sheetId="11799">
        <row r="7">
          <cell r="AI7">
            <v>10000</v>
          </cell>
        </row>
      </sheetData>
      <sheetData sheetId="11800">
        <row r="7">
          <cell r="AI7">
            <v>10000</v>
          </cell>
        </row>
      </sheetData>
      <sheetData sheetId="11801">
        <row r="7">
          <cell r="AI7">
            <v>10000</v>
          </cell>
        </row>
      </sheetData>
      <sheetData sheetId="11802">
        <row r="7">
          <cell r="AI7">
            <v>10000</v>
          </cell>
        </row>
      </sheetData>
      <sheetData sheetId="11803">
        <row r="7">
          <cell r="AI7">
            <v>10000</v>
          </cell>
        </row>
      </sheetData>
      <sheetData sheetId="11804">
        <row r="7">
          <cell r="AI7">
            <v>10000</v>
          </cell>
        </row>
      </sheetData>
      <sheetData sheetId="11805">
        <row r="7">
          <cell r="AI7">
            <v>10000</v>
          </cell>
        </row>
      </sheetData>
      <sheetData sheetId="11806">
        <row r="7">
          <cell r="AI7">
            <v>10000</v>
          </cell>
        </row>
      </sheetData>
      <sheetData sheetId="11807">
        <row r="7">
          <cell r="AI7">
            <v>10000</v>
          </cell>
        </row>
      </sheetData>
      <sheetData sheetId="11808">
        <row r="7">
          <cell r="AI7">
            <v>10000</v>
          </cell>
        </row>
      </sheetData>
      <sheetData sheetId="11809">
        <row r="7">
          <cell r="AI7">
            <v>10000</v>
          </cell>
        </row>
      </sheetData>
      <sheetData sheetId="11810">
        <row r="7">
          <cell r="AI7">
            <v>10000</v>
          </cell>
        </row>
      </sheetData>
      <sheetData sheetId="11811">
        <row r="7">
          <cell r="AI7">
            <v>10000</v>
          </cell>
        </row>
      </sheetData>
      <sheetData sheetId="11812">
        <row r="7">
          <cell r="AI7">
            <v>10000</v>
          </cell>
        </row>
      </sheetData>
      <sheetData sheetId="11813">
        <row r="7">
          <cell r="AI7">
            <v>10000</v>
          </cell>
        </row>
      </sheetData>
      <sheetData sheetId="11814">
        <row r="7">
          <cell r="AI7">
            <v>10000</v>
          </cell>
        </row>
      </sheetData>
      <sheetData sheetId="11815">
        <row r="7">
          <cell r="AI7">
            <v>10000</v>
          </cell>
        </row>
      </sheetData>
      <sheetData sheetId="11816">
        <row r="7">
          <cell r="AI7">
            <v>10000</v>
          </cell>
        </row>
      </sheetData>
      <sheetData sheetId="11817">
        <row r="7">
          <cell r="AI7">
            <v>10000</v>
          </cell>
        </row>
      </sheetData>
      <sheetData sheetId="11818">
        <row r="7">
          <cell r="AI7">
            <v>10000</v>
          </cell>
        </row>
      </sheetData>
      <sheetData sheetId="11819">
        <row r="7">
          <cell r="AI7">
            <v>10000</v>
          </cell>
        </row>
      </sheetData>
      <sheetData sheetId="11820">
        <row r="7">
          <cell r="AI7">
            <v>10000</v>
          </cell>
        </row>
      </sheetData>
      <sheetData sheetId="11821">
        <row r="7">
          <cell r="AI7">
            <v>10000</v>
          </cell>
        </row>
      </sheetData>
      <sheetData sheetId="11822">
        <row r="7">
          <cell r="AI7">
            <v>10000</v>
          </cell>
        </row>
      </sheetData>
      <sheetData sheetId="11823">
        <row r="7">
          <cell r="AI7">
            <v>10000</v>
          </cell>
        </row>
      </sheetData>
      <sheetData sheetId="11824">
        <row r="7">
          <cell r="AI7">
            <v>10000</v>
          </cell>
        </row>
      </sheetData>
      <sheetData sheetId="11825">
        <row r="7">
          <cell r="AI7">
            <v>10000</v>
          </cell>
        </row>
      </sheetData>
      <sheetData sheetId="11826">
        <row r="7">
          <cell r="AI7">
            <v>10000</v>
          </cell>
        </row>
      </sheetData>
      <sheetData sheetId="11827">
        <row r="7">
          <cell r="AI7">
            <v>10000</v>
          </cell>
        </row>
      </sheetData>
      <sheetData sheetId="11828">
        <row r="7">
          <cell r="AI7">
            <v>10000</v>
          </cell>
        </row>
      </sheetData>
      <sheetData sheetId="11829">
        <row r="7">
          <cell r="AI7">
            <v>10000</v>
          </cell>
        </row>
      </sheetData>
      <sheetData sheetId="11830">
        <row r="7">
          <cell r="AI7">
            <v>10000</v>
          </cell>
        </row>
      </sheetData>
      <sheetData sheetId="11831">
        <row r="7">
          <cell r="AI7">
            <v>10000</v>
          </cell>
        </row>
      </sheetData>
      <sheetData sheetId="11832">
        <row r="7">
          <cell r="AI7">
            <v>10000</v>
          </cell>
        </row>
      </sheetData>
      <sheetData sheetId="11833">
        <row r="7">
          <cell r="AI7">
            <v>10000</v>
          </cell>
        </row>
      </sheetData>
      <sheetData sheetId="11834">
        <row r="7">
          <cell r="AI7">
            <v>10000</v>
          </cell>
        </row>
      </sheetData>
      <sheetData sheetId="11835">
        <row r="7">
          <cell r="AI7">
            <v>10000</v>
          </cell>
        </row>
      </sheetData>
      <sheetData sheetId="11836">
        <row r="7">
          <cell r="AI7">
            <v>10000</v>
          </cell>
        </row>
      </sheetData>
      <sheetData sheetId="11837">
        <row r="7">
          <cell r="AI7">
            <v>10000</v>
          </cell>
        </row>
      </sheetData>
      <sheetData sheetId="11838">
        <row r="7">
          <cell r="AI7">
            <v>10000</v>
          </cell>
        </row>
      </sheetData>
      <sheetData sheetId="11839">
        <row r="7">
          <cell r="AI7">
            <v>10000</v>
          </cell>
        </row>
      </sheetData>
      <sheetData sheetId="11840">
        <row r="7">
          <cell r="AI7">
            <v>10000</v>
          </cell>
        </row>
      </sheetData>
      <sheetData sheetId="11841">
        <row r="7">
          <cell r="AI7">
            <v>10000</v>
          </cell>
        </row>
      </sheetData>
      <sheetData sheetId="11842">
        <row r="7">
          <cell r="AI7">
            <v>10000</v>
          </cell>
        </row>
      </sheetData>
      <sheetData sheetId="11843">
        <row r="7">
          <cell r="AI7">
            <v>10000</v>
          </cell>
        </row>
      </sheetData>
      <sheetData sheetId="11844">
        <row r="7">
          <cell r="AI7">
            <v>10000</v>
          </cell>
        </row>
      </sheetData>
      <sheetData sheetId="11845">
        <row r="7">
          <cell r="AI7">
            <v>10000</v>
          </cell>
        </row>
      </sheetData>
      <sheetData sheetId="11846">
        <row r="7">
          <cell r="AI7">
            <v>10000</v>
          </cell>
        </row>
      </sheetData>
      <sheetData sheetId="11847">
        <row r="7">
          <cell r="AI7">
            <v>10000</v>
          </cell>
        </row>
      </sheetData>
      <sheetData sheetId="11848">
        <row r="7">
          <cell r="AI7">
            <v>10000</v>
          </cell>
        </row>
      </sheetData>
      <sheetData sheetId="11849">
        <row r="7">
          <cell r="AI7">
            <v>10000</v>
          </cell>
        </row>
      </sheetData>
      <sheetData sheetId="11850">
        <row r="7">
          <cell r="AI7">
            <v>10000</v>
          </cell>
        </row>
      </sheetData>
      <sheetData sheetId="11851">
        <row r="7">
          <cell r="AI7">
            <v>10000</v>
          </cell>
        </row>
      </sheetData>
      <sheetData sheetId="11852">
        <row r="7">
          <cell r="AI7">
            <v>10000</v>
          </cell>
        </row>
      </sheetData>
      <sheetData sheetId="11853">
        <row r="7">
          <cell r="AI7">
            <v>10000</v>
          </cell>
        </row>
      </sheetData>
      <sheetData sheetId="11854">
        <row r="7">
          <cell r="AI7">
            <v>10000</v>
          </cell>
        </row>
      </sheetData>
      <sheetData sheetId="11855">
        <row r="7">
          <cell r="AI7">
            <v>10000</v>
          </cell>
        </row>
      </sheetData>
      <sheetData sheetId="11856">
        <row r="7">
          <cell r="AI7">
            <v>10000</v>
          </cell>
        </row>
      </sheetData>
      <sheetData sheetId="11857">
        <row r="7">
          <cell r="AI7">
            <v>10000</v>
          </cell>
        </row>
      </sheetData>
      <sheetData sheetId="11858">
        <row r="7">
          <cell r="AI7">
            <v>10000</v>
          </cell>
        </row>
      </sheetData>
      <sheetData sheetId="11859">
        <row r="7">
          <cell r="AI7">
            <v>10000</v>
          </cell>
        </row>
      </sheetData>
      <sheetData sheetId="11860">
        <row r="7">
          <cell r="AI7">
            <v>10000</v>
          </cell>
        </row>
      </sheetData>
      <sheetData sheetId="11861">
        <row r="7">
          <cell r="AI7">
            <v>10000</v>
          </cell>
        </row>
      </sheetData>
      <sheetData sheetId="11862">
        <row r="7">
          <cell r="AI7">
            <v>10000</v>
          </cell>
        </row>
      </sheetData>
      <sheetData sheetId="11863">
        <row r="7">
          <cell r="AI7">
            <v>10000</v>
          </cell>
        </row>
      </sheetData>
      <sheetData sheetId="11864">
        <row r="7">
          <cell r="AI7">
            <v>10000</v>
          </cell>
        </row>
      </sheetData>
      <sheetData sheetId="11865">
        <row r="7">
          <cell r="AI7">
            <v>10000</v>
          </cell>
        </row>
      </sheetData>
      <sheetData sheetId="11866">
        <row r="7">
          <cell r="AI7">
            <v>10000</v>
          </cell>
        </row>
      </sheetData>
      <sheetData sheetId="11867">
        <row r="7">
          <cell r="AI7">
            <v>10000</v>
          </cell>
        </row>
      </sheetData>
      <sheetData sheetId="11868">
        <row r="7">
          <cell r="AI7">
            <v>10000</v>
          </cell>
        </row>
      </sheetData>
      <sheetData sheetId="11869">
        <row r="7">
          <cell r="AI7">
            <v>10000</v>
          </cell>
        </row>
      </sheetData>
      <sheetData sheetId="11870">
        <row r="7">
          <cell r="AI7">
            <v>10000</v>
          </cell>
        </row>
      </sheetData>
      <sheetData sheetId="11871">
        <row r="7">
          <cell r="AI7">
            <v>10000</v>
          </cell>
        </row>
      </sheetData>
      <sheetData sheetId="11872">
        <row r="7">
          <cell r="AI7">
            <v>10000</v>
          </cell>
        </row>
      </sheetData>
      <sheetData sheetId="11873">
        <row r="7">
          <cell r="AI7">
            <v>10000</v>
          </cell>
        </row>
      </sheetData>
      <sheetData sheetId="11874">
        <row r="7">
          <cell r="AI7">
            <v>10000</v>
          </cell>
        </row>
      </sheetData>
      <sheetData sheetId="11875">
        <row r="7">
          <cell r="AI7">
            <v>10000</v>
          </cell>
        </row>
      </sheetData>
      <sheetData sheetId="11876">
        <row r="7">
          <cell r="AI7">
            <v>10000</v>
          </cell>
        </row>
      </sheetData>
      <sheetData sheetId="11877">
        <row r="7">
          <cell r="AI7">
            <v>10000</v>
          </cell>
        </row>
      </sheetData>
      <sheetData sheetId="11878">
        <row r="7">
          <cell r="AI7">
            <v>10000</v>
          </cell>
        </row>
      </sheetData>
      <sheetData sheetId="11879">
        <row r="7">
          <cell r="AI7">
            <v>10000</v>
          </cell>
        </row>
      </sheetData>
      <sheetData sheetId="11880">
        <row r="7">
          <cell r="AI7">
            <v>10000</v>
          </cell>
        </row>
      </sheetData>
      <sheetData sheetId="11881">
        <row r="7">
          <cell r="AI7">
            <v>10000</v>
          </cell>
        </row>
      </sheetData>
      <sheetData sheetId="11882">
        <row r="7">
          <cell r="AI7">
            <v>10000</v>
          </cell>
        </row>
      </sheetData>
      <sheetData sheetId="11883">
        <row r="7">
          <cell r="AI7">
            <v>10000</v>
          </cell>
        </row>
      </sheetData>
      <sheetData sheetId="11884">
        <row r="7">
          <cell r="AI7">
            <v>10000</v>
          </cell>
        </row>
      </sheetData>
      <sheetData sheetId="11885">
        <row r="7">
          <cell r="AI7">
            <v>10000</v>
          </cell>
        </row>
      </sheetData>
      <sheetData sheetId="11886">
        <row r="7">
          <cell r="AI7">
            <v>10000</v>
          </cell>
        </row>
      </sheetData>
      <sheetData sheetId="11887">
        <row r="7">
          <cell r="AI7">
            <v>10000</v>
          </cell>
        </row>
      </sheetData>
      <sheetData sheetId="11888">
        <row r="7">
          <cell r="AI7">
            <v>10000</v>
          </cell>
        </row>
      </sheetData>
      <sheetData sheetId="11889">
        <row r="7">
          <cell r="AI7">
            <v>10000</v>
          </cell>
        </row>
      </sheetData>
      <sheetData sheetId="11890">
        <row r="7">
          <cell r="AI7">
            <v>10000</v>
          </cell>
        </row>
      </sheetData>
      <sheetData sheetId="11891">
        <row r="7">
          <cell r="AI7">
            <v>10000</v>
          </cell>
        </row>
      </sheetData>
      <sheetData sheetId="11892">
        <row r="7">
          <cell r="AI7">
            <v>10000</v>
          </cell>
        </row>
      </sheetData>
      <sheetData sheetId="11893">
        <row r="7">
          <cell r="AI7">
            <v>10000</v>
          </cell>
        </row>
      </sheetData>
      <sheetData sheetId="11894">
        <row r="7">
          <cell r="AI7">
            <v>10000</v>
          </cell>
        </row>
      </sheetData>
      <sheetData sheetId="11895">
        <row r="7">
          <cell r="AI7">
            <v>10000</v>
          </cell>
        </row>
      </sheetData>
      <sheetData sheetId="11896">
        <row r="7">
          <cell r="AI7">
            <v>10000</v>
          </cell>
        </row>
      </sheetData>
      <sheetData sheetId="11897">
        <row r="7">
          <cell r="AI7">
            <v>10000</v>
          </cell>
        </row>
      </sheetData>
      <sheetData sheetId="11898">
        <row r="7">
          <cell r="AI7">
            <v>10000</v>
          </cell>
        </row>
      </sheetData>
      <sheetData sheetId="11899">
        <row r="7">
          <cell r="AI7">
            <v>10000</v>
          </cell>
        </row>
      </sheetData>
      <sheetData sheetId="11900">
        <row r="7">
          <cell r="AI7">
            <v>10000</v>
          </cell>
        </row>
      </sheetData>
      <sheetData sheetId="11901">
        <row r="7">
          <cell r="AI7">
            <v>10000</v>
          </cell>
        </row>
      </sheetData>
      <sheetData sheetId="11902">
        <row r="7">
          <cell r="AI7">
            <v>10000</v>
          </cell>
        </row>
      </sheetData>
      <sheetData sheetId="11903">
        <row r="7">
          <cell r="AI7">
            <v>10000</v>
          </cell>
        </row>
      </sheetData>
      <sheetData sheetId="11904">
        <row r="7">
          <cell r="AI7">
            <v>10000</v>
          </cell>
        </row>
      </sheetData>
      <sheetData sheetId="11905">
        <row r="7">
          <cell r="AI7">
            <v>10000</v>
          </cell>
        </row>
      </sheetData>
      <sheetData sheetId="11906">
        <row r="7">
          <cell r="AI7">
            <v>10000</v>
          </cell>
        </row>
      </sheetData>
      <sheetData sheetId="11907">
        <row r="7">
          <cell r="AI7">
            <v>10000</v>
          </cell>
        </row>
      </sheetData>
      <sheetData sheetId="11908">
        <row r="7">
          <cell r="AI7">
            <v>10000</v>
          </cell>
        </row>
      </sheetData>
      <sheetData sheetId="11909">
        <row r="7">
          <cell r="AI7">
            <v>10000</v>
          </cell>
        </row>
      </sheetData>
      <sheetData sheetId="11910">
        <row r="7">
          <cell r="AI7">
            <v>10000</v>
          </cell>
        </row>
      </sheetData>
      <sheetData sheetId="11911">
        <row r="7">
          <cell r="AI7">
            <v>10000</v>
          </cell>
        </row>
      </sheetData>
      <sheetData sheetId="11912">
        <row r="7">
          <cell r="AI7">
            <v>10000</v>
          </cell>
        </row>
      </sheetData>
      <sheetData sheetId="11913">
        <row r="7">
          <cell r="AI7">
            <v>10000</v>
          </cell>
        </row>
      </sheetData>
      <sheetData sheetId="11914">
        <row r="7">
          <cell r="AI7">
            <v>10000</v>
          </cell>
        </row>
      </sheetData>
      <sheetData sheetId="11915">
        <row r="7">
          <cell r="AI7">
            <v>10000</v>
          </cell>
        </row>
      </sheetData>
      <sheetData sheetId="11916">
        <row r="7">
          <cell r="AI7">
            <v>10000</v>
          </cell>
        </row>
      </sheetData>
      <sheetData sheetId="11917">
        <row r="7">
          <cell r="AI7">
            <v>10000</v>
          </cell>
        </row>
      </sheetData>
      <sheetData sheetId="11918">
        <row r="7">
          <cell r="AI7">
            <v>10000</v>
          </cell>
        </row>
      </sheetData>
      <sheetData sheetId="11919">
        <row r="7">
          <cell r="AI7">
            <v>10000</v>
          </cell>
        </row>
      </sheetData>
      <sheetData sheetId="11920">
        <row r="7">
          <cell r="AI7">
            <v>10000</v>
          </cell>
        </row>
      </sheetData>
      <sheetData sheetId="11921">
        <row r="7">
          <cell r="AI7">
            <v>10000</v>
          </cell>
        </row>
      </sheetData>
      <sheetData sheetId="11922">
        <row r="7">
          <cell r="AI7">
            <v>10000</v>
          </cell>
        </row>
      </sheetData>
      <sheetData sheetId="11923">
        <row r="7">
          <cell r="AI7">
            <v>10000</v>
          </cell>
        </row>
      </sheetData>
      <sheetData sheetId="11924">
        <row r="7">
          <cell r="AI7">
            <v>10000</v>
          </cell>
        </row>
      </sheetData>
      <sheetData sheetId="11925">
        <row r="7">
          <cell r="AI7">
            <v>10000</v>
          </cell>
        </row>
      </sheetData>
      <sheetData sheetId="11926">
        <row r="7">
          <cell r="AI7">
            <v>10000</v>
          </cell>
        </row>
      </sheetData>
      <sheetData sheetId="11927">
        <row r="7">
          <cell r="AI7">
            <v>10000</v>
          </cell>
        </row>
      </sheetData>
      <sheetData sheetId="11928">
        <row r="7">
          <cell r="AI7">
            <v>10000</v>
          </cell>
        </row>
      </sheetData>
      <sheetData sheetId="11929">
        <row r="7">
          <cell r="AI7">
            <v>10000</v>
          </cell>
        </row>
      </sheetData>
      <sheetData sheetId="11930">
        <row r="7">
          <cell r="AI7">
            <v>10000</v>
          </cell>
        </row>
      </sheetData>
      <sheetData sheetId="11931">
        <row r="7">
          <cell r="AI7">
            <v>10000</v>
          </cell>
        </row>
      </sheetData>
      <sheetData sheetId="11932">
        <row r="7">
          <cell r="AI7">
            <v>10000</v>
          </cell>
        </row>
      </sheetData>
      <sheetData sheetId="11933">
        <row r="7">
          <cell r="AI7">
            <v>10000</v>
          </cell>
        </row>
      </sheetData>
      <sheetData sheetId="11934">
        <row r="7">
          <cell r="AI7">
            <v>10000</v>
          </cell>
        </row>
      </sheetData>
      <sheetData sheetId="11935">
        <row r="7">
          <cell r="AI7">
            <v>10000</v>
          </cell>
        </row>
      </sheetData>
      <sheetData sheetId="11936">
        <row r="7">
          <cell r="AI7">
            <v>10000</v>
          </cell>
        </row>
      </sheetData>
      <sheetData sheetId="11937">
        <row r="7">
          <cell r="AI7">
            <v>10000</v>
          </cell>
        </row>
      </sheetData>
      <sheetData sheetId="11938">
        <row r="7">
          <cell r="AI7">
            <v>10000</v>
          </cell>
        </row>
      </sheetData>
      <sheetData sheetId="11939">
        <row r="7">
          <cell r="AI7">
            <v>10000</v>
          </cell>
        </row>
      </sheetData>
      <sheetData sheetId="11940">
        <row r="7">
          <cell r="AI7">
            <v>10000</v>
          </cell>
        </row>
      </sheetData>
      <sheetData sheetId="11941">
        <row r="7">
          <cell r="AI7">
            <v>10000</v>
          </cell>
        </row>
      </sheetData>
      <sheetData sheetId="11942">
        <row r="7">
          <cell r="AI7">
            <v>10000</v>
          </cell>
        </row>
      </sheetData>
      <sheetData sheetId="11943">
        <row r="7">
          <cell r="AI7">
            <v>10000</v>
          </cell>
        </row>
      </sheetData>
      <sheetData sheetId="11944">
        <row r="7">
          <cell r="AI7">
            <v>10000</v>
          </cell>
        </row>
      </sheetData>
      <sheetData sheetId="11945">
        <row r="7">
          <cell r="AI7">
            <v>10000</v>
          </cell>
        </row>
      </sheetData>
      <sheetData sheetId="11946">
        <row r="7">
          <cell r="AI7">
            <v>10000</v>
          </cell>
        </row>
      </sheetData>
      <sheetData sheetId="11947">
        <row r="7">
          <cell r="AI7">
            <v>10000</v>
          </cell>
        </row>
      </sheetData>
      <sheetData sheetId="11948">
        <row r="7">
          <cell r="AI7">
            <v>10000</v>
          </cell>
        </row>
      </sheetData>
      <sheetData sheetId="11949">
        <row r="7">
          <cell r="AI7">
            <v>10000</v>
          </cell>
        </row>
      </sheetData>
      <sheetData sheetId="11950">
        <row r="7">
          <cell r="AI7">
            <v>10000</v>
          </cell>
        </row>
      </sheetData>
      <sheetData sheetId="11951">
        <row r="7">
          <cell r="AI7">
            <v>10000</v>
          </cell>
        </row>
      </sheetData>
      <sheetData sheetId="11952">
        <row r="7">
          <cell r="AI7">
            <v>10000</v>
          </cell>
        </row>
      </sheetData>
      <sheetData sheetId="11953">
        <row r="7">
          <cell r="AI7">
            <v>10000</v>
          </cell>
        </row>
      </sheetData>
      <sheetData sheetId="11954">
        <row r="7">
          <cell r="AI7">
            <v>10000</v>
          </cell>
        </row>
      </sheetData>
      <sheetData sheetId="11955">
        <row r="7">
          <cell r="AI7">
            <v>10000</v>
          </cell>
        </row>
      </sheetData>
      <sheetData sheetId="11956">
        <row r="7">
          <cell r="AI7">
            <v>10000</v>
          </cell>
        </row>
      </sheetData>
      <sheetData sheetId="11957">
        <row r="7">
          <cell r="AI7">
            <v>10000</v>
          </cell>
        </row>
      </sheetData>
      <sheetData sheetId="11958">
        <row r="7">
          <cell r="AI7">
            <v>10000</v>
          </cell>
        </row>
      </sheetData>
      <sheetData sheetId="11959">
        <row r="7">
          <cell r="AI7">
            <v>10000</v>
          </cell>
        </row>
      </sheetData>
      <sheetData sheetId="11960">
        <row r="7">
          <cell r="AI7">
            <v>10000</v>
          </cell>
        </row>
      </sheetData>
      <sheetData sheetId="11961">
        <row r="7">
          <cell r="AI7">
            <v>10000</v>
          </cell>
        </row>
      </sheetData>
      <sheetData sheetId="11962">
        <row r="7">
          <cell r="AI7">
            <v>10000</v>
          </cell>
        </row>
      </sheetData>
      <sheetData sheetId="11963">
        <row r="7">
          <cell r="AI7">
            <v>10000</v>
          </cell>
        </row>
      </sheetData>
      <sheetData sheetId="11964">
        <row r="7">
          <cell r="AI7">
            <v>10000</v>
          </cell>
        </row>
      </sheetData>
      <sheetData sheetId="11965">
        <row r="7">
          <cell r="AI7">
            <v>10000</v>
          </cell>
        </row>
      </sheetData>
      <sheetData sheetId="11966">
        <row r="7">
          <cell r="AI7">
            <v>10000</v>
          </cell>
        </row>
      </sheetData>
      <sheetData sheetId="11967">
        <row r="7">
          <cell r="AI7">
            <v>10000</v>
          </cell>
        </row>
      </sheetData>
      <sheetData sheetId="11968">
        <row r="7">
          <cell r="AI7">
            <v>10000</v>
          </cell>
        </row>
      </sheetData>
      <sheetData sheetId="11969">
        <row r="7">
          <cell r="AI7">
            <v>10000</v>
          </cell>
        </row>
      </sheetData>
      <sheetData sheetId="11970">
        <row r="7">
          <cell r="AI7">
            <v>10000</v>
          </cell>
        </row>
      </sheetData>
      <sheetData sheetId="11971">
        <row r="7">
          <cell r="AI7">
            <v>10000</v>
          </cell>
        </row>
      </sheetData>
      <sheetData sheetId="11972">
        <row r="7">
          <cell r="AI7">
            <v>10000</v>
          </cell>
        </row>
      </sheetData>
      <sheetData sheetId="11973">
        <row r="7">
          <cell r="AI7">
            <v>10000</v>
          </cell>
        </row>
      </sheetData>
      <sheetData sheetId="11974">
        <row r="7">
          <cell r="AI7">
            <v>10000</v>
          </cell>
        </row>
      </sheetData>
      <sheetData sheetId="11975">
        <row r="7">
          <cell r="AI7">
            <v>10000</v>
          </cell>
        </row>
      </sheetData>
      <sheetData sheetId="11976">
        <row r="7">
          <cell r="AI7">
            <v>10000</v>
          </cell>
        </row>
      </sheetData>
      <sheetData sheetId="11977">
        <row r="7">
          <cell r="AI7">
            <v>10000</v>
          </cell>
        </row>
      </sheetData>
      <sheetData sheetId="11978">
        <row r="7">
          <cell r="AI7">
            <v>10000</v>
          </cell>
        </row>
      </sheetData>
      <sheetData sheetId="11979">
        <row r="7">
          <cell r="AI7">
            <v>10000</v>
          </cell>
        </row>
      </sheetData>
      <sheetData sheetId="11980">
        <row r="7">
          <cell r="AI7">
            <v>10000</v>
          </cell>
        </row>
      </sheetData>
      <sheetData sheetId="11981">
        <row r="7">
          <cell r="AI7">
            <v>10000</v>
          </cell>
        </row>
      </sheetData>
      <sheetData sheetId="11982">
        <row r="7">
          <cell r="AI7">
            <v>10000</v>
          </cell>
        </row>
      </sheetData>
      <sheetData sheetId="11983">
        <row r="7">
          <cell r="AI7">
            <v>10000</v>
          </cell>
        </row>
      </sheetData>
      <sheetData sheetId="11984">
        <row r="7">
          <cell r="AI7">
            <v>10000</v>
          </cell>
        </row>
      </sheetData>
      <sheetData sheetId="11985">
        <row r="7">
          <cell r="AI7">
            <v>10000</v>
          </cell>
        </row>
      </sheetData>
      <sheetData sheetId="11986">
        <row r="7">
          <cell r="AI7">
            <v>10000</v>
          </cell>
        </row>
      </sheetData>
      <sheetData sheetId="11987">
        <row r="7">
          <cell r="AI7">
            <v>10000</v>
          </cell>
        </row>
      </sheetData>
      <sheetData sheetId="11988">
        <row r="7">
          <cell r="AI7">
            <v>10000</v>
          </cell>
        </row>
      </sheetData>
      <sheetData sheetId="11989">
        <row r="7">
          <cell r="AI7">
            <v>10000</v>
          </cell>
        </row>
      </sheetData>
      <sheetData sheetId="11990">
        <row r="7">
          <cell r="AI7">
            <v>10000</v>
          </cell>
        </row>
      </sheetData>
      <sheetData sheetId="11991">
        <row r="7">
          <cell r="AI7">
            <v>10000</v>
          </cell>
        </row>
      </sheetData>
      <sheetData sheetId="11992">
        <row r="7">
          <cell r="AI7">
            <v>10000</v>
          </cell>
        </row>
      </sheetData>
      <sheetData sheetId="11993">
        <row r="7">
          <cell r="AI7">
            <v>10000</v>
          </cell>
        </row>
      </sheetData>
      <sheetData sheetId="11994">
        <row r="7">
          <cell r="AI7">
            <v>10000</v>
          </cell>
        </row>
      </sheetData>
      <sheetData sheetId="11995">
        <row r="7">
          <cell r="AI7">
            <v>10000</v>
          </cell>
        </row>
      </sheetData>
      <sheetData sheetId="11996">
        <row r="7">
          <cell r="AI7">
            <v>10000</v>
          </cell>
        </row>
      </sheetData>
      <sheetData sheetId="11997">
        <row r="7">
          <cell r="AI7">
            <v>10000</v>
          </cell>
        </row>
      </sheetData>
      <sheetData sheetId="11998">
        <row r="7">
          <cell r="AI7">
            <v>10000</v>
          </cell>
        </row>
      </sheetData>
      <sheetData sheetId="11999">
        <row r="7">
          <cell r="AI7">
            <v>10000</v>
          </cell>
        </row>
      </sheetData>
      <sheetData sheetId="12000">
        <row r="7">
          <cell r="AI7">
            <v>10000</v>
          </cell>
        </row>
      </sheetData>
      <sheetData sheetId="12001">
        <row r="7">
          <cell r="AI7">
            <v>10000</v>
          </cell>
        </row>
      </sheetData>
      <sheetData sheetId="12002">
        <row r="7">
          <cell r="AI7">
            <v>10000</v>
          </cell>
        </row>
      </sheetData>
      <sheetData sheetId="12003">
        <row r="7">
          <cell r="AI7">
            <v>10000</v>
          </cell>
        </row>
      </sheetData>
      <sheetData sheetId="12004">
        <row r="7">
          <cell r="AI7">
            <v>10000</v>
          </cell>
        </row>
      </sheetData>
      <sheetData sheetId="12005">
        <row r="7">
          <cell r="AI7">
            <v>10000</v>
          </cell>
        </row>
      </sheetData>
      <sheetData sheetId="12006">
        <row r="7">
          <cell r="AI7">
            <v>10000</v>
          </cell>
        </row>
      </sheetData>
      <sheetData sheetId="12007">
        <row r="7">
          <cell r="AI7">
            <v>10000</v>
          </cell>
        </row>
      </sheetData>
      <sheetData sheetId="12008">
        <row r="7">
          <cell r="AI7">
            <v>10000</v>
          </cell>
        </row>
      </sheetData>
      <sheetData sheetId="12009">
        <row r="7">
          <cell r="AI7">
            <v>10000</v>
          </cell>
        </row>
      </sheetData>
      <sheetData sheetId="12010">
        <row r="7">
          <cell r="AI7">
            <v>10000</v>
          </cell>
        </row>
      </sheetData>
      <sheetData sheetId="12011">
        <row r="7">
          <cell r="AI7">
            <v>10000</v>
          </cell>
        </row>
      </sheetData>
      <sheetData sheetId="12012">
        <row r="7">
          <cell r="AI7">
            <v>10000</v>
          </cell>
        </row>
      </sheetData>
      <sheetData sheetId="12013">
        <row r="7">
          <cell r="AI7">
            <v>10000</v>
          </cell>
        </row>
      </sheetData>
      <sheetData sheetId="12014">
        <row r="7">
          <cell r="AI7">
            <v>10000</v>
          </cell>
        </row>
      </sheetData>
      <sheetData sheetId="12015">
        <row r="7">
          <cell r="AI7">
            <v>10000</v>
          </cell>
        </row>
      </sheetData>
      <sheetData sheetId="12016">
        <row r="7">
          <cell r="AI7">
            <v>10000</v>
          </cell>
        </row>
      </sheetData>
      <sheetData sheetId="12017">
        <row r="7">
          <cell r="AI7">
            <v>10000</v>
          </cell>
        </row>
      </sheetData>
      <sheetData sheetId="12018">
        <row r="7">
          <cell r="AI7">
            <v>10000</v>
          </cell>
        </row>
      </sheetData>
      <sheetData sheetId="12019">
        <row r="7">
          <cell r="AI7">
            <v>10000</v>
          </cell>
        </row>
      </sheetData>
      <sheetData sheetId="12020">
        <row r="7">
          <cell r="AI7">
            <v>10000</v>
          </cell>
        </row>
      </sheetData>
      <sheetData sheetId="12021">
        <row r="7">
          <cell r="AI7">
            <v>10000</v>
          </cell>
        </row>
      </sheetData>
      <sheetData sheetId="12022">
        <row r="7">
          <cell r="AI7">
            <v>10000</v>
          </cell>
        </row>
      </sheetData>
      <sheetData sheetId="12023">
        <row r="7">
          <cell r="AI7">
            <v>10000</v>
          </cell>
        </row>
      </sheetData>
      <sheetData sheetId="12024">
        <row r="7">
          <cell r="AI7">
            <v>10000</v>
          </cell>
        </row>
      </sheetData>
      <sheetData sheetId="12025">
        <row r="7">
          <cell r="AI7">
            <v>10000</v>
          </cell>
        </row>
      </sheetData>
      <sheetData sheetId="12026">
        <row r="7">
          <cell r="AI7">
            <v>10000</v>
          </cell>
        </row>
      </sheetData>
      <sheetData sheetId="12027">
        <row r="7">
          <cell r="AI7">
            <v>10000</v>
          </cell>
        </row>
      </sheetData>
      <sheetData sheetId="12028">
        <row r="7">
          <cell r="AI7">
            <v>10000</v>
          </cell>
        </row>
      </sheetData>
      <sheetData sheetId="12029">
        <row r="7">
          <cell r="AI7">
            <v>10000</v>
          </cell>
        </row>
      </sheetData>
      <sheetData sheetId="12030">
        <row r="7">
          <cell r="AI7">
            <v>10000</v>
          </cell>
        </row>
      </sheetData>
      <sheetData sheetId="12031">
        <row r="7">
          <cell r="AI7">
            <v>10000</v>
          </cell>
        </row>
      </sheetData>
      <sheetData sheetId="12032">
        <row r="7">
          <cell r="AI7">
            <v>10000</v>
          </cell>
        </row>
      </sheetData>
      <sheetData sheetId="12033">
        <row r="7">
          <cell r="AI7">
            <v>10000</v>
          </cell>
        </row>
      </sheetData>
      <sheetData sheetId="12034">
        <row r="7">
          <cell r="AI7">
            <v>10000</v>
          </cell>
        </row>
      </sheetData>
      <sheetData sheetId="12035">
        <row r="7">
          <cell r="AI7">
            <v>10000</v>
          </cell>
        </row>
      </sheetData>
      <sheetData sheetId="12036">
        <row r="7">
          <cell r="AI7">
            <v>10000</v>
          </cell>
        </row>
      </sheetData>
      <sheetData sheetId="12037">
        <row r="7">
          <cell r="AI7">
            <v>10000</v>
          </cell>
        </row>
      </sheetData>
      <sheetData sheetId="12038">
        <row r="7">
          <cell r="AI7">
            <v>10000</v>
          </cell>
        </row>
      </sheetData>
      <sheetData sheetId="12039">
        <row r="7">
          <cell r="AI7">
            <v>10000</v>
          </cell>
        </row>
      </sheetData>
      <sheetData sheetId="12040">
        <row r="7">
          <cell r="AI7">
            <v>10000</v>
          </cell>
        </row>
      </sheetData>
      <sheetData sheetId="12041">
        <row r="7">
          <cell r="AI7">
            <v>10000</v>
          </cell>
        </row>
      </sheetData>
      <sheetData sheetId="12042">
        <row r="7">
          <cell r="AI7">
            <v>10000</v>
          </cell>
        </row>
      </sheetData>
      <sheetData sheetId="12043">
        <row r="7">
          <cell r="AI7">
            <v>10000</v>
          </cell>
        </row>
      </sheetData>
      <sheetData sheetId="12044">
        <row r="7">
          <cell r="AI7">
            <v>10000</v>
          </cell>
        </row>
      </sheetData>
      <sheetData sheetId="12045">
        <row r="7">
          <cell r="AI7">
            <v>10000</v>
          </cell>
        </row>
      </sheetData>
      <sheetData sheetId="12046">
        <row r="7">
          <cell r="AI7">
            <v>10000</v>
          </cell>
        </row>
      </sheetData>
      <sheetData sheetId="12047">
        <row r="7">
          <cell r="AI7">
            <v>10000</v>
          </cell>
        </row>
      </sheetData>
      <sheetData sheetId="12048">
        <row r="7">
          <cell r="AI7">
            <v>10000</v>
          </cell>
        </row>
      </sheetData>
      <sheetData sheetId="12049">
        <row r="7">
          <cell r="AI7">
            <v>10000</v>
          </cell>
        </row>
      </sheetData>
      <sheetData sheetId="12050">
        <row r="7">
          <cell r="AI7">
            <v>10000</v>
          </cell>
        </row>
      </sheetData>
      <sheetData sheetId="12051">
        <row r="7">
          <cell r="AI7">
            <v>10000</v>
          </cell>
        </row>
      </sheetData>
      <sheetData sheetId="12052">
        <row r="7">
          <cell r="AI7">
            <v>10000</v>
          </cell>
        </row>
      </sheetData>
      <sheetData sheetId="12053">
        <row r="7">
          <cell r="AI7">
            <v>10000</v>
          </cell>
        </row>
      </sheetData>
      <sheetData sheetId="12054">
        <row r="7">
          <cell r="AI7">
            <v>10000</v>
          </cell>
        </row>
      </sheetData>
      <sheetData sheetId="12055">
        <row r="7">
          <cell r="AI7">
            <v>10000</v>
          </cell>
        </row>
      </sheetData>
      <sheetData sheetId="12056">
        <row r="7">
          <cell r="AI7">
            <v>10000</v>
          </cell>
        </row>
      </sheetData>
      <sheetData sheetId="12057">
        <row r="7">
          <cell r="AI7">
            <v>10000</v>
          </cell>
        </row>
      </sheetData>
      <sheetData sheetId="12058">
        <row r="7">
          <cell r="AI7">
            <v>10000</v>
          </cell>
        </row>
      </sheetData>
      <sheetData sheetId="12059">
        <row r="7">
          <cell r="AI7">
            <v>10000</v>
          </cell>
        </row>
      </sheetData>
      <sheetData sheetId="12060">
        <row r="7">
          <cell r="AI7">
            <v>10000</v>
          </cell>
        </row>
      </sheetData>
      <sheetData sheetId="12061">
        <row r="7">
          <cell r="AI7">
            <v>10000</v>
          </cell>
        </row>
      </sheetData>
      <sheetData sheetId="12062">
        <row r="7">
          <cell r="AI7">
            <v>10000</v>
          </cell>
        </row>
      </sheetData>
      <sheetData sheetId="12063">
        <row r="7">
          <cell r="AI7">
            <v>10000</v>
          </cell>
        </row>
      </sheetData>
      <sheetData sheetId="12064">
        <row r="7">
          <cell r="AI7">
            <v>10000</v>
          </cell>
        </row>
      </sheetData>
      <sheetData sheetId="12065">
        <row r="7">
          <cell r="AI7">
            <v>10000</v>
          </cell>
        </row>
      </sheetData>
      <sheetData sheetId="12066">
        <row r="7">
          <cell r="AI7">
            <v>10000</v>
          </cell>
        </row>
      </sheetData>
      <sheetData sheetId="12067">
        <row r="7">
          <cell r="AI7">
            <v>10000</v>
          </cell>
        </row>
      </sheetData>
      <sheetData sheetId="12068">
        <row r="7">
          <cell r="AI7">
            <v>10000</v>
          </cell>
        </row>
      </sheetData>
      <sheetData sheetId="12069">
        <row r="7">
          <cell r="AI7">
            <v>10000</v>
          </cell>
        </row>
      </sheetData>
      <sheetData sheetId="12070">
        <row r="7">
          <cell r="AI7">
            <v>10000</v>
          </cell>
        </row>
      </sheetData>
      <sheetData sheetId="12071">
        <row r="7">
          <cell r="AI7">
            <v>10000</v>
          </cell>
        </row>
      </sheetData>
      <sheetData sheetId="12072">
        <row r="7">
          <cell r="AI7">
            <v>10000</v>
          </cell>
        </row>
      </sheetData>
      <sheetData sheetId="12073">
        <row r="7">
          <cell r="AI7">
            <v>10000</v>
          </cell>
        </row>
      </sheetData>
      <sheetData sheetId="12074">
        <row r="7">
          <cell r="AI7">
            <v>10000</v>
          </cell>
        </row>
      </sheetData>
      <sheetData sheetId="12075">
        <row r="7">
          <cell r="AI7">
            <v>10000</v>
          </cell>
        </row>
      </sheetData>
      <sheetData sheetId="12076">
        <row r="7">
          <cell r="AI7">
            <v>10000</v>
          </cell>
        </row>
      </sheetData>
      <sheetData sheetId="12077">
        <row r="7">
          <cell r="AI7">
            <v>10000</v>
          </cell>
        </row>
      </sheetData>
      <sheetData sheetId="12078">
        <row r="7">
          <cell r="AI7">
            <v>10000</v>
          </cell>
        </row>
      </sheetData>
      <sheetData sheetId="12079">
        <row r="7">
          <cell r="AI7">
            <v>10000</v>
          </cell>
        </row>
      </sheetData>
      <sheetData sheetId="12080">
        <row r="7">
          <cell r="AI7">
            <v>10000</v>
          </cell>
        </row>
      </sheetData>
      <sheetData sheetId="12081">
        <row r="7">
          <cell r="AI7">
            <v>10000</v>
          </cell>
        </row>
      </sheetData>
      <sheetData sheetId="12082">
        <row r="7">
          <cell r="AI7">
            <v>10000</v>
          </cell>
        </row>
      </sheetData>
      <sheetData sheetId="12083">
        <row r="7">
          <cell r="AI7">
            <v>10000</v>
          </cell>
        </row>
      </sheetData>
      <sheetData sheetId="12084">
        <row r="7">
          <cell r="AI7">
            <v>10000</v>
          </cell>
        </row>
      </sheetData>
      <sheetData sheetId="12085">
        <row r="7">
          <cell r="AI7">
            <v>10000</v>
          </cell>
        </row>
      </sheetData>
      <sheetData sheetId="12086">
        <row r="7">
          <cell r="AI7">
            <v>10000</v>
          </cell>
        </row>
      </sheetData>
      <sheetData sheetId="12087">
        <row r="7">
          <cell r="AI7">
            <v>10000</v>
          </cell>
        </row>
      </sheetData>
      <sheetData sheetId="12088">
        <row r="7">
          <cell r="AI7">
            <v>10000</v>
          </cell>
        </row>
      </sheetData>
      <sheetData sheetId="12089">
        <row r="7">
          <cell r="AI7">
            <v>10000</v>
          </cell>
        </row>
      </sheetData>
      <sheetData sheetId="12090">
        <row r="7">
          <cell r="AI7">
            <v>10000</v>
          </cell>
        </row>
      </sheetData>
      <sheetData sheetId="12091">
        <row r="7">
          <cell r="AI7">
            <v>10000</v>
          </cell>
        </row>
      </sheetData>
      <sheetData sheetId="12092">
        <row r="7">
          <cell r="AI7">
            <v>10000</v>
          </cell>
        </row>
      </sheetData>
      <sheetData sheetId="12093">
        <row r="7">
          <cell r="AI7">
            <v>10000</v>
          </cell>
        </row>
      </sheetData>
      <sheetData sheetId="12094">
        <row r="7">
          <cell r="AI7">
            <v>10000</v>
          </cell>
        </row>
      </sheetData>
      <sheetData sheetId="12095">
        <row r="7">
          <cell r="AI7">
            <v>10000</v>
          </cell>
        </row>
      </sheetData>
      <sheetData sheetId="12096">
        <row r="7">
          <cell r="AI7">
            <v>10000</v>
          </cell>
        </row>
      </sheetData>
      <sheetData sheetId="12097">
        <row r="7">
          <cell r="AI7">
            <v>10000</v>
          </cell>
        </row>
      </sheetData>
      <sheetData sheetId="12098">
        <row r="7">
          <cell r="AI7">
            <v>10000</v>
          </cell>
        </row>
      </sheetData>
      <sheetData sheetId="12099">
        <row r="7">
          <cell r="AI7">
            <v>10000</v>
          </cell>
        </row>
      </sheetData>
      <sheetData sheetId="12100">
        <row r="7">
          <cell r="AI7">
            <v>10000</v>
          </cell>
        </row>
      </sheetData>
      <sheetData sheetId="12101">
        <row r="7">
          <cell r="AI7">
            <v>10000</v>
          </cell>
        </row>
      </sheetData>
      <sheetData sheetId="12102">
        <row r="7">
          <cell r="AI7">
            <v>10000</v>
          </cell>
        </row>
      </sheetData>
      <sheetData sheetId="12103">
        <row r="7">
          <cell r="AI7">
            <v>10000</v>
          </cell>
        </row>
      </sheetData>
      <sheetData sheetId="12104">
        <row r="7">
          <cell r="AI7">
            <v>10000</v>
          </cell>
        </row>
      </sheetData>
      <sheetData sheetId="12105">
        <row r="7">
          <cell r="AI7">
            <v>10000</v>
          </cell>
        </row>
      </sheetData>
      <sheetData sheetId="12106">
        <row r="7">
          <cell r="AI7">
            <v>10000</v>
          </cell>
        </row>
      </sheetData>
      <sheetData sheetId="12107">
        <row r="7">
          <cell r="AI7">
            <v>10000</v>
          </cell>
        </row>
      </sheetData>
      <sheetData sheetId="12108">
        <row r="7">
          <cell r="AI7">
            <v>10000</v>
          </cell>
        </row>
      </sheetData>
      <sheetData sheetId="12109">
        <row r="7">
          <cell r="AI7">
            <v>10000</v>
          </cell>
        </row>
      </sheetData>
      <sheetData sheetId="12110">
        <row r="7">
          <cell r="AI7">
            <v>10000</v>
          </cell>
        </row>
      </sheetData>
      <sheetData sheetId="12111">
        <row r="7">
          <cell r="AI7">
            <v>10000</v>
          </cell>
        </row>
      </sheetData>
      <sheetData sheetId="12112">
        <row r="7">
          <cell r="AI7">
            <v>10000</v>
          </cell>
        </row>
      </sheetData>
      <sheetData sheetId="12113">
        <row r="7">
          <cell r="AI7">
            <v>10000</v>
          </cell>
        </row>
      </sheetData>
      <sheetData sheetId="12114">
        <row r="7">
          <cell r="AI7">
            <v>10000</v>
          </cell>
        </row>
      </sheetData>
      <sheetData sheetId="12115">
        <row r="7">
          <cell r="AI7">
            <v>10000</v>
          </cell>
        </row>
      </sheetData>
      <sheetData sheetId="12116">
        <row r="7">
          <cell r="AI7">
            <v>10000</v>
          </cell>
        </row>
      </sheetData>
      <sheetData sheetId="12117">
        <row r="7">
          <cell r="AI7">
            <v>10000</v>
          </cell>
        </row>
      </sheetData>
      <sheetData sheetId="12118">
        <row r="7">
          <cell r="AI7">
            <v>10000</v>
          </cell>
        </row>
      </sheetData>
      <sheetData sheetId="12119">
        <row r="7">
          <cell r="AI7">
            <v>10000</v>
          </cell>
        </row>
      </sheetData>
      <sheetData sheetId="12120">
        <row r="7">
          <cell r="AI7">
            <v>10000</v>
          </cell>
        </row>
      </sheetData>
      <sheetData sheetId="12121">
        <row r="7">
          <cell r="AI7">
            <v>10000</v>
          </cell>
        </row>
      </sheetData>
      <sheetData sheetId="12122">
        <row r="7">
          <cell r="AI7">
            <v>10000</v>
          </cell>
        </row>
      </sheetData>
      <sheetData sheetId="12123">
        <row r="7">
          <cell r="AI7">
            <v>10000</v>
          </cell>
        </row>
      </sheetData>
      <sheetData sheetId="12124">
        <row r="7">
          <cell r="AI7">
            <v>10000</v>
          </cell>
        </row>
      </sheetData>
      <sheetData sheetId="12125">
        <row r="7">
          <cell r="AI7">
            <v>10000</v>
          </cell>
        </row>
      </sheetData>
      <sheetData sheetId="12126">
        <row r="7">
          <cell r="AI7">
            <v>10000</v>
          </cell>
        </row>
      </sheetData>
      <sheetData sheetId="12127">
        <row r="7">
          <cell r="AI7">
            <v>10000</v>
          </cell>
        </row>
      </sheetData>
      <sheetData sheetId="12128">
        <row r="7">
          <cell r="AI7">
            <v>10000</v>
          </cell>
        </row>
      </sheetData>
      <sheetData sheetId="12129">
        <row r="7">
          <cell r="AI7">
            <v>10000</v>
          </cell>
        </row>
      </sheetData>
      <sheetData sheetId="12130">
        <row r="7">
          <cell r="AI7">
            <v>10000</v>
          </cell>
        </row>
      </sheetData>
      <sheetData sheetId="12131">
        <row r="7">
          <cell r="AI7">
            <v>10000</v>
          </cell>
        </row>
      </sheetData>
      <sheetData sheetId="12132">
        <row r="7">
          <cell r="AI7">
            <v>10000</v>
          </cell>
        </row>
      </sheetData>
      <sheetData sheetId="12133">
        <row r="7">
          <cell r="AI7">
            <v>10000</v>
          </cell>
        </row>
      </sheetData>
      <sheetData sheetId="12134">
        <row r="7">
          <cell r="AI7">
            <v>10000</v>
          </cell>
        </row>
      </sheetData>
      <sheetData sheetId="12135">
        <row r="7">
          <cell r="AI7">
            <v>10000</v>
          </cell>
        </row>
      </sheetData>
      <sheetData sheetId="12136">
        <row r="7">
          <cell r="AI7">
            <v>10000</v>
          </cell>
        </row>
      </sheetData>
      <sheetData sheetId="12137">
        <row r="7">
          <cell r="AI7">
            <v>10000</v>
          </cell>
        </row>
      </sheetData>
      <sheetData sheetId="12138">
        <row r="7">
          <cell r="AI7">
            <v>10000</v>
          </cell>
        </row>
      </sheetData>
      <sheetData sheetId="12139">
        <row r="7">
          <cell r="AI7">
            <v>10000</v>
          </cell>
        </row>
      </sheetData>
      <sheetData sheetId="12140">
        <row r="7">
          <cell r="AI7">
            <v>10000</v>
          </cell>
        </row>
      </sheetData>
      <sheetData sheetId="12141">
        <row r="7">
          <cell r="AI7">
            <v>10000</v>
          </cell>
        </row>
      </sheetData>
      <sheetData sheetId="12142">
        <row r="7">
          <cell r="AI7">
            <v>10000</v>
          </cell>
        </row>
      </sheetData>
      <sheetData sheetId="12143">
        <row r="7">
          <cell r="AI7">
            <v>10000</v>
          </cell>
        </row>
      </sheetData>
      <sheetData sheetId="12144">
        <row r="7">
          <cell r="AI7">
            <v>10000</v>
          </cell>
        </row>
      </sheetData>
      <sheetData sheetId="12145">
        <row r="7">
          <cell r="AI7">
            <v>10000</v>
          </cell>
        </row>
      </sheetData>
      <sheetData sheetId="12146">
        <row r="7">
          <cell r="AI7">
            <v>10000</v>
          </cell>
        </row>
      </sheetData>
      <sheetData sheetId="12147">
        <row r="7">
          <cell r="AI7">
            <v>10000</v>
          </cell>
        </row>
      </sheetData>
      <sheetData sheetId="12148">
        <row r="7">
          <cell r="AI7">
            <v>10000</v>
          </cell>
        </row>
      </sheetData>
      <sheetData sheetId="12149">
        <row r="7">
          <cell r="AI7">
            <v>10000</v>
          </cell>
        </row>
      </sheetData>
      <sheetData sheetId="12150">
        <row r="7">
          <cell r="AI7">
            <v>10000</v>
          </cell>
        </row>
      </sheetData>
      <sheetData sheetId="12151">
        <row r="7">
          <cell r="AI7">
            <v>10000</v>
          </cell>
        </row>
      </sheetData>
      <sheetData sheetId="12152">
        <row r="7">
          <cell r="AI7">
            <v>10000</v>
          </cell>
        </row>
      </sheetData>
      <sheetData sheetId="12153">
        <row r="7">
          <cell r="AI7">
            <v>10000</v>
          </cell>
        </row>
      </sheetData>
      <sheetData sheetId="12154">
        <row r="7">
          <cell r="AI7">
            <v>10000</v>
          </cell>
        </row>
      </sheetData>
      <sheetData sheetId="12155">
        <row r="7">
          <cell r="AI7">
            <v>10000</v>
          </cell>
        </row>
      </sheetData>
      <sheetData sheetId="12156">
        <row r="7">
          <cell r="AI7">
            <v>10000</v>
          </cell>
        </row>
      </sheetData>
      <sheetData sheetId="12157">
        <row r="7">
          <cell r="AI7">
            <v>10000</v>
          </cell>
        </row>
      </sheetData>
      <sheetData sheetId="12158">
        <row r="7">
          <cell r="AI7">
            <v>10000</v>
          </cell>
        </row>
      </sheetData>
      <sheetData sheetId="12159">
        <row r="7">
          <cell r="AI7">
            <v>10000</v>
          </cell>
        </row>
      </sheetData>
      <sheetData sheetId="12160">
        <row r="7">
          <cell r="AI7">
            <v>10000</v>
          </cell>
        </row>
      </sheetData>
      <sheetData sheetId="12161">
        <row r="7">
          <cell r="AI7">
            <v>10000</v>
          </cell>
        </row>
      </sheetData>
      <sheetData sheetId="12162">
        <row r="7">
          <cell r="AI7">
            <v>10000</v>
          </cell>
        </row>
      </sheetData>
      <sheetData sheetId="12163">
        <row r="7">
          <cell r="AI7">
            <v>10000</v>
          </cell>
        </row>
      </sheetData>
      <sheetData sheetId="12164">
        <row r="7">
          <cell r="AI7">
            <v>10000</v>
          </cell>
        </row>
      </sheetData>
      <sheetData sheetId="12165">
        <row r="7">
          <cell r="AI7">
            <v>10000</v>
          </cell>
        </row>
      </sheetData>
      <sheetData sheetId="12166">
        <row r="7">
          <cell r="AI7">
            <v>10000</v>
          </cell>
        </row>
      </sheetData>
      <sheetData sheetId="12167">
        <row r="7">
          <cell r="AI7">
            <v>10000</v>
          </cell>
        </row>
      </sheetData>
      <sheetData sheetId="12168">
        <row r="7">
          <cell r="AI7">
            <v>10000</v>
          </cell>
        </row>
      </sheetData>
      <sheetData sheetId="12169">
        <row r="7">
          <cell r="AI7">
            <v>10000</v>
          </cell>
        </row>
      </sheetData>
      <sheetData sheetId="12170">
        <row r="7">
          <cell r="AI7">
            <v>10000</v>
          </cell>
        </row>
      </sheetData>
      <sheetData sheetId="12171">
        <row r="7">
          <cell r="AI7">
            <v>10000</v>
          </cell>
        </row>
      </sheetData>
      <sheetData sheetId="12172">
        <row r="7">
          <cell r="AI7">
            <v>10000</v>
          </cell>
        </row>
      </sheetData>
      <sheetData sheetId="12173">
        <row r="7">
          <cell r="AI7">
            <v>10000</v>
          </cell>
        </row>
      </sheetData>
      <sheetData sheetId="12174">
        <row r="7">
          <cell r="AI7">
            <v>10000</v>
          </cell>
        </row>
      </sheetData>
      <sheetData sheetId="12175">
        <row r="7">
          <cell r="AI7">
            <v>10000</v>
          </cell>
        </row>
      </sheetData>
      <sheetData sheetId="12176">
        <row r="7">
          <cell r="AI7">
            <v>10000</v>
          </cell>
        </row>
      </sheetData>
      <sheetData sheetId="12177">
        <row r="7">
          <cell r="AI7">
            <v>10000</v>
          </cell>
        </row>
      </sheetData>
      <sheetData sheetId="12178">
        <row r="7">
          <cell r="AI7">
            <v>10000</v>
          </cell>
        </row>
      </sheetData>
      <sheetData sheetId="12179">
        <row r="7">
          <cell r="AI7">
            <v>10000</v>
          </cell>
        </row>
      </sheetData>
      <sheetData sheetId="12180">
        <row r="7">
          <cell r="AI7">
            <v>10000</v>
          </cell>
        </row>
      </sheetData>
      <sheetData sheetId="12181">
        <row r="7">
          <cell r="AI7">
            <v>10000</v>
          </cell>
        </row>
      </sheetData>
      <sheetData sheetId="12182">
        <row r="7">
          <cell r="AI7">
            <v>10000</v>
          </cell>
        </row>
      </sheetData>
      <sheetData sheetId="12183">
        <row r="7">
          <cell r="AI7">
            <v>10000</v>
          </cell>
        </row>
      </sheetData>
      <sheetData sheetId="12184">
        <row r="7">
          <cell r="AI7">
            <v>10000</v>
          </cell>
        </row>
      </sheetData>
      <sheetData sheetId="12185">
        <row r="7">
          <cell r="AI7">
            <v>10000</v>
          </cell>
        </row>
      </sheetData>
      <sheetData sheetId="12186">
        <row r="7">
          <cell r="AI7">
            <v>10000</v>
          </cell>
        </row>
      </sheetData>
      <sheetData sheetId="12187">
        <row r="7">
          <cell r="AI7">
            <v>10000</v>
          </cell>
        </row>
      </sheetData>
      <sheetData sheetId="12188">
        <row r="7">
          <cell r="AI7">
            <v>10000</v>
          </cell>
        </row>
      </sheetData>
      <sheetData sheetId="12189">
        <row r="7">
          <cell r="AI7">
            <v>10000</v>
          </cell>
        </row>
      </sheetData>
      <sheetData sheetId="12190">
        <row r="7">
          <cell r="AI7">
            <v>10000</v>
          </cell>
        </row>
      </sheetData>
      <sheetData sheetId="12191">
        <row r="7">
          <cell r="AI7">
            <v>10000</v>
          </cell>
        </row>
      </sheetData>
      <sheetData sheetId="12192">
        <row r="7">
          <cell r="AI7">
            <v>10000</v>
          </cell>
        </row>
      </sheetData>
      <sheetData sheetId="12193">
        <row r="7">
          <cell r="AI7">
            <v>10000</v>
          </cell>
        </row>
      </sheetData>
      <sheetData sheetId="12194">
        <row r="7">
          <cell r="AI7">
            <v>10000</v>
          </cell>
        </row>
      </sheetData>
      <sheetData sheetId="12195">
        <row r="7">
          <cell r="AI7">
            <v>10000</v>
          </cell>
        </row>
      </sheetData>
      <sheetData sheetId="12196">
        <row r="7">
          <cell r="AI7">
            <v>10000</v>
          </cell>
        </row>
      </sheetData>
      <sheetData sheetId="12197">
        <row r="7">
          <cell r="AI7">
            <v>10000</v>
          </cell>
        </row>
      </sheetData>
      <sheetData sheetId="12198">
        <row r="7">
          <cell r="AI7">
            <v>10000</v>
          </cell>
        </row>
      </sheetData>
      <sheetData sheetId="12199">
        <row r="7">
          <cell r="AI7">
            <v>10000</v>
          </cell>
        </row>
      </sheetData>
      <sheetData sheetId="12200">
        <row r="7">
          <cell r="AI7">
            <v>10000</v>
          </cell>
        </row>
      </sheetData>
      <sheetData sheetId="12201">
        <row r="7">
          <cell r="AI7">
            <v>10000</v>
          </cell>
        </row>
      </sheetData>
      <sheetData sheetId="12202">
        <row r="7">
          <cell r="AI7">
            <v>10000</v>
          </cell>
        </row>
      </sheetData>
      <sheetData sheetId="12203">
        <row r="7">
          <cell r="AI7">
            <v>10000</v>
          </cell>
        </row>
      </sheetData>
      <sheetData sheetId="12204">
        <row r="7">
          <cell r="AI7">
            <v>10000</v>
          </cell>
        </row>
      </sheetData>
      <sheetData sheetId="12205">
        <row r="7">
          <cell r="AI7">
            <v>10000</v>
          </cell>
        </row>
      </sheetData>
      <sheetData sheetId="12206">
        <row r="7">
          <cell r="AI7">
            <v>10000</v>
          </cell>
        </row>
      </sheetData>
      <sheetData sheetId="12207">
        <row r="7">
          <cell r="AI7">
            <v>10000</v>
          </cell>
        </row>
      </sheetData>
      <sheetData sheetId="12208">
        <row r="7">
          <cell r="AI7">
            <v>10000</v>
          </cell>
        </row>
      </sheetData>
      <sheetData sheetId="12209">
        <row r="7">
          <cell r="AI7">
            <v>10000</v>
          </cell>
        </row>
      </sheetData>
      <sheetData sheetId="12210">
        <row r="7">
          <cell r="AI7">
            <v>10000</v>
          </cell>
        </row>
      </sheetData>
      <sheetData sheetId="12211">
        <row r="7">
          <cell r="AI7">
            <v>10000</v>
          </cell>
        </row>
      </sheetData>
      <sheetData sheetId="12212">
        <row r="7">
          <cell r="AI7">
            <v>10000</v>
          </cell>
        </row>
      </sheetData>
      <sheetData sheetId="12213">
        <row r="7">
          <cell r="AI7">
            <v>10000</v>
          </cell>
        </row>
      </sheetData>
      <sheetData sheetId="12214">
        <row r="7">
          <cell r="AI7">
            <v>10000</v>
          </cell>
        </row>
      </sheetData>
      <sheetData sheetId="12215">
        <row r="7">
          <cell r="AI7">
            <v>10000</v>
          </cell>
        </row>
      </sheetData>
      <sheetData sheetId="12216">
        <row r="7">
          <cell r="AI7">
            <v>10000</v>
          </cell>
        </row>
      </sheetData>
      <sheetData sheetId="12217">
        <row r="7">
          <cell r="AI7">
            <v>10000</v>
          </cell>
        </row>
      </sheetData>
      <sheetData sheetId="12218">
        <row r="7">
          <cell r="AI7">
            <v>10000</v>
          </cell>
        </row>
      </sheetData>
      <sheetData sheetId="12219">
        <row r="7">
          <cell r="AI7">
            <v>10000</v>
          </cell>
        </row>
      </sheetData>
      <sheetData sheetId="12220">
        <row r="7">
          <cell r="AI7">
            <v>10000</v>
          </cell>
        </row>
      </sheetData>
      <sheetData sheetId="12221">
        <row r="7">
          <cell r="AI7">
            <v>10000</v>
          </cell>
        </row>
      </sheetData>
      <sheetData sheetId="12222">
        <row r="7">
          <cell r="AI7">
            <v>10000</v>
          </cell>
        </row>
      </sheetData>
      <sheetData sheetId="12223">
        <row r="7">
          <cell r="AI7">
            <v>10000</v>
          </cell>
        </row>
      </sheetData>
      <sheetData sheetId="12224">
        <row r="7">
          <cell r="AI7">
            <v>10000</v>
          </cell>
        </row>
      </sheetData>
      <sheetData sheetId="12225">
        <row r="7">
          <cell r="AI7">
            <v>10000</v>
          </cell>
        </row>
      </sheetData>
      <sheetData sheetId="12226">
        <row r="7">
          <cell r="AI7">
            <v>10000</v>
          </cell>
        </row>
      </sheetData>
      <sheetData sheetId="12227">
        <row r="7">
          <cell r="AI7">
            <v>10000</v>
          </cell>
        </row>
      </sheetData>
      <sheetData sheetId="12228">
        <row r="7">
          <cell r="AI7">
            <v>10000</v>
          </cell>
        </row>
      </sheetData>
      <sheetData sheetId="12229">
        <row r="7">
          <cell r="AI7">
            <v>10000</v>
          </cell>
        </row>
      </sheetData>
      <sheetData sheetId="12230">
        <row r="7">
          <cell r="AI7">
            <v>10000</v>
          </cell>
        </row>
      </sheetData>
      <sheetData sheetId="12231">
        <row r="7">
          <cell r="AI7">
            <v>10000</v>
          </cell>
        </row>
      </sheetData>
      <sheetData sheetId="12232">
        <row r="7">
          <cell r="AI7">
            <v>10000</v>
          </cell>
        </row>
      </sheetData>
      <sheetData sheetId="12233">
        <row r="7">
          <cell r="AI7">
            <v>10000</v>
          </cell>
        </row>
      </sheetData>
      <sheetData sheetId="12234">
        <row r="7">
          <cell r="AI7">
            <v>10000</v>
          </cell>
        </row>
      </sheetData>
      <sheetData sheetId="12235">
        <row r="7">
          <cell r="AI7">
            <v>10000</v>
          </cell>
        </row>
      </sheetData>
      <sheetData sheetId="12236">
        <row r="7">
          <cell r="AI7">
            <v>10000</v>
          </cell>
        </row>
      </sheetData>
      <sheetData sheetId="12237">
        <row r="7">
          <cell r="AI7">
            <v>10000</v>
          </cell>
        </row>
      </sheetData>
      <sheetData sheetId="12238">
        <row r="7">
          <cell r="AI7">
            <v>10000</v>
          </cell>
        </row>
      </sheetData>
      <sheetData sheetId="12239">
        <row r="7">
          <cell r="AI7">
            <v>10000</v>
          </cell>
        </row>
      </sheetData>
      <sheetData sheetId="12240">
        <row r="7">
          <cell r="AI7">
            <v>10000</v>
          </cell>
        </row>
      </sheetData>
      <sheetData sheetId="12241">
        <row r="7">
          <cell r="AI7">
            <v>10000</v>
          </cell>
        </row>
      </sheetData>
      <sheetData sheetId="12242">
        <row r="7">
          <cell r="AI7">
            <v>10000</v>
          </cell>
        </row>
      </sheetData>
      <sheetData sheetId="12243">
        <row r="7">
          <cell r="AI7">
            <v>10000</v>
          </cell>
        </row>
      </sheetData>
      <sheetData sheetId="12244">
        <row r="7">
          <cell r="AI7">
            <v>10000</v>
          </cell>
        </row>
      </sheetData>
      <sheetData sheetId="12245">
        <row r="7">
          <cell r="AI7">
            <v>10000</v>
          </cell>
        </row>
      </sheetData>
      <sheetData sheetId="12246">
        <row r="7">
          <cell r="AI7">
            <v>10000</v>
          </cell>
        </row>
      </sheetData>
      <sheetData sheetId="12247">
        <row r="7">
          <cell r="AI7">
            <v>10000</v>
          </cell>
        </row>
      </sheetData>
      <sheetData sheetId="12248">
        <row r="7">
          <cell r="AI7">
            <v>10000</v>
          </cell>
        </row>
      </sheetData>
      <sheetData sheetId="12249">
        <row r="7">
          <cell r="AI7">
            <v>10000</v>
          </cell>
        </row>
      </sheetData>
      <sheetData sheetId="12250">
        <row r="7">
          <cell r="AI7">
            <v>10000</v>
          </cell>
        </row>
      </sheetData>
      <sheetData sheetId="12251">
        <row r="7">
          <cell r="AI7">
            <v>10000</v>
          </cell>
        </row>
      </sheetData>
      <sheetData sheetId="12252">
        <row r="7">
          <cell r="AI7">
            <v>10000</v>
          </cell>
        </row>
      </sheetData>
      <sheetData sheetId="12253">
        <row r="7">
          <cell r="AI7">
            <v>10000</v>
          </cell>
        </row>
      </sheetData>
      <sheetData sheetId="12254">
        <row r="7">
          <cell r="AI7">
            <v>10000</v>
          </cell>
        </row>
      </sheetData>
      <sheetData sheetId="12255">
        <row r="7">
          <cell r="AI7">
            <v>10000</v>
          </cell>
        </row>
      </sheetData>
      <sheetData sheetId="12256">
        <row r="7">
          <cell r="AI7">
            <v>10000</v>
          </cell>
        </row>
      </sheetData>
      <sheetData sheetId="12257">
        <row r="7">
          <cell r="AI7">
            <v>10000</v>
          </cell>
        </row>
      </sheetData>
      <sheetData sheetId="12258">
        <row r="7">
          <cell r="AI7">
            <v>10000</v>
          </cell>
        </row>
      </sheetData>
      <sheetData sheetId="12259">
        <row r="7">
          <cell r="AI7">
            <v>10000</v>
          </cell>
        </row>
      </sheetData>
      <sheetData sheetId="12260">
        <row r="7">
          <cell r="AI7">
            <v>10000</v>
          </cell>
        </row>
      </sheetData>
      <sheetData sheetId="12261">
        <row r="7">
          <cell r="AI7">
            <v>10000</v>
          </cell>
        </row>
      </sheetData>
      <sheetData sheetId="12262">
        <row r="7">
          <cell r="AI7">
            <v>10000</v>
          </cell>
        </row>
      </sheetData>
      <sheetData sheetId="12263">
        <row r="7">
          <cell r="AI7">
            <v>10000</v>
          </cell>
        </row>
      </sheetData>
      <sheetData sheetId="12264">
        <row r="7">
          <cell r="AI7">
            <v>10000</v>
          </cell>
        </row>
      </sheetData>
      <sheetData sheetId="12265">
        <row r="7">
          <cell r="AI7">
            <v>10000</v>
          </cell>
        </row>
      </sheetData>
      <sheetData sheetId="12266">
        <row r="7">
          <cell r="AI7">
            <v>10000</v>
          </cell>
        </row>
      </sheetData>
      <sheetData sheetId="12267">
        <row r="7">
          <cell r="AI7">
            <v>10000</v>
          </cell>
        </row>
      </sheetData>
      <sheetData sheetId="12268">
        <row r="7">
          <cell r="AI7">
            <v>10000</v>
          </cell>
        </row>
      </sheetData>
      <sheetData sheetId="12269">
        <row r="7">
          <cell r="AI7">
            <v>10000</v>
          </cell>
        </row>
      </sheetData>
      <sheetData sheetId="12270">
        <row r="7">
          <cell r="AI7">
            <v>10000</v>
          </cell>
        </row>
      </sheetData>
      <sheetData sheetId="12271">
        <row r="7">
          <cell r="AI7">
            <v>10000</v>
          </cell>
        </row>
      </sheetData>
      <sheetData sheetId="12272">
        <row r="7">
          <cell r="AI7">
            <v>10000</v>
          </cell>
        </row>
      </sheetData>
      <sheetData sheetId="12273">
        <row r="7">
          <cell r="AI7">
            <v>10000</v>
          </cell>
        </row>
      </sheetData>
      <sheetData sheetId="12274">
        <row r="7">
          <cell r="AI7">
            <v>10000</v>
          </cell>
        </row>
      </sheetData>
      <sheetData sheetId="12275">
        <row r="7">
          <cell r="AI7">
            <v>10000</v>
          </cell>
        </row>
      </sheetData>
      <sheetData sheetId="12276">
        <row r="7">
          <cell r="AI7">
            <v>10000</v>
          </cell>
        </row>
      </sheetData>
      <sheetData sheetId="12277">
        <row r="7">
          <cell r="AI7">
            <v>10000</v>
          </cell>
        </row>
      </sheetData>
      <sheetData sheetId="12278">
        <row r="7">
          <cell r="AI7">
            <v>10000</v>
          </cell>
        </row>
      </sheetData>
      <sheetData sheetId="12279">
        <row r="7">
          <cell r="AI7">
            <v>10000</v>
          </cell>
        </row>
      </sheetData>
      <sheetData sheetId="12280">
        <row r="7">
          <cell r="AI7">
            <v>10000</v>
          </cell>
        </row>
      </sheetData>
      <sheetData sheetId="12281">
        <row r="7">
          <cell r="AI7">
            <v>10000</v>
          </cell>
        </row>
      </sheetData>
      <sheetData sheetId="12282">
        <row r="7">
          <cell r="AI7">
            <v>10000</v>
          </cell>
        </row>
      </sheetData>
      <sheetData sheetId="12283">
        <row r="7">
          <cell r="AI7">
            <v>10000</v>
          </cell>
        </row>
      </sheetData>
      <sheetData sheetId="12284">
        <row r="7">
          <cell r="AI7">
            <v>10000</v>
          </cell>
        </row>
      </sheetData>
      <sheetData sheetId="12285">
        <row r="7">
          <cell r="AI7">
            <v>10000</v>
          </cell>
        </row>
      </sheetData>
      <sheetData sheetId="12286">
        <row r="7">
          <cell r="AI7">
            <v>10000</v>
          </cell>
        </row>
      </sheetData>
      <sheetData sheetId="12287">
        <row r="7">
          <cell r="AI7">
            <v>10000</v>
          </cell>
        </row>
      </sheetData>
      <sheetData sheetId="12288">
        <row r="7">
          <cell r="AI7">
            <v>10000</v>
          </cell>
        </row>
      </sheetData>
      <sheetData sheetId="12289">
        <row r="7">
          <cell r="AI7">
            <v>10000</v>
          </cell>
        </row>
      </sheetData>
      <sheetData sheetId="12290">
        <row r="7">
          <cell r="AI7">
            <v>10000</v>
          </cell>
        </row>
      </sheetData>
      <sheetData sheetId="12291">
        <row r="7">
          <cell r="AI7">
            <v>10000</v>
          </cell>
        </row>
      </sheetData>
      <sheetData sheetId="12292">
        <row r="7">
          <cell r="AI7">
            <v>10000</v>
          </cell>
        </row>
      </sheetData>
      <sheetData sheetId="12293">
        <row r="7">
          <cell r="AI7">
            <v>10000</v>
          </cell>
        </row>
      </sheetData>
      <sheetData sheetId="12294">
        <row r="7">
          <cell r="AI7">
            <v>10000</v>
          </cell>
        </row>
      </sheetData>
      <sheetData sheetId="12295">
        <row r="7">
          <cell r="AI7">
            <v>10000</v>
          </cell>
        </row>
      </sheetData>
      <sheetData sheetId="12296">
        <row r="7">
          <cell r="AI7">
            <v>10000</v>
          </cell>
        </row>
      </sheetData>
      <sheetData sheetId="12297">
        <row r="7">
          <cell r="AI7">
            <v>10000</v>
          </cell>
        </row>
      </sheetData>
      <sheetData sheetId="12298">
        <row r="7">
          <cell r="AI7">
            <v>10000</v>
          </cell>
        </row>
      </sheetData>
      <sheetData sheetId="12299">
        <row r="7">
          <cell r="AI7">
            <v>10000</v>
          </cell>
        </row>
      </sheetData>
      <sheetData sheetId="12300">
        <row r="7">
          <cell r="AI7">
            <v>10000</v>
          </cell>
        </row>
      </sheetData>
      <sheetData sheetId="12301">
        <row r="7">
          <cell r="AI7">
            <v>10000</v>
          </cell>
        </row>
      </sheetData>
      <sheetData sheetId="12302">
        <row r="7">
          <cell r="AI7">
            <v>10000</v>
          </cell>
        </row>
      </sheetData>
      <sheetData sheetId="12303">
        <row r="7">
          <cell r="AI7">
            <v>10000</v>
          </cell>
        </row>
      </sheetData>
      <sheetData sheetId="12304">
        <row r="7">
          <cell r="AI7">
            <v>10000</v>
          </cell>
        </row>
      </sheetData>
      <sheetData sheetId="12305">
        <row r="7">
          <cell r="AI7">
            <v>10000</v>
          </cell>
        </row>
      </sheetData>
      <sheetData sheetId="12306">
        <row r="7">
          <cell r="AI7">
            <v>10000</v>
          </cell>
        </row>
      </sheetData>
      <sheetData sheetId="12307">
        <row r="7">
          <cell r="AI7">
            <v>10000</v>
          </cell>
        </row>
      </sheetData>
      <sheetData sheetId="12308">
        <row r="7">
          <cell r="AI7">
            <v>10000</v>
          </cell>
        </row>
      </sheetData>
      <sheetData sheetId="12309">
        <row r="7">
          <cell r="AI7">
            <v>10000</v>
          </cell>
        </row>
      </sheetData>
      <sheetData sheetId="12310">
        <row r="7">
          <cell r="AI7">
            <v>10000</v>
          </cell>
        </row>
      </sheetData>
      <sheetData sheetId="12311">
        <row r="7">
          <cell r="AI7">
            <v>10000</v>
          </cell>
        </row>
      </sheetData>
      <sheetData sheetId="12312">
        <row r="7">
          <cell r="AI7">
            <v>10000</v>
          </cell>
        </row>
      </sheetData>
      <sheetData sheetId="12313">
        <row r="7">
          <cell r="AI7">
            <v>10000</v>
          </cell>
        </row>
      </sheetData>
      <sheetData sheetId="12314">
        <row r="7">
          <cell r="AI7">
            <v>10000</v>
          </cell>
        </row>
      </sheetData>
      <sheetData sheetId="12315">
        <row r="7">
          <cell r="AI7">
            <v>10000</v>
          </cell>
        </row>
      </sheetData>
      <sheetData sheetId="12316">
        <row r="7">
          <cell r="AI7">
            <v>10000</v>
          </cell>
        </row>
      </sheetData>
      <sheetData sheetId="12317">
        <row r="7">
          <cell r="AI7">
            <v>10000</v>
          </cell>
        </row>
      </sheetData>
      <sheetData sheetId="12318">
        <row r="7">
          <cell r="AI7">
            <v>10000</v>
          </cell>
        </row>
      </sheetData>
      <sheetData sheetId="12319">
        <row r="7">
          <cell r="AI7">
            <v>10000</v>
          </cell>
        </row>
      </sheetData>
      <sheetData sheetId="12320">
        <row r="7">
          <cell r="AI7">
            <v>10000</v>
          </cell>
        </row>
      </sheetData>
      <sheetData sheetId="12321">
        <row r="7">
          <cell r="AI7">
            <v>10000</v>
          </cell>
        </row>
      </sheetData>
      <sheetData sheetId="12322">
        <row r="7">
          <cell r="AI7">
            <v>10000</v>
          </cell>
        </row>
      </sheetData>
      <sheetData sheetId="12323">
        <row r="7">
          <cell r="AI7">
            <v>10000</v>
          </cell>
        </row>
      </sheetData>
      <sheetData sheetId="12324">
        <row r="7">
          <cell r="AI7">
            <v>10000</v>
          </cell>
        </row>
      </sheetData>
      <sheetData sheetId="12325">
        <row r="7">
          <cell r="AI7">
            <v>10000</v>
          </cell>
        </row>
      </sheetData>
      <sheetData sheetId="12326">
        <row r="7">
          <cell r="AI7">
            <v>10000</v>
          </cell>
        </row>
      </sheetData>
      <sheetData sheetId="12327">
        <row r="7">
          <cell r="AI7">
            <v>10000</v>
          </cell>
        </row>
      </sheetData>
      <sheetData sheetId="12328">
        <row r="7">
          <cell r="AI7">
            <v>10000</v>
          </cell>
        </row>
      </sheetData>
      <sheetData sheetId="12329">
        <row r="7">
          <cell r="AI7">
            <v>10000</v>
          </cell>
        </row>
      </sheetData>
      <sheetData sheetId="12330">
        <row r="7">
          <cell r="AI7">
            <v>10000</v>
          </cell>
        </row>
      </sheetData>
      <sheetData sheetId="12331">
        <row r="7">
          <cell r="AI7">
            <v>10000</v>
          </cell>
        </row>
      </sheetData>
      <sheetData sheetId="12332">
        <row r="7">
          <cell r="AI7">
            <v>10000</v>
          </cell>
        </row>
      </sheetData>
      <sheetData sheetId="12333">
        <row r="7">
          <cell r="AI7">
            <v>10000</v>
          </cell>
        </row>
      </sheetData>
      <sheetData sheetId="12334">
        <row r="7">
          <cell r="AI7">
            <v>10000</v>
          </cell>
        </row>
      </sheetData>
      <sheetData sheetId="12335">
        <row r="7">
          <cell r="AI7">
            <v>10000</v>
          </cell>
        </row>
      </sheetData>
      <sheetData sheetId="12336">
        <row r="7">
          <cell r="AI7">
            <v>10000</v>
          </cell>
        </row>
      </sheetData>
      <sheetData sheetId="12337">
        <row r="7">
          <cell r="AI7">
            <v>10000</v>
          </cell>
        </row>
      </sheetData>
      <sheetData sheetId="12338">
        <row r="7">
          <cell r="AI7">
            <v>10000</v>
          </cell>
        </row>
      </sheetData>
      <sheetData sheetId="12339">
        <row r="7">
          <cell r="AI7">
            <v>10000</v>
          </cell>
        </row>
      </sheetData>
      <sheetData sheetId="12340">
        <row r="7">
          <cell r="AI7">
            <v>10000</v>
          </cell>
        </row>
      </sheetData>
      <sheetData sheetId="12341">
        <row r="7">
          <cell r="AI7">
            <v>10000</v>
          </cell>
        </row>
      </sheetData>
      <sheetData sheetId="12342">
        <row r="7">
          <cell r="AI7">
            <v>10000</v>
          </cell>
        </row>
      </sheetData>
      <sheetData sheetId="12343">
        <row r="7">
          <cell r="AI7">
            <v>10000</v>
          </cell>
        </row>
      </sheetData>
      <sheetData sheetId="12344">
        <row r="7">
          <cell r="AI7">
            <v>10000</v>
          </cell>
        </row>
      </sheetData>
      <sheetData sheetId="12345">
        <row r="7">
          <cell r="AI7">
            <v>10000</v>
          </cell>
        </row>
      </sheetData>
      <sheetData sheetId="12346">
        <row r="7">
          <cell r="AI7">
            <v>10000</v>
          </cell>
        </row>
      </sheetData>
      <sheetData sheetId="12347">
        <row r="7">
          <cell r="AI7">
            <v>10000</v>
          </cell>
        </row>
      </sheetData>
      <sheetData sheetId="12348">
        <row r="7">
          <cell r="AI7">
            <v>10000</v>
          </cell>
        </row>
      </sheetData>
      <sheetData sheetId="12349">
        <row r="7">
          <cell r="AI7">
            <v>10000</v>
          </cell>
        </row>
      </sheetData>
      <sheetData sheetId="12350">
        <row r="7">
          <cell r="AI7">
            <v>10000</v>
          </cell>
        </row>
      </sheetData>
      <sheetData sheetId="12351">
        <row r="7">
          <cell r="AI7">
            <v>10000</v>
          </cell>
        </row>
      </sheetData>
      <sheetData sheetId="12352">
        <row r="7">
          <cell r="AI7">
            <v>10000</v>
          </cell>
        </row>
      </sheetData>
      <sheetData sheetId="12353">
        <row r="7">
          <cell r="AI7">
            <v>10000</v>
          </cell>
        </row>
      </sheetData>
      <sheetData sheetId="12354">
        <row r="7">
          <cell r="AI7">
            <v>10000</v>
          </cell>
        </row>
      </sheetData>
      <sheetData sheetId="12355">
        <row r="7">
          <cell r="AI7">
            <v>10000</v>
          </cell>
        </row>
      </sheetData>
      <sheetData sheetId="12356">
        <row r="7">
          <cell r="AI7">
            <v>10000</v>
          </cell>
        </row>
      </sheetData>
      <sheetData sheetId="12357">
        <row r="7">
          <cell r="AI7">
            <v>10000</v>
          </cell>
        </row>
      </sheetData>
      <sheetData sheetId="12358">
        <row r="7">
          <cell r="AI7">
            <v>10000</v>
          </cell>
        </row>
      </sheetData>
      <sheetData sheetId="12359">
        <row r="7">
          <cell r="AI7">
            <v>10000</v>
          </cell>
        </row>
      </sheetData>
      <sheetData sheetId="12360">
        <row r="7">
          <cell r="AI7">
            <v>10000</v>
          </cell>
        </row>
      </sheetData>
      <sheetData sheetId="12361">
        <row r="7">
          <cell r="AI7">
            <v>10000</v>
          </cell>
        </row>
      </sheetData>
      <sheetData sheetId="12362">
        <row r="7">
          <cell r="AI7">
            <v>10000</v>
          </cell>
        </row>
      </sheetData>
      <sheetData sheetId="12363">
        <row r="7">
          <cell r="AI7">
            <v>10000</v>
          </cell>
        </row>
      </sheetData>
      <sheetData sheetId="12364">
        <row r="7">
          <cell r="AI7">
            <v>10000</v>
          </cell>
        </row>
      </sheetData>
      <sheetData sheetId="12365">
        <row r="7">
          <cell r="AI7">
            <v>10000</v>
          </cell>
        </row>
      </sheetData>
      <sheetData sheetId="12366">
        <row r="7">
          <cell r="AI7">
            <v>10000</v>
          </cell>
        </row>
      </sheetData>
      <sheetData sheetId="12367">
        <row r="7">
          <cell r="AI7">
            <v>10000</v>
          </cell>
        </row>
      </sheetData>
      <sheetData sheetId="12368">
        <row r="7">
          <cell r="AI7">
            <v>10000</v>
          </cell>
        </row>
      </sheetData>
      <sheetData sheetId="12369">
        <row r="7">
          <cell r="AI7">
            <v>10000</v>
          </cell>
        </row>
      </sheetData>
      <sheetData sheetId="12370">
        <row r="7">
          <cell r="AI7">
            <v>10000</v>
          </cell>
        </row>
      </sheetData>
      <sheetData sheetId="12371">
        <row r="7">
          <cell r="AI7">
            <v>10000</v>
          </cell>
        </row>
      </sheetData>
      <sheetData sheetId="12372">
        <row r="7">
          <cell r="AI7">
            <v>10000</v>
          </cell>
        </row>
      </sheetData>
      <sheetData sheetId="12373">
        <row r="7">
          <cell r="AI7">
            <v>10000</v>
          </cell>
        </row>
      </sheetData>
      <sheetData sheetId="12374">
        <row r="7">
          <cell r="AI7">
            <v>10000</v>
          </cell>
        </row>
      </sheetData>
      <sheetData sheetId="12375">
        <row r="7">
          <cell r="AI7">
            <v>10000</v>
          </cell>
        </row>
      </sheetData>
      <sheetData sheetId="12376">
        <row r="7">
          <cell r="AI7">
            <v>10000</v>
          </cell>
        </row>
      </sheetData>
      <sheetData sheetId="12377">
        <row r="7">
          <cell r="AI7">
            <v>10000</v>
          </cell>
        </row>
      </sheetData>
      <sheetData sheetId="12378">
        <row r="7">
          <cell r="AI7">
            <v>10000</v>
          </cell>
        </row>
      </sheetData>
      <sheetData sheetId="12379">
        <row r="7">
          <cell r="AI7">
            <v>10000</v>
          </cell>
        </row>
      </sheetData>
      <sheetData sheetId="12380">
        <row r="7">
          <cell r="AI7">
            <v>10000</v>
          </cell>
        </row>
      </sheetData>
      <sheetData sheetId="12381">
        <row r="7">
          <cell r="AI7">
            <v>10000</v>
          </cell>
        </row>
      </sheetData>
      <sheetData sheetId="12382">
        <row r="7">
          <cell r="AI7">
            <v>10000</v>
          </cell>
        </row>
      </sheetData>
      <sheetData sheetId="12383">
        <row r="7">
          <cell r="AI7">
            <v>10000</v>
          </cell>
        </row>
      </sheetData>
      <sheetData sheetId="12384">
        <row r="7">
          <cell r="AI7">
            <v>10000</v>
          </cell>
        </row>
      </sheetData>
      <sheetData sheetId="12385">
        <row r="7">
          <cell r="AI7">
            <v>10000</v>
          </cell>
        </row>
      </sheetData>
      <sheetData sheetId="12386">
        <row r="7">
          <cell r="AI7">
            <v>10000</v>
          </cell>
        </row>
      </sheetData>
      <sheetData sheetId="12387">
        <row r="7">
          <cell r="AI7">
            <v>10000</v>
          </cell>
        </row>
      </sheetData>
      <sheetData sheetId="12388">
        <row r="7">
          <cell r="AI7">
            <v>10000</v>
          </cell>
        </row>
      </sheetData>
      <sheetData sheetId="12389">
        <row r="7">
          <cell r="AI7">
            <v>10000</v>
          </cell>
        </row>
      </sheetData>
      <sheetData sheetId="12390">
        <row r="7">
          <cell r="AI7">
            <v>10000</v>
          </cell>
        </row>
      </sheetData>
      <sheetData sheetId="12391">
        <row r="7">
          <cell r="AI7">
            <v>10000</v>
          </cell>
        </row>
      </sheetData>
      <sheetData sheetId="12392">
        <row r="7">
          <cell r="AI7">
            <v>10000</v>
          </cell>
        </row>
      </sheetData>
      <sheetData sheetId="12393">
        <row r="7">
          <cell r="AI7">
            <v>10000</v>
          </cell>
        </row>
      </sheetData>
      <sheetData sheetId="12394">
        <row r="7">
          <cell r="AI7">
            <v>10000</v>
          </cell>
        </row>
      </sheetData>
      <sheetData sheetId="12395">
        <row r="7">
          <cell r="AI7">
            <v>10000</v>
          </cell>
        </row>
      </sheetData>
      <sheetData sheetId="12396">
        <row r="7">
          <cell r="AI7">
            <v>10000</v>
          </cell>
        </row>
      </sheetData>
      <sheetData sheetId="12397">
        <row r="7">
          <cell r="AI7">
            <v>10000</v>
          </cell>
        </row>
      </sheetData>
      <sheetData sheetId="12398">
        <row r="7">
          <cell r="AI7">
            <v>10000</v>
          </cell>
        </row>
      </sheetData>
      <sheetData sheetId="12399">
        <row r="7">
          <cell r="AI7">
            <v>10000</v>
          </cell>
        </row>
      </sheetData>
      <sheetData sheetId="12400">
        <row r="7">
          <cell r="AI7">
            <v>10000</v>
          </cell>
        </row>
      </sheetData>
      <sheetData sheetId="12401">
        <row r="7">
          <cell r="AI7">
            <v>10000</v>
          </cell>
        </row>
      </sheetData>
      <sheetData sheetId="12402">
        <row r="7">
          <cell r="AI7">
            <v>10000</v>
          </cell>
        </row>
      </sheetData>
      <sheetData sheetId="12403">
        <row r="7">
          <cell r="AI7">
            <v>10000</v>
          </cell>
        </row>
      </sheetData>
      <sheetData sheetId="12404">
        <row r="7">
          <cell r="AI7">
            <v>10000</v>
          </cell>
        </row>
      </sheetData>
      <sheetData sheetId="12405">
        <row r="7">
          <cell r="AI7">
            <v>10000</v>
          </cell>
        </row>
      </sheetData>
      <sheetData sheetId="12406">
        <row r="7">
          <cell r="AI7">
            <v>10000</v>
          </cell>
        </row>
      </sheetData>
      <sheetData sheetId="12407">
        <row r="7">
          <cell r="AI7">
            <v>10000</v>
          </cell>
        </row>
      </sheetData>
      <sheetData sheetId="12408">
        <row r="7">
          <cell r="AI7">
            <v>10000</v>
          </cell>
        </row>
      </sheetData>
      <sheetData sheetId="12409">
        <row r="7">
          <cell r="AI7">
            <v>10000</v>
          </cell>
        </row>
      </sheetData>
      <sheetData sheetId="12410">
        <row r="7">
          <cell r="AI7">
            <v>10000</v>
          </cell>
        </row>
      </sheetData>
      <sheetData sheetId="12411">
        <row r="7">
          <cell r="AI7">
            <v>10000</v>
          </cell>
        </row>
      </sheetData>
      <sheetData sheetId="12412">
        <row r="7">
          <cell r="AI7">
            <v>10000</v>
          </cell>
        </row>
      </sheetData>
      <sheetData sheetId="12413">
        <row r="7">
          <cell r="AI7">
            <v>10000</v>
          </cell>
        </row>
      </sheetData>
      <sheetData sheetId="12414">
        <row r="7">
          <cell r="AI7">
            <v>10000</v>
          </cell>
        </row>
      </sheetData>
      <sheetData sheetId="12415">
        <row r="7">
          <cell r="AI7">
            <v>10000</v>
          </cell>
        </row>
      </sheetData>
      <sheetData sheetId="12416">
        <row r="7">
          <cell r="AI7">
            <v>10000</v>
          </cell>
        </row>
      </sheetData>
      <sheetData sheetId="12417">
        <row r="7">
          <cell r="AI7">
            <v>10000</v>
          </cell>
        </row>
      </sheetData>
      <sheetData sheetId="12418">
        <row r="7">
          <cell r="AI7">
            <v>10000</v>
          </cell>
        </row>
      </sheetData>
      <sheetData sheetId="12419">
        <row r="7">
          <cell r="AI7">
            <v>10000</v>
          </cell>
        </row>
      </sheetData>
      <sheetData sheetId="12420">
        <row r="7">
          <cell r="AI7">
            <v>10000</v>
          </cell>
        </row>
      </sheetData>
      <sheetData sheetId="12421">
        <row r="7">
          <cell r="AI7">
            <v>10000</v>
          </cell>
        </row>
      </sheetData>
      <sheetData sheetId="12422">
        <row r="7">
          <cell r="AI7">
            <v>10000</v>
          </cell>
        </row>
      </sheetData>
      <sheetData sheetId="12423">
        <row r="7">
          <cell r="AI7">
            <v>10000</v>
          </cell>
        </row>
      </sheetData>
      <sheetData sheetId="12424">
        <row r="7">
          <cell r="AI7">
            <v>10000</v>
          </cell>
        </row>
      </sheetData>
      <sheetData sheetId="12425">
        <row r="7">
          <cell r="AI7">
            <v>10000</v>
          </cell>
        </row>
      </sheetData>
      <sheetData sheetId="12426">
        <row r="7">
          <cell r="AI7">
            <v>10000</v>
          </cell>
        </row>
      </sheetData>
      <sheetData sheetId="12427">
        <row r="7">
          <cell r="AI7">
            <v>10000</v>
          </cell>
        </row>
      </sheetData>
      <sheetData sheetId="12428">
        <row r="7">
          <cell r="AI7">
            <v>10000</v>
          </cell>
        </row>
      </sheetData>
      <sheetData sheetId="12429">
        <row r="7">
          <cell r="AI7">
            <v>10000</v>
          </cell>
        </row>
      </sheetData>
      <sheetData sheetId="12430">
        <row r="7">
          <cell r="AI7">
            <v>10000</v>
          </cell>
        </row>
      </sheetData>
      <sheetData sheetId="12431">
        <row r="7">
          <cell r="AI7">
            <v>10000</v>
          </cell>
        </row>
      </sheetData>
      <sheetData sheetId="12432">
        <row r="7">
          <cell r="AI7">
            <v>10000</v>
          </cell>
        </row>
      </sheetData>
      <sheetData sheetId="12433">
        <row r="7">
          <cell r="AI7">
            <v>10000</v>
          </cell>
        </row>
      </sheetData>
      <sheetData sheetId="12434">
        <row r="7">
          <cell r="AI7">
            <v>10000</v>
          </cell>
        </row>
      </sheetData>
      <sheetData sheetId="12435">
        <row r="7">
          <cell r="AI7">
            <v>10000</v>
          </cell>
        </row>
      </sheetData>
      <sheetData sheetId="12436">
        <row r="7">
          <cell r="AI7">
            <v>10000</v>
          </cell>
        </row>
      </sheetData>
      <sheetData sheetId="12437">
        <row r="7">
          <cell r="AI7">
            <v>10000</v>
          </cell>
        </row>
      </sheetData>
      <sheetData sheetId="12438">
        <row r="7">
          <cell r="AI7">
            <v>10000</v>
          </cell>
        </row>
      </sheetData>
      <sheetData sheetId="12439">
        <row r="7">
          <cell r="AI7">
            <v>10000</v>
          </cell>
        </row>
      </sheetData>
      <sheetData sheetId="12440">
        <row r="7">
          <cell r="AI7">
            <v>10000</v>
          </cell>
        </row>
      </sheetData>
      <sheetData sheetId="12441">
        <row r="7">
          <cell r="AI7">
            <v>10000</v>
          </cell>
        </row>
      </sheetData>
      <sheetData sheetId="12442">
        <row r="7">
          <cell r="AI7">
            <v>10000</v>
          </cell>
        </row>
      </sheetData>
      <sheetData sheetId="12443">
        <row r="7">
          <cell r="AI7">
            <v>10000</v>
          </cell>
        </row>
      </sheetData>
      <sheetData sheetId="12444">
        <row r="7">
          <cell r="AI7">
            <v>10000</v>
          </cell>
        </row>
      </sheetData>
      <sheetData sheetId="12445">
        <row r="7">
          <cell r="AI7">
            <v>10000</v>
          </cell>
        </row>
      </sheetData>
      <sheetData sheetId="12446">
        <row r="7">
          <cell r="AI7">
            <v>10000</v>
          </cell>
        </row>
      </sheetData>
      <sheetData sheetId="12447">
        <row r="7">
          <cell r="AI7">
            <v>10000</v>
          </cell>
        </row>
      </sheetData>
      <sheetData sheetId="12448">
        <row r="7">
          <cell r="AI7">
            <v>10000</v>
          </cell>
        </row>
      </sheetData>
      <sheetData sheetId="12449">
        <row r="7">
          <cell r="AI7">
            <v>10000</v>
          </cell>
        </row>
      </sheetData>
      <sheetData sheetId="12450">
        <row r="7">
          <cell r="AI7">
            <v>10000</v>
          </cell>
        </row>
      </sheetData>
      <sheetData sheetId="12451">
        <row r="7">
          <cell r="AI7">
            <v>10000</v>
          </cell>
        </row>
      </sheetData>
      <sheetData sheetId="12452">
        <row r="7">
          <cell r="AI7">
            <v>10000</v>
          </cell>
        </row>
      </sheetData>
      <sheetData sheetId="12453">
        <row r="7">
          <cell r="AI7">
            <v>10000</v>
          </cell>
        </row>
      </sheetData>
      <sheetData sheetId="12454">
        <row r="7">
          <cell r="AI7">
            <v>10000</v>
          </cell>
        </row>
      </sheetData>
      <sheetData sheetId="12455">
        <row r="7">
          <cell r="AI7">
            <v>10000</v>
          </cell>
        </row>
      </sheetData>
      <sheetData sheetId="12456">
        <row r="7">
          <cell r="AI7">
            <v>10000</v>
          </cell>
        </row>
      </sheetData>
      <sheetData sheetId="12457">
        <row r="7">
          <cell r="AI7">
            <v>10000</v>
          </cell>
        </row>
      </sheetData>
      <sheetData sheetId="12458">
        <row r="7">
          <cell r="AI7">
            <v>10000</v>
          </cell>
        </row>
      </sheetData>
      <sheetData sheetId="12459">
        <row r="7">
          <cell r="AI7">
            <v>10000</v>
          </cell>
        </row>
      </sheetData>
      <sheetData sheetId="12460">
        <row r="7">
          <cell r="AI7">
            <v>10000</v>
          </cell>
        </row>
      </sheetData>
      <sheetData sheetId="12461">
        <row r="7">
          <cell r="AI7">
            <v>10000</v>
          </cell>
        </row>
      </sheetData>
      <sheetData sheetId="12462">
        <row r="7">
          <cell r="AI7">
            <v>10000</v>
          </cell>
        </row>
      </sheetData>
      <sheetData sheetId="12463">
        <row r="7">
          <cell r="AI7">
            <v>10000</v>
          </cell>
        </row>
      </sheetData>
      <sheetData sheetId="12464">
        <row r="7">
          <cell r="AI7">
            <v>10000</v>
          </cell>
        </row>
      </sheetData>
      <sheetData sheetId="12465">
        <row r="7">
          <cell r="AI7">
            <v>10000</v>
          </cell>
        </row>
      </sheetData>
      <sheetData sheetId="12466">
        <row r="7">
          <cell r="AI7">
            <v>10000</v>
          </cell>
        </row>
      </sheetData>
      <sheetData sheetId="12467">
        <row r="7">
          <cell r="AI7">
            <v>10000</v>
          </cell>
        </row>
      </sheetData>
      <sheetData sheetId="12468">
        <row r="7">
          <cell r="AI7">
            <v>10000</v>
          </cell>
        </row>
      </sheetData>
      <sheetData sheetId="12469">
        <row r="7">
          <cell r="AI7">
            <v>10000</v>
          </cell>
        </row>
      </sheetData>
      <sheetData sheetId="12470">
        <row r="7">
          <cell r="AI7">
            <v>10000</v>
          </cell>
        </row>
      </sheetData>
      <sheetData sheetId="12471">
        <row r="7">
          <cell r="AI7">
            <v>10000</v>
          </cell>
        </row>
      </sheetData>
      <sheetData sheetId="12472">
        <row r="7">
          <cell r="AI7">
            <v>10000</v>
          </cell>
        </row>
      </sheetData>
      <sheetData sheetId="12473">
        <row r="7">
          <cell r="AI7">
            <v>10000</v>
          </cell>
        </row>
      </sheetData>
      <sheetData sheetId="12474">
        <row r="7">
          <cell r="AI7">
            <v>10000</v>
          </cell>
        </row>
      </sheetData>
      <sheetData sheetId="12475">
        <row r="7">
          <cell r="AI7">
            <v>10000</v>
          </cell>
        </row>
      </sheetData>
      <sheetData sheetId="12476">
        <row r="7">
          <cell r="AI7">
            <v>10000</v>
          </cell>
        </row>
      </sheetData>
      <sheetData sheetId="12477">
        <row r="7">
          <cell r="AI7">
            <v>10000</v>
          </cell>
        </row>
      </sheetData>
      <sheetData sheetId="12478">
        <row r="7">
          <cell r="AI7">
            <v>10000</v>
          </cell>
        </row>
      </sheetData>
      <sheetData sheetId="12479">
        <row r="7">
          <cell r="AI7">
            <v>10000</v>
          </cell>
        </row>
      </sheetData>
      <sheetData sheetId="12480">
        <row r="7">
          <cell r="AI7">
            <v>10000</v>
          </cell>
        </row>
      </sheetData>
      <sheetData sheetId="12481">
        <row r="7">
          <cell r="AI7">
            <v>10000</v>
          </cell>
        </row>
      </sheetData>
      <sheetData sheetId="12482">
        <row r="7">
          <cell r="AI7">
            <v>10000</v>
          </cell>
        </row>
      </sheetData>
      <sheetData sheetId="12483">
        <row r="7">
          <cell r="AI7">
            <v>10000</v>
          </cell>
        </row>
      </sheetData>
      <sheetData sheetId="12484">
        <row r="7">
          <cell r="AI7">
            <v>10000</v>
          </cell>
        </row>
      </sheetData>
      <sheetData sheetId="12485">
        <row r="7">
          <cell r="AI7">
            <v>10000</v>
          </cell>
        </row>
      </sheetData>
      <sheetData sheetId="12486">
        <row r="7">
          <cell r="AI7">
            <v>10000</v>
          </cell>
        </row>
      </sheetData>
      <sheetData sheetId="12487">
        <row r="7">
          <cell r="AI7">
            <v>10000</v>
          </cell>
        </row>
      </sheetData>
      <sheetData sheetId="12488">
        <row r="7">
          <cell r="AI7">
            <v>10000</v>
          </cell>
        </row>
      </sheetData>
      <sheetData sheetId="12489">
        <row r="7">
          <cell r="AI7">
            <v>10000</v>
          </cell>
        </row>
      </sheetData>
      <sheetData sheetId="12490">
        <row r="7">
          <cell r="AI7">
            <v>10000</v>
          </cell>
        </row>
      </sheetData>
      <sheetData sheetId="12491">
        <row r="7">
          <cell r="AI7">
            <v>10000</v>
          </cell>
        </row>
      </sheetData>
      <sheetData sheetId="12492">
        <row r="7">
          <cell r="AI7">
            <v>10000</v>
          </cell>
        </row>
      </sheetData>
      <sheetData sheetId="12493">
        <row r="7">
          <cell r="AI7">
            <v>10000</v>
          </cell>
        </row>
      </sheetData>
      <sheetData sheetId="12494">
        <row r="7">
          <cell r="AI7">
            <v>10000</v>
          </cell>
        </row>
      </sheetData>
      <sheetData sheetId="12495">
        <row r="7">
          <cell r="AI7">
            <v>10000</v>
          </cell>
        </row>
      </sheetData>
      <sheetData sheetId="12496">
        <row r="7">
          <cell r="AI7">
            <v>10000</v>
          </cell>
        </row>
      </sheetData>
      <sheetData sheetId="12497">
        <row r="7">
          <cell r="AI7">
            <v>10000</v>
          </cell>
        </row>
      </sheetData>
      <sheetData sheetId="12498">
        <row r="7">
          <cell r="AI7">
            <v>10000</v>
          </cell>
        </row>
      </sheetData>
      <sheetData sheetId="12499">
        <row r="7">
          <cell r="AI7">
            <v>10000</v>
          </cell>
        </row>
      </sheetData>
      <sheetData sheetId="12500">
        <row r="7">
          <cell r="AI7">
            <v>10000</v>
          </cell>
        </row>
      </sheetData>
      <sheetData sheetId="12501">
        <row r="7">
          <cell r="AI7">
            <v>10000</v>
          </cell>
        </row>
      </sheetData>
      <sheetData sheetId="12502">
        <row r="7">
          <cell r="AI7">
            <v>10000</v>
          </cell>
        </row>
      </sheetData>
      <sheetData sheetId="12503">
        <row r="7">
          <cell r="AI7">
            <v>10000</v>
          </cell>
        </row>
      </sheetData>
      <sheetData sheetId="12504">
        <row r="7">
          <cell r="AI7">
            <v>10000</v>
          </cell>
        </row>
      </sheetData>
      <sheetData sheetId="12505">
        <row r="7">
          <cell r="AI7">
            <v>10000</v>
          </cell>
        </row>
      </sheetData>
      <sheetData sheetId="12506">
        <row r="7">
          <cell r="AI7">
            <v>10000</v>
          </cell>
        </row>
      </sheetData>
      <sheetData sheetId="12507">
        <row r="7">
          <cell r="AI7">
            <v>10000</v>
          </cell>
        </row>
      </sheetData>
      <sheetData sheetId="12508">
        <row r="7">
          <cell r="AI7">
            <v>10000</v>
          </cell>
        </row>
      </sheetData>
      <sheetData sheetId="12509">
        <row r="7">
          <cell r="AI7">
            <v>10000</v>
          </cell>
        </row>
      </sheetData>
      <sheetData sheetId="12510">
        <row r="7">
          <cell r="AI7">
            <v>10000</v>
          </cell>
        </row>
      </sheetData>
      <sheetData sheetId="12511">
        <row r="7">
          <cell r="AI7">
            <v>10000</v>
          </cell>
        </row>
      </sheetData>
      <sheetData sheetId="12512">
        <row r="7">
          <cell r="AI7">
            <v>10000</v>
          </cell>
        </row>
      </sheetData>
      <sheetData sheetId="12513">
        <row r="7">
          <cell r="AI7">
            <v>10000</v>
          </cell>
        </row>
      </sheetData>
      <sheetData sheetId="12514">
        <row r="7">
          <cell r="AI7">
            <v>10000</v>
          </cell>
        </row>
      </sheetData>
      <sheetData sheetId="12515">
        <row r="7">
          <cell r="AI7">
            <v>10000</v>
          </cell>
        </row>
      </sheetData>
      <sheetData sheetId="12516">
        <row r="7">
          <cell r="AI7">
            <v>10000</v>
          </cell>
        </row>
      </sheetData>
      <sheetData sheetId="12517">
        <row r="7">
          <cell r="AI7">
            <v>10000</v>
          </cell>
        </row>
      </sheetData>
      <sheetData sheetId="12518">
        <row r="7">
          <cell r="AI7">
            <v>10000</v>
          </cell>
        </row>
      </sheetData>
      <sheetData sheetId="12519">
        <row r="7">
          <cell r="AI7">
            <v>10000</v>
          </cell>
        </row>
      </sheetData>
      <sheetData sheetId="12520">
        <row r="7">
          <cell r="AI7">
            <v>10000</v>
          </cell>
        </row>
      </sheetData>
      <sheetData sheetId="12521">
        <row r="7">
          <cell r="AI7">
            <v>10000</v>
          </cell>
        </row>
      </sheetData>
      <sheetData sheetId="12522">
        <row r="7">
          <cell r="AI7">
            <v>10000</v>
          </cell>
        </row>
      </sheetData>
      <sheetData sheetId="12523">
        <row r="7">
          <cell r="AI7">
            <v>10000</v>
          </cell>
        </row>
      </sheetData>
      <sheetData sheetId="12524">
        <row r="7">
          <cell r="AI7">
            <v>10000</v>
          </cell>
        </row>
      </sheetData>
      <sheetData sheetId="12525">
        <row r="7">
          <cell r="AI7">
            <v>10000</v>
          </cell>
        </row>
      </sheetData>
      <sheetData sheetId="12526">
        <row r="7">
          <cell r="AI7">
            <v>10000</v>
          </cell>
        </row>
      </sheetData>
      <sheetData sheetId="12527">
        <row r="7">
          <cell r="AI7">
            <v>10000</v>
          </cell>
        </row>
      </sheetData>
      <sheetData sheetId="12528">
        <row r="7">
          <cell r="AI7">
            <v>10000</v>
          </cell>
        </row>
      </sheetData>
      <sheetData sheetId="12529">
        <row r="7">
          <cell r="AI7">
            <v>10000</v>
          </cell>
        </row>
      </sheetData>
      <sheetData sheetId="12530">
        <row r="7">
          <cell r="AI7">
            <v>10000</v>
          </cell>
        </row>
      </sheetData>
      <sheetData sheetId="12531">
        <row r="7">
          <cell r="AI7">
            <v>10000</v>
          </cell>
        </row>
      </sheetData>
      <sheetData sheetId="12532">
        <row r="7">
          <cell r="AI7">
            <v>10000</v>
          </cell>
        </row>
      </sheetData>
      <sheetData sheetId="12533">
        <row r="7">
          <cell r="AI7">
            <v>10000</v>
          </cell>
        </row>
      </sheetData>
      <sheetData sheetId="12534">
        <row r="7">
          <cell r="AI7">
            <v>10000</v>
          </cell>
        </row>
      </sheetData>
      <sheetData sheetId="12535">
        <row r="7">
          <cell r="AI7">
            <v>10000</v>
          </cell>
        </row>
      </sheetData>
      <sheetData sheetId="12536">
        <row r="7">
          <cell r="AI7">
            <v>10000</v>
          </cell>
        </row>
      </sheetData>
      <sheetData sheetId="12537">
        <row r="7">
          <cell r="AI7">
            <v>10000</v>
          </cell>
        </row>
      </sheetData>
      <sheetData sheetId="12538">
        <row r="7">
          <cell r="AI7">
            <v>10000</v>
          </cell>
        </row>
      </sheetData>
      <sheetData sheetId="12539">
        <row r="7">
          <cell r="AI7">
            <v>10000</v>
          </cell>
        </row>
      </sheetData>
      <sheetData sheetId="12540">
        <row r="7">
          <cell r="AI7">
            <v>10000</v>
          </cell>
        </row>
      </sheetData>
      <sheetData sheetId="12541">
        <row r="7">
          <cell r="AI7">
            <v>10000</v>
          </cell>
        </row>
      </sheetData>
      <sheetData sheetId="12542">
        <row r="7">
          <cell r="AI7">
            <v>10000</v>
          </cell>
        </row>
      </sheetData>
      <sheetData sheetId="12543">
        <row r="7">
          <cell r="AI7">
            <v>10000</v>
          </cell>
        </row>
      </sheetData>
      <sheetData sheetId="12544">
        <row r="7">
          <cell r="AI7">
            <v>10000</v>
          </cell>
        </row>
      </sheetData>
      <sheetData sheetId="12545">
        <row r="7">
          <cell r="AI7">
            <v>10000</v>
          </cell>
        </row>
      </sheetData>
      <sheetData sheetId="12546">
        <row r="7">
          <cell r="AI7">
            <v>10000</v>
          </cell>
        </row>
      </sheetData>
      <sheetData sheetId="12547">
        <row r="7">
          <cell r="AI7">
            <v>10000</v>
          </cell>
        </row>
      </sheetData>
      <sheetData sheetId="12548">
        <row r="7">
          <cell r="AI7">
            <v>10000</v>
          </cell>
        </row>
      </sheetData>
      <sheetData sheetId="12549">
        <row r="7">
          <cell r="AI7">
            <v>10000</v>
          </cell>
        </row>
      </sheetData>
      <sheetData sheetId="12550">
        <row r="7">
          <cell r="AI7">
            <v>10000</v>
          </cell>
        </row>
      </sheetData>
      <sheetData sheetId="12551">
        <row r="7">
          <cell r="AI7">
            <v>10000</v>
          </cell>
        </row>
      </sheetData>
      <sheetData sheetId="12552">
        <row r="7">
          <cell r="AI7">
            <v>10000</v>
          </cell>
        </row>
      </sheetData>
      <sheetData sheetId="12553">
        <row r="7">
          <cell r="AI7">
            <v>10000</v>
          </cell>
        </row>
      </sheetData>
      <sheetData sheetId="12554">
        <row r="7">
          <cell r="AI7">
            <v>10000</v>
          </cell>
        </row>
      </sheetData>
      <sheetData sheetId="12555">
        <row r="7">
          <cell r="AI7">
            <v>10000</v>
          </cell>
        </row>
      </sheetData>
      <sheetData sheetId="12556">
        <row r="7">
          <cell r="AI7">
            <v>10000</v>
          </cell>
        </row>
      </sheetData>
      <sheetData sheetId="12557">
        <row r="7">
          <cell r="AI7">
            <v>10000</v>
          </cell>
        </row>
      </sheetData>
      <sheetData sheetId="12558">
        <row r="7">
          <cell r="AI7">
            <v>10000</v>
          </cell>
        </row>
      </sheetData>
      <sheetData sheetId="12559">
        <row r="7">
          <cell r="AI7">
            <v>10000</v>
          </cell>
        </row>
      </sheetData>
      <sheetData sheetId="12560">
        <row r="7">
          <cell r="AI7">
            <v>10000</v>
          </cell>
        </row>
      </sheetData>
      <sheetData sheetId="12561">
        <row r="7">
          <cell r="AI7">
            <v>10000</v>
          </cell>
        </row>
      </sheetData>
      <sheetData sheetId="12562">
        <row r="7">
          <cell r="AI7">
            <v>10000</v>
          </cell>
        </row>
      </sheetData>
      <sheetData sheetId="12563">
        <row r="7">
          <cell r="AI7">
            <v>10000</v>
          </cell>
        </row>
      </sheetData>
      <sheetData sheetId="12564">
        <row r="7">
          <cell r="AI7">
            <v>10000</v>
          </cell>
        </row>
      </sheetData>
      <sheetData sheetId="12565">
        <row r="7">
          <cell r="AI7">
            <v>10000</v>
          </cell>
        </row>
      </sheetData>
      <sheetData sheetId="12566">
        <row r="7">
          <cell r="AI7">
            <v>10000</v>
          </cell>
        </row>
      </sheetData>
      <sheetData sheetId="12567">
        <row r="7">
          <cell r="AI7">
            <v>10000</v>
          </cell>
        </row>
      </sheetData>
      <sheetData sheetId="12568">
        <row r="7">
          <cell r="AI7">
            <v>10000</v>
          </cell>
        </row>
      </sheetData>
      <sheetData sheetId="12569">
        <row r="7">
          <cell r="AI7">
            <v>10000</v>
          </cell>
        </row>
      </sheetData>
      <sheetData sheetId="12570">
        <row r="7">
          <cell r="AI7">
            <v>10000</v>
          </cell>
        </row>
      </sheetData>
      <sheetData sheetId="12571">
        <row r="7">
          <cell r="AI7">
            <v>10000</v>
          </cell>
        </row>
      </sheetData>
      <sheetData sheetId="12572">
        <row r="7">
          <cell r="AI7">
            <v>10000</v>
          </cell>
        </row>
      </sheetData>
      <sheetData sheetId="12573">
        <row r="7">
          <cell r="AI7">
            <v>10000</v>
          </cell>
        </row>
      </sheetData>
      <sheetData sheetId="12574">
        <row r="7">
          <cell r="AI7">
            <v>10000</v>
          </cell>
        </row>
      </sheetData>
      <sheetData sheetId="12575">
        <row r="7">
          <cell r="AI7">
            <v>10000</v>
          </cell>
        </row>
      </sheetData>
      <sheetData sheetId="12576">
        <row r="7">
          <cell r="AI7">
            <v>10000</v>
          </cell>
        </row>
      </sheetData>
      <sheetData sheetId="12577">
        <row r="7">
          <cell r="AI7">
            <v>10000</v>
          </cell>
        </row>
      </sheetData>
      <sheetData sheetId="12578">
        <row r="7">
          <cell r="AI7">
            <v>10000</v>
          </cell>
        </row>
      </sheetData>
      <sheetData sheetId="12579">
        <row r="7">
          <cell r="AI7">
            <v>10000</v>
          </cell>
        </row>
      </sheetData>
      <sheetData sheetId="12580">
        <row r="7">
          <cell r="AI7">
            <v>10000</v>
          </cell>
        </row>
      </sheetData>
      <sheetData sheetId="12581">
        <row r="7">
          <cell r="AI7">
            <v>10000</v>
          </cell>
        </row>
      </sheetData>
      <sheetData sheetId="12582">
        <row r="7">
          <cell r="AI7">
            <v>10000</v>
          </cell>
        </row>
      </sheetData>
      <sheetData sheetId="12583">
        <row r="7">
          <cell r="AI7">
            <v>10000</v>
          </cell>
        </row>
      </sheetData>
      <sheetData sheetId="12584">
        <row r="7">
          <cell r="AI7">
            <v>10000</v>
          </cell>
        </row>
      </sheetData>
      <sheetData sheetId="12585">
        <row r="7">
          <cell r="AI7">
            <v>10000</v>
          </cell>
        </row>
      </sheetData>
      <sheetData sheetId="12586">
        <row r="7">
          <cell r="AI7">
            <v>10000</v>
          </cell>
        </row>
      </sheetData>
      <sheetData sheetId="12587">
        <row r="7">
          <cell r="AI7">
            <v>10000</v>
          </cell>
        </row>
      </sheetData>
      <sheetData sheetId="12588">
        <row r="7">
          <cell r="AI7">
            <v>10000</v>
          </cell>
        </row>
      </sheetData>
      <sheetData sheetId="12589">
        <row r="7">
          <cell r="AI7">
            <v>10000</v>
          </cell>
        </row>
      </sheetData>
      <sheetData sheetId="12590">
        <row r="7">
          <cell r="AI7">
            <v>10000</v>
          </cell>
        </row>
      </sheetData>
      <sheetData sheetId="12591">
        <row r="7">
          <cell r="AI7">
            <v>10000</v>
          </cell>
        </row>
      </sheetData>
      <sheetData sheetId="12592">
        <row r="7">
          <cell r="AI7">
            <v>10000</v>
          </cell>
        </row>
      </sheetData>
      <sheetData sheetId="12593">
        <row r="7">
          <cell r="AI7">
            <v>10000</v>
          </cell>
        </row>
      </sheetData>
      <sheetData sheetId="12594">
        <row r="7">
          <cell r="AI7">
            <v>10000</v>
          </cell>
        </row>
      </sheetData>
      <sheetData sheetId="12595">
        <row r="7">
          <cell r="AI7">
            <v>10000</v>
          </cell>
        </row>
      </sheetData>
      <sheetData sheetId="12596">
        <row r="7">
          <cell r="AI7">
            <v>10000</v>
          </cell>
        </row>
      </sheetData>
      <sheetData sheetId="12597">
        <row r="7">
          <cell r="AI7">
            <v>10000</v>
          </cell>
        </row>
      </sheetData>
      <sheetData sheetId="12598">
        <row r="7">
          <cell r="AI7">
            <v>10000</v>
          </cell>
        </row>
      </sheetData>
      <sheetData sheetId="12599">
        <row r="7">
          <cell r="AI7">
            <v>10000</v>
          </cell>
        </row>
      </sheetData>
      <sheetData sheetId="12600">
        <row r="7">
          <cell r="AI7">
            <v>10000</v>
          </cell>
        </row>
      </sheetData>
      <sheetData sheetId="12601">
        <row r="7">
          <cell r="AI7">
            <v>10000</v>
          </cell>
        </row>
      </sheetData>
      <sheetData sheetId="12602">
        <row r="7">
          <cell r="AI7">
            <v>10000</v>
          </cell>
        </row>
      </sheetData>
      <sheetData sheetId="12603">
        <row r="7">
          <cell r="AI7">
            <v>10000</v>
          </cell>
        </row>
      </sheetData>
      <sheetData sheetId="12604">
        <row r="7">
          <cell r="AI7">
            <v>10000</v>
          </cell>
        </row>
      </sheetData>
      <sheetData sheetId="12605">
        <row r="7">
          <cell r="AI7">
            <v>10000</v>
          </cell>
        </row>
      </sheetData>
      <sheetData sheetId="12606">
        <row r="7">
          <cell r="AI7">
            <v>10000</v>
          </cell>
        </row>
      </sheetData>
      <sheetData sheetId="12607">
        <row r="7">
          <cell r="AI7">
            <v>10000</v>
          </cell>
        </row>
      </sheetData>
      <sheetData sheetId="12608">
        <row r="7">
          <cell r="AI7">
            <v>10000</v>
          </cell>
        </row>
      </sheetData>
      <sheetData sheetId="12609">
        <row r="7">
          <cell r="AI7">
            <v>10000</v>
          </cell>
        </row>
      </sheetData>
      <sheetData sheetId="12610">
        <row r="7">
          <cell r="AI7">
            <v>10000</v>
          </cell>
        </row>
      </sheetData>
      <sheetData sheetId="12611">
        <row r="7">
          <cell r="AI7">
            <v>10000</v>
          </cell>
        </row>
      </sheetData>
      <sheetData sheetId="12612">
        <row r="7">
          <cell r="AI7">
            <v>10000</v>
          </cell>
        </row>
      </sheetData>
      <sheetData sheetId="12613">
        <row r="7">
          <cell r="AI7">
            <v>10000</v>
          </cell>
        </row>
      </sheetData>
      <sheetData sheetId="12614">
        <row r="7">
          <cell r="AI7">
            <v>10000</v>
          </cell>
        </row>
      </sheetData>
      <sheetData sheetId="12615">
        <row r="7">
          <cell r="AI7">
            <v>10000</v>
          </cell>
        </row>
      </sheetData>
      <sheetData sheetId="12616">
        <row r="7">
          <cell r="AI7">
            <v>10000</v>
          </cell>
        </row>
      </sheetData>
      <sheetData sheetId="12617">
        <row r="7">
          <cell r="AI7">
            <v>10000</v>
          </cell>
        </row>
      </sheetData>
      <sheetData sheetId="12618">
        <row r="7">
          <cell r="AI7">
            <v>10000</v>
          </cell>
        </row>
      </sheetData>
      <sheetData sheetId="12619">
        <row r="7">
          <cell r="AI7">
            <v>10000</v>
          </cell>
        </row>
      </sheetData>
      <sheetData sheetId="12620">
        <row r="7">
          <cell r="AI7">
            <v>10000</v>
          </cell>
        </row>
      </sheetData>
      <sheetData sheetId="12621">
        <row r="7">
          <cell r="AI7">
            <v>10000</v>
          </cell>
        </row>
      </sheetData>
      <sheetData sheetId="12622">
        <row r="7">
          <cell r="AI7">
            <v>10000</v>
          </cell>
        </row>
      </sheetData>
      <sheetData sheetId="12623">
        <row r="7">
          <cell r="AI7">
            <v>10000</v>
          </cell>
        </row>
      </sheetData>
      <sheetData sheetId="12624">
        <row r="7">
          <cell r="AI7">
            <v>10000</v>
          </cell>
        </row>
      </sheetData>
      <sheetData sheetId="12625">
        <row r="7">
          <cell r="AI7">
            <v>10000</v>
          </cell>
        </row>
      </sheetData>
      <sheetData sheetId="12626">
        <row r="7">
          <cell r="AI7">
            <v>10000</v>
          </cell>
        </row>
      </sheetData>
      <sheetData sheetId="12627">
        <row r="7">
          <cell r="AI7">
            <v>10000</v>
          </cell>
        </row>
      </sheetData>
      <sheetData sheetId="12628">
        <row r="7">
          <cell r="AI7">
            <v>10000</v>
          </cell>
        </row>
      </sheetData>
      <sheetData sheetId="12629">
        <row r="7">
          <cell r="AI7">
            <v>10000</v>
          </cell>
        </row>
      </sheetData>
      <sheetData sheetId="12630">
        <row r="7">
          <cell r="AI7">
            <v>10000</v>
          </cell>
        </row>
      </sheetData>
      <sheetData sheetId="12631">
        <row r="7">
          <cell r="AI7">
            <v>10000</v>
          </cell>
        </row>
      </sheetData>
      <sheetData sheetId="12632">
        <row r="7">
          <cell r="AI7">
            <v>10000</v>
          </cell>
        </row>
      </sheetData>
      <sheetData sheetId="12633">
        <row r="7">
          <cell r="AI7">
            <v>10000</v>
          </cell>
        </row>
      </sheetData>
      <sheetData sheetId="12634">
        <row r="7">
          <cell r="AI7">
            <v>10000</v>
          </cell>
        </row>
      </sheetData>
      <sheetData sheetId="12635">
        <row r="7">
          <cell r="AI7">
            <v>10000</v>
          </cell>
        </row>
      </sheetData>
      <sheetData sheetId="12636">
        <row r="7">
          <cell r="AI7">
            <v>10000</v>
          </cell>
        </row>
      </sheetData>
      <sheetData sheetId="12637">
        <row r="7">
          <cell r="AI7">
            <v>10000</v>
          </cell>
        </row>
      </sheetData>
      <sheetData sheetId="12638">
        <row r="7">
          <cell r="AI7">
            <v>10000</v>
          </cell>
        </row>
      </sheetData>
      <sheetData sheetId="12639">
        <row r="7">
          <cell r="AI7">
            <v>10000</v>
          </cell>
        </row>
      </sheetData>
      <sheetData sheetId="12640">
        <row r="7">
          <cell r="AI7">
            <v>10000</v>
          </cell>
        </row>
      </sheetData>
      <sheetData sheetId="12641">
        <row r="7">
          <cell r="AI7">
            <v>10000</v>
          </cell>
        </row>
      </sheetData>
      <sheetData sheetId="12642">
        <row r="7">
          <cell r="AI7">
            <v>10000</v>
          </cell>
        </row>
      </sheetData>
      <sheetData sheetId="12643">
        <row r="7">
          <cell r="AI7">
            <v>10000</v>
          </cell>
        </row>
      </sheetData>
      <sheetData sheetId="12644">
        <row r="7">
          <cell r="AI7">
            <v>10000</v>
          </cell>
        </row>
      </sheetData>
      <sheetData sheetId="12645">
        <row r="7">
          <cell r="AI7">
            <v>10000</v>
          </cell>
        </row>
      </sheetData>
      <sheetData sheetId="12646">
        <row r="7">
          <cell r="AI7">
            <v>10000</v>
          </cell>
        </row>
      </sheetData>
      <sheetData sheetId="12647">
        <row r="7">
          <cell r="AI7">
            <v>10000</v>
          </cell>
        </row>
      </sheetData>
      <sheetData sheetId="12648">
        <row r="7">
          <cell r="AI7">
            <v>10000</v>
          </cell>
        </row>
      </sheetData>
      <sheetData sheetId="12649">
        <row r="7">
          <cell r="AI7">
            <v>10000</v>
          </cell>
        </row>
      </sheetData>
      <sheetData sheetId="12650">
        <row r="7">
          <cell r="AI7">
            <v>10000</v>
          </cell>
        </row>
      </sheetData>
      <sheetData sheetId="12651">
        <row r="7">
          <cell r="AI7">
            <v>10000</v>
          </cell>
        </row>
      </sheetData>
      <sheetData sheetId="12652">
        <row r="7">
          <cell r="AI7">
            <v>10000</v>
          </cell>
        </row>
      </sheetData>
      <sheetData sheetId="12653">
        <row r="7">
          <cell r="AI7">
            <v>10000</v>
          </cell>
        </row>
      </sheetData>
      <sheetData sheetId="12654">
        <row r="7">
          <cell r="AI7">
            <v>10000</v>
          </cell>
        </row>
      </sheetData>
      <sheetData sheetId="12655">
        <row r="7">
          <cell r="AI7">
            <v>10000</v>
          </cell>
        </row>
      </sheetData>
      <sheetData sheetId="12656">
        <row r="7">
          <cell r="AI7">
            <v>10000</v>
          </cell>
        </row>
      </sheetData>
      <sheetData sheetId="12657">
        <row r="7">
          <cell r="AI7">
            <v>10000</v>
          </cell>
        </row>
      </sheetData>
      <sheetData sheetId="12658">
        <row r="7">
          <cell r="AI7">
            <v>10000</v>
          </cell>
        </row>
      </sheetData>
      <sheetData sheetId="12659">
        <row r="7">
          <cell r="AI7">
            <v>10000</v>
          </cell>
        </row>
      </sheetData>
      <sheetData sheetId="12660">
        <row r="7">
          <cell r="AI7">
            <v>10000</v>
          </cell>
        </row>
      </sheetData>
      <sheetData sheetId="12661">
        <row r="7">
          <cell r="AI7">
            <v>10000</v>
          </cell>
        </row>
      </sheetData>
      <sheetData sheetId="12662">
        <row r="7">
          <cell r="AI7">
            <v>10000</v>
          </cell>
        </row>
      </sheetData>
      <sheetData sheetId="12663">
        <row r="7">
          <cell r="AI7">
            <v>10000</v>
          </cell>
        </row>
      </sheetData>
      <sheetData sheetId="12664">
        <row r="7">
          <cell r="AI7">
            <v>10000</v>
          </cell>
        </row>
      </sheetData>
      <sheetData sheetId="12665">
        <row r="7">
          <cell r="AI7">
            <v>10000</v>
          </cell>
        </row>
      </sheetData>
      <sheetData sheetId="12666">
        <row r="7">
          <cell r="AI7">
            <v>10000</v>
          </cell>
        </row>
      </sheetData>
      <sheetData sheetId="12667">
        <row r="7">
          <cell r="AI7">
            <v>10000</v>
          </cell>
        </row>
      </sheetData>
      <sheetData sheetId="12668">
        <row r="7">
          <cell r="AI7">
            <v>10000</v>
          </cell>
        </row>
      </sheetData>
      <sheetData sheetId="12669">
        <row r="7">
          <cell r="AI7">
            <v>10000</v>
          </cell>
        </row>
      </sheetData>
      <sheetData sheetId="12670">
        <row r="7">
          <cell r="AI7">
            <v>10000</v>
          </cell>
        </row>
      </sheetData>
      <sheetData sheetId="12671">
        <row r="7">
          <cell r="AI7">
            <v>10000</v>
          </cell>
        </row>
      </sheetData>
      <sheetData sheetId="12672">
        <row r="7">
          <cell r="AI7">
            <v>10000</v>
          </cell>
        </row>
      </sheetData>
      <sheetData sheetId="12673">
        <row r="7">
          <cell r="AI7">
            <v>10000</v>
          </cell>
        </row>
      </sheetData>
      <sheetData sheetId="12674">
        <row r="7">
          <cell r="AI7">
            <v>10000</v>
          </cell>
        </row>
      </sheetData>
      <sheetData sheetId="12675">
        <row r="7">
          <cell r="AI7">
            <v>10000</v>
          </cell>
        </row>
      </sheetData>
      <sheetData sheetId="12676">
        <row r="7">
          <cell r="AI7">
            <v>10000</v>
          </cell>
        </row>
      </sheetData>
      <sheetData sheetId="12677">
        <row r="7">
          <cell r="AI7">
            <v>10000</v>
          </cell>
        </row>
      </sheetData>
      <sheetData sheetId="12678">
        <row r="7">
          <cell r="AI7">
            <v>10000</v>
          </cell>
        </row>
      </sheetData>
      <sheetData sheetId="12679">
        <row r="7">
          <cell r="AI7">
            <v>10000</v>
          </cell>
        </row>
      </sheetData>
      <sheetData sheetId="12680">
        <row r="7">
          <cell r="AI7">
            <v>10000</v>
          </cell>
        </row>
      </sheetData>
      <sheetData sheetId="12681">
        <row r="7">
          <cell r="AI7">
            <v>10000</v>
          </cell>
        </row>
      </sheetData>
      <sheetData sheetId="12682">
        <row r="7">
          <cell r="AI7">
            <v>10000</v>
          </cell>
        </row>
      </sheetData>
      <sheetData sheetId="12683">
        <row r="7">
          <cell r="AI7">
            <v>10000</v>
          </cell>
        </row>
      </sheetData>
      <sheetData sheetId="12684">
        <row r="7">
          <cell r="AI7">
            <v>10000</v>
          </cell>
        </row>
      </sheetData>
      <sheetData sheetId="12685">
        <row r="7">
          <cell r="AI7">
            <v>10000</v>
          </cell>
        </row>
      </sheetData>
      <sheetData sheetId="12686">
        <row r="7">
          <cell r="AI7">
            <v>10000</v>
          </cell>
        </row>
      </sheetData>
      <sheetData sheetId="12687">
        <row r="7">
          <cell r="AI7">
            <v>10000</v>
          </cell>
        </row>
      </sheetData>
      <sheetData sheetId="12688">
        <row r="7">
          <cell r="AI7">
            <v>10000</v>
          </cell>
        </row>
      </sheetData>
      <sheetData sheetId="12689">
        <row r="7">
          <cell r="AI7">
            <v>10000</v>
          </cell>
        </row>
      </sheetData>
      <sheetData sheetId="12690">
        <row r="7">
          <cell r="AI7">
            <v>10000</v>
          </cell>
        </row>
      </sheetData>
      <sheetData sheetId="12691">
        <row r="7">
          <cell r="AI7">
            <v>10000</v>
          </cell>
        </row>
      </sheetData>
      <sheetData sheetId="12692">
        <row r="7">
          <cell r="AI7">
            <v>10000</v>
          </cell>
        </row>
      </sheetData>
      <sheetData sheetId="12693">
        <row r="7">
          <cell r="AI7">
            <v>10000</v>
          </cell>
        </row>
      </sheetData>
      <sheetData sheetId="12694">
        <row r="7">
          <cell r="AI7">
            <v>10000</v>
          </cell>
        </row>
      </sheetData>
      <sheetData sheetId="12695">
        <row r="7">
          <cell r="AI7">
            <v>10000</v>
          </cell>
        </row>
      </sheetData>
      <sheetData sheetId="12696">
        <row r="7">
          <cell r="AI7">
            <v>10000</v>
          </cell>
        </row>
      </sheetData>
      <sheetData sheetId="12697">
        <row r="7">
          <cell r="AI7">
            <v>10000</v>
          </cell>
        </row>
      </sheetData>
      <sheetData sheetId="12698">
        <row r="7">
          <cell r="AI7">
            <v>10000</v>
          </cell>
        </row>
      </sheetData>
      <sheetData sheetId="12699">
        <row r="7">
          <cell r="AI7">
            <v>10000</v>
          </cell>
        </row>
      </sheetData>
      <sheetData sheetId="12700">
        <row r="7">
          <cell r="AI7">
            <v>10000</v>
          </cell>
        </row>
      </sheetData>
      <sheetData sheetId="12701">
        <row r="7">
          <cell r="AI7">
            <v>10000</v>
          </cell>
        </row>
      </sheetData>
      <sheetData sheetId="12702">
        <row r="7">
          <cell r="AI7">
            <v>10000</v>
          </cell>
        </row>
      </sheetData>
      <sheetData sheetId="12703">
        <row r="7">
          <cell r="AI7">
            <v>10000</v>
          </cell>
        </row>
      </sheetData>
      <sheetData sheetId="12704">
        <row r="7">
          <cell r="AI7">
            <v>10000</v>
          </cell>
        </row>
      </sheetData>
      <sheetData sheetId="12705">
        <row r="7">
          <cell r="AI7">
            <v>10000</v>
          </cell>
        </row>
      </sheetData>
      <sheetData sheetId="12706">
        <row r="7">
          <cell r="AI7">
            <v>10000</v>
          </cell>
        </row>
      </sheetData>
      <sheetData sheetId="12707">
        <row r="7">
          <cell r="AI7">
            <v>10000</v>
          </cell>
        </row>
      </sheetData>
      <sheetData sheetId="12708">
        <row r="7">
          <cell r="AI7">
            <v>10000</v>
          </cell>
        </row>
      </sheetData>
      <sheetData sheetId="12709">
        <row r="7">
          <cell r="AI7">
            <v>10000</v>
          </cell>
        </row>
      </sheetData>
      <sheetData sheetId="12710">
        <row r="7">
          <cell r="AI7">
            <v>10000</v>
          </cell>
        </row>
      </sheetData>
      <sheetData sheetId="12711">
        <row r="7">
          <cell r="AI7">
            <v>10000</v>
          </cell>
        </row>
      </sheetData>
      <sheetData sheetId="12712">
        <row r="7">
          <cell r="AI7">
            <v>10000</v>
          </cell>
        </row>
      </sheetData>
      <sheetData sheetId="12713">
        <row r="7">
          <cell r="AI7">
            <v>10000</v>
          </cell>
        </row>
      </sheetData>
      <sheetData sheetId="12714">
        <row r="7">
          <cell r="AI7">
            <v>10000</v>
          </cell>
        </row>
      </sheetData>
      <sheetData sheetId="12715">
        <row r="7">
          <cell r="AI7">
            <v>10000</v>
          </cell>
        </row>
      </sheetData>
      <sheetData sheetId="12716">
        <row r="7">
          <cell r="AI7">
            <v>10000</v>
          </cell>
        </row>
      </sheetData>
      <sheetData sheetId="12717">
        <row r="7">
          <cell r="AI7">
            <v>10000</v>
          </cell>
        </row>
      </sheetData>
      <sheetData sheetId="12718">
        <row r="7">
          <cell r="AI7">
            <v>10000</v>
          </cell>
        </row>
      </sheetData>
      <sheetData sheetId="12719">
        <row r="7">
          <cell r="AI7">
            <v>10000</v>
          </cell>
        </row>
      </sheetData>
      <sheetData sheetId="12720">
        <row r="7">
          <cell r="AI7">
            <v>10000</v>
          </cell>
        </row>
      </sheetData>
      <sheetData sheetId="12721">
        <row r="7">
          <cell r="AI7">
            <v>10000</v>
          </cell>
        </row>
      </sheetData>
      <sheetData sheetId="12722">
        <row r="7">
          <cell r="AI7">
            <v>10000</v>
          </cell>
        </row>
      </sheetData>
      <sheetData sheetId="12723">
        <row r="7">
          <cell r="AI7">
            <v>10000</v>
          </cell>
        </row>
      </sheetData>
      <sheetData sheetId="12724">
        <row r="7">
          <cell r="AI7">
            <v>10000</v>
          </cell>
        </row>
      </sheetData>
      <sheetData sheetId="12725">
        <row r="7">
          <cell r="AI7">
            <v>10000</v>
          </cell>
        </row>
      </sheetData>
      <sheetData sheetId="12726">
        <row r="7">
          <cell r="AI7">
            <v>10000</v>
          </cell>
        </row>
      </sheetData>
      <sheetData sheetId="12727">
        <row r="7">
          <cell r="AI7">
            <v>10000</v>
          </cell>
        </row>
      </sheetData>
      <sheetData sheetId="12728">
        <row r="7">
          <cell r="AI7">
            <v>10000</v>
          </cell>
        </row>
      </sheetData>
      <sheetData sheetId="12729">
        <row r="7">
          <cell r="AI7">
            <v>10000</v>
          </cell>
        </row>
      </sheetData>
      <sheetData sheetId="12730">
        <row r="7">
          <cell r="AI7">
            <v>10000</v>
          </cell>
        </row>
      </sheetData>
      <sheetData sheetId="12731">
        <row r="7">
          <cell r="AI7">
            <v>10000</v>
          </cell>
        </row>
      </sheetData>
      <sheetData sheetId="12732">
        <row r="7">
          <cell r="AI7">
            <v>10000</v>
          </cell>
        </row>
      </sheetData>
      <sheetData sheetId="12733">
        <row r="7">
          <cell r="AI7">
            <v>10000</v>
          </cell>
        </row>
      </sheetData>
      <sheetData sheetId="12734">
        <row r="7">
          <cell r="AI7">
            <v>10000</v>
          </cell>
        </row>
      </sheetData>
      <sheetData sheetId="12735">
        <row r="7">
          <cell r="AI7">
            <v>10000</v>
          </cell>
        </row>
      </sheetData>
      <sheetData sheetId="12736">
        <row r="7">
          <cell r="AI7">
            <v>10000</v>
          </cell>
        </row>
      </sheetData>
      <sheetData sheetId="12737">
        <row r="7">
          <cell r="AI7">
            <v>10000</v>
          </cell>
        </row>
      </sheetData>
      <sheetData sheetId="12738">
        <row r="7">
          <cell r="AI7">
            <v>10000</v>
          </cell>
        </row>
      </sheetData>
      <sheetData sheetId="12739">
        <row r="7">
          <cell r="AI7">
            <v>10000</v>
          </cell>
        </row>
      </sheetData>
      <sheetData sheetId="12740">
        <row r="7">
          <cell r="AI7">
            <v>10000</v>
          </cell>
        </row>
      </sheetData>
      <sheetData sheetId="12741">
        <row r="7">
          <cell r="AI7">
            <v>10000</v>
          </cell>
        </row>
      </sheetData>
      <sheetData sheetId="12742">
        <row r="7">
          <cell r="AI7">
            <v>10000</v>
          </cell>
        </row>
      </sheetData>
      <sheetData sheetId="12743">
        <row r="7">
          <cell r="AI7">
            <v>10000</v>
          </cell>
        </row>
      </sheetData>
      <sheetData sheetId="12744">
        <row r="7">
          <cell r="AI7">
            <v>10000</v>
          </cell>
        </row>
      </sheetData>
      <sheetData sheetId="12745">
        <row r="7">
          <cell r="AI7">
            <v>10000</v>
          </cell>
        </row>
      </sheetData>
      <sheetData sheetId="12746">
        <row r="7">
          <cell r="AI7">
            <v>10000</v>
          </cell>
        </row>
      </sheetData>
      <sheetData sheetId="12747">
        <row r="7">
          <cell r="AI7">
            <v>10000</v>
          </cell>
        </row>
      </sheetData>
      <sheetData sheetId="12748">
        <row r="7">
          <cell r="AI7">
            <v>10000</v>
          </cell>
        </row>
      </sheetData>
      <sheetData sheetId="12749">
        <row r="7">
          <cell r="AI7">
            <v>10000</v>
          </cell>
        </row>
      </sheetData>
      <sheetData sheetId="12750">
        <row r="7">
          <cell r="AI7">
            <v>10000</v>
          </cell>
        </row>
      </sheetData>
      <sheetData sheetId="12751">
        <row r="7">
          <cell r="AI7">
            <v>10000</v>
          </cell>
        </row>
      </sheetData>
      <sheetData sheetId="12752">
        <row r="7">
          <cell r="AI7">
            <v>10000</v>
          </cell>
        </row>
      </sheetData>
      <sheetData sheetId="12753">
        <row r="7">
          <cell r="AI7">
            <v>10000</v>
          </cell>
        </row>
      </sheetData>
      <sheetData sheetId="12754">
        <row r="7">
          <cell r="AI7">
            <v>10000</v>
          </cell>
        </row>
      </sheetData>
      <sheetData sheetId="12755">
        <row r="7">
          <cell r="AI7">
            <v>10000</v>
          </cell>
        </row>
      </sheetData>
      <sheetData sheetId="12756">
        <row r="7">
          <cell r="AI7">
            <v>10000</v>
          </cell>
        </row>
      </sheetData>
      <sheetData sheetId="12757">
        <row r="7">
          <cell r="AI7">
            <v>10000</v>
          </cell>
        </row>
      </sheetData>
      <sheetData sheetId="12758">
        <row r="7">
          <cell r="AI7">
            <v>10000</v>
          </cell>
        </row>
      </sheetData>
      <sheetData sheetId="12759">
        <row r="7">
          <cell r="AI7">
            <v>10000</v>
          </cell>
        </row>
      </sheetData>
      <sheetData sheetId="12760">
        <row r="7">
          <cell r="AI7">
            <v>10000</v>
          </cell>
        </row>
      </sheetData>
      <sheetData sheetId="12761">
        <row r="7">
          <cell r="AI7">
            <v>10000</v>
          </cell>
        </row>
      </sheetData>
      <sheetData sheetId="12762">
        <row r="7">
          <cell r="AI7">
            <v>10000</v>
          </cell>
        </row>
      </sheetData>
      <sheetData sheetId="12763">
        <row r="7">
          <cell r="AI7">
            <v>10000</v>
          </cell>
        </row>
      </sheetData>
      <sheetData sheetId="12764">
        <row r="7">
          <cell r="AI7">
            <v>10000</v>
          </cell>
        </row>
      </sheetData>
      <sheetData sheetId="12765">
        <row r="7">
          <cell r="AI7">
            <v>10000</v>
          </cell>
        </row>
      </sheetData>
      <sheetData sheetId="12766">
        <row r="7">
          <cell r="AI7">
            <v>10000</v>
          </cell>
        </row>
      </sheetData>
      <sheetData sheetId="12767">
        <row r="7">
          <cell r="AI7">
            <v>10000</v>
          </cell>
        </row>
      </sheetData>
      <sheetData sheetId="12768">
        <row r="7">
          <cell r="AI7">
            <v>10000</v>
          </cell>
        </row>
      </sheetData>
      <sheetData sheetId="12769">
        <row r="7">
          <cell r="AI7">
            <v>10000</v>
          </cell>
        </row>
      </sheetData>
      <sheetData sheetId="12770">
        <row r="7">
          <cell r="AI7">
            <v>10000</v>
          </cell>
        </row>
      </sheetData>
      <sheetData sheetId="12771">
        <row r="7">
          <cell r="AI7">
            <v>10000</v>
          </cell>
        </row>
      </sheetData>
      <sheetData sheetId="12772">
        <row r="7">
          <cell r="AI7">
            <v>10000</v>
          </cell>
        </row>
      </sheetData>
      <sheetData sheetId="12773">
        <row r="7">
          <cell r="AI7">
            <v>10000</v>
          </cell>
        </row>
      </sheetData>
      <sheetData sheetId="12774">
        <row r="7">
          <cell r="AI7">
            <v>10000</v>
          </cell>
        </row>
      </sheetData>
      <sheetData sheetId="12775">
        <row r="7">
          <cell r="AI7">
            <v>10000</v>
          </cell>
        </row>
      </sheetData>
      <sheetData sheetId="12776">
        <row r="7">
          <cell r="AI7">
            <v>10000</v>
          </cell>
        </row>
      </sheetData>
      <sheetData sheetId="12777">
        <row r="7">
          <cell r="AI7">
            <v>10000</v>
          </cell>
        </row>
      </sheetData>
      <sheetData sheetId="12778">
        <row r="7">
          <cell r="AI7">
            <v>10000</v>
          </cell>
        </row>
      </sheetData>
      <sheetData sheetId="12779">
        <row r="7">
          <cell r="AI7">
            <v>10000</v>
          </cell>
        </row>
      </sheetData>
      <sheetData sheetId="12780">
        <row r="7">
          <cell r="AI7">
            <v>10000</v>
          </cell>
        </row>
      </sheetData>
      <sheetData sheetId="12781">
        <row r="7">
          <cell r="AI7">
            <v>10000</v>
          </cell>
        </row>
      </sheetData>
      <sheetData sheetId="12782">
        <row r="7">
          <cell r="AI7">
            <v>10000</v>
          </cell>
        </row>
      </sheetData>
      <sheetData sheetId="12783">
        <row r="7">
          <cell r="AI7">
            <v>10000</v>
          </cell>
        </row>
      </sheetData>
      <sheetData sheetId="12784">
        <row r="7">
          <cell r="AI7">
            <v>10000</v>
          </cell>
        </row>
      </sheetData>
      <sheetData sheetId="12785">
        <row r="7">
          <cell r="AI7">
            <v>10000</v>
          </cell>
        </row>
      </sheetData>
      <sheetData sheetId="12786">
        <row r="7">
          <cell r="AI7">
            <v>10000</v>
          </cell>
        </row>
      </sheetData>
      <sheetData sheetId="12787">
        <row r="7">
          <cell r="AI7">
            <v>10000</v>
          </cell>
        </row>
      </sheetData>
      <sheetData sheetId="12788">
        <row r="7">
          <cell r="AI7">
            <v>10000</v>
          </cell>
        </row>
      </sheetData>
      <sheetData sheetId="12789">
        <row r="7">
          <cell r="AI7">
            <v>10000</v>
          </cell>
        </row>
      </sheetData>
      <sheetData sheetId="12790">
        <row r="7">
          <cell r="AI7">
            <v>10000</v>
          </cell>
        </row>
      </sheetData>
      <sheetData sheetId="12791">
        <row r="7">
          <cell r="AI7">
            <v>10000</v>
          </cell>
        </row>
      </sheetData>
      <sheetData sheetId="12792">
        <row r="7">
          <cell r="AI7">
            <v>10000</v>
          </cell>
        </row>
      </sheetData>
      <sheetData sheetId="12793">
        <row r="7">
          <cell r="AI7">
            <v>10000</v>
          </cell>
        </row>
      </sheetData>
      <sheetData sheetId="12794">
        <row r="7">
          <cell r="AI7">
            <v>10000</v>
          </cell>
        </row>
      </sheetData>
      <sheetData sheetId="12795">
        <row r="7">
          <cell r="AI7">
            <v>10000</v>
          </cell>
        </row>
      </sheetData>
      <sheetData sheetId="12796">
        <row r="7">
          <cell r="AI7">
            <v>10000</v>
          </cell>
        </row>
      </sheetData>
      <sheetData sheetId="12797">
        <row r="7">
          <cell r="AI7">
            <v>10000</v>
          </cell>
        </row>
      </sheetData>
      <sheetData sheetId="12798">
        <row r="7">
          <cell r="AI7">
            <v>10000</v>
          </cell>
        </row>
      </sheetData>
      <sheetData sheetId="12799">
        <row r="7">
          <cell r="AI7">
            <v>10000</v>
          </cell>
        </row>
      </sheetData>
      <sheetData sheetId="12800">
        <row r="7">
          <cell r="AI7">
            <v>10000</v>
          </cell>
        </row>
      </sheetData>
      <sheetData sheetId="12801">
        <row r="7">
          <cell r="AI7">
            <v>10000</v>
          </cell>
        </row>
      </sheetData>
      <sheetData sheetId="12802">
        <row r="7">
          <cell r="AI7">
            <v>10000</v>
          </cell>
        </row>
      </sheetData>
      <sheetData sheetId="12803">
        <row r="7">
          <cell r="AI7">
            <v>10000</v>
          </cell>
        </row>
      </sheetData>
      <sheetData sheetId="12804">
        <row r="7">
          <cell r="AI7">
            <v>10000</v>
          </cell>
        </row>
      </sheetData>
      <sheetData sheetId="12805">
        <row r="7">
          <cell r="AI7">
            <v>10000</v>
          </cell>
        </row>
      </sheetData>
      <sheetData sheetId="12806">
        <row r="7">
          <cell r="AI7">
            <v>10000</v>
          </cell>
        </row>
      </sheetData>
      <sheetData sheetId="12807">
        <row r="7">
          <cell r="AI7">
            <v>10000</v>
          </cell>
        </row>
      </sheetData>
      <sheetData sheetId="12808">
        <row r="7">
          <cell r="AI7">
            <v>10000</v>
          </cell>
        </row>
      </sheetData>
      <sheetData sheetId="12809">
        <row r="7">
          <cell r="AI7">
            <v>10000</v>
          </cell>
        </row>
      </sheetData>
      <sheetData sheetId="12810">
        <row r="7">
          <cell r="AI7">
            <v>10000</v>
          </cell>
        </row>
      </sheetData>
      <sheetData sheetId="12811">
        <row r="7">
          <cell r="AI7">
            <v>10000</v>
          </cell>
        </row>
      </sheetData>
      <sheetData sheetId="12812">
        <row r="7">
          <cell r="AI7">
            <v>10000</v>
          </cell>
        </row>
      </sheetData>
      <sheetData sheetId="12813">
        <row r="7">
          <cell r="AI7">
            <v>10000</v>
          </cell>
        </row>
      </sheetData>
      <sheetData sheetId="12814">
        <row r="7">
          <cell r="AI7">
            <v>10000</v>
          </cell>
        </row>
      </sheetData>
      <sheetData sheetId="12815">
        <row r="7">
          <cell r="AI7">
            <v>10000</v>
          </cell>
        </row>
      </sheetData>
      <sheetData sheetId="12816">
        <row r="7">
          <cell r="AI7">
            <v>10000</v>
          </cell>
        </row>
      </sheetData>
      <sheetData sheetId="12817">
        <row r="7">
          <cell r="AI7">
            <v>10000</v>
          </cell>
        </row>
      </sheetData>
      <sheetData sheetId="12818">
        <row r="7">
          <cell r="AI7">
            <v>10000</v>
          </cell>
        </row>
      </sheetData>
      <sheetData sheetId="12819">
        <row r="7">
          <cell r="AI7">
            <v>10000</v>
          </cell>
        </row>
      </sheetData>
      <sheetData sheetId="12820">
        <row r="7">
          <cell r="AI7">
            <v>10000</v>
          </cell>
        </row>
      </sheetData>
      <sheetData sheetId="12821">
        <row r="7">
          <cell r="AI7">
            <v>10000</v>
          </cell>
        </row>
      </sheetData>
      <sheetData sheetId="12822">
        <row r="7">
          <cell r="AI7">
            <v>10000</v>
          </cell>
        </row>
      </sheetData>
      <sheetData sheetId="12823">
        <row r="7">
          <cell r="AI7">
            <v>10000</v>
          </cell>
        </row>
      </sheetData>
      <sheetData sheetId="12824">
        <row r="7">
          <cell r="AI7">
            <v>10000</v>
          </cell>
        </row>
      </sheetData>
      <sheetData sheetId="12825">
        <row r="7">
          <cell r="AI7">
            <v>10000</v>
          </cell>
        </row>
      </sheetData>
      <sheetData sheetId="12826">
        <row r="7">
          <cell r="AI7">
            <v>10000</v>
          </cell>
        </row>
      </sheetData>
      <sheetData sheetId="12827">
        <row r="7">
          <cell r="AI7">
            <v>10000</v>
          </cell>
        </row>
      </sheetData>
      <sheetData sheetId="12828">
        <row r="7">
          <cell r="AI7">
            <v>10000</v>
          </cell>
        </row>
      </sheetData>
      <sheetData sheetId="12829">
        <row r="7">
          <cell r="AI7">
            <v>10000</v>
          </cell>
        </row>
      </sheetData>
      <sheetData sheetId="12830">
        <row r="7">
          <cell r="AI7">
            <v>10000</v>
          </cell>
        </row>
      </sheetData>
      <sheetData sheetId="12831">
        <row r="7">
          <cell r="AI7">
            <v>10000</v>
          </cell>
        </row>
      </sheetData>
      <sheetData sheetId="12832">
        <row r="7">
          <cell r="AI7">
            <v>10000</v>
          </cell>
        </row>
      </sheetData>
      <sheetData sheetId="12833">
        <row r="7">
          <cell r="AI7">
            <v>10000</v>
          </cell>
        </row>
      </sheetData>
      <sheetData sheetId="12834">
        <row r="7">
          <cell r="AI7">
            <v>10000</v>
          </cell>
        </row>
      </sheetData>
      <sheetData sheetId="12835">
        <row r="7">
          <cell r="AI7">
            <v>10000</v>
          </cell>
        </row>
      </sheetData>
      <sheetData sheetId="12836">
        <row r="7">
          <cell r="AI7">
            <v>10000</v>
          </cell>
        </row>
      </sheetData>
      <sheetData sheetId="12837">
        <row r="7">
          <cell r="AI7">
            <v>10000</v>
          </cell>
        </row>
      </sheetData>
      <sheetData sheetId="12838">
        <row r="7">
          <cell r="AI7">
            <v>10000</v>
          </cell>
        </row>
      </sheetData>
      <sheetData sheetId="12839">
        <row r="7">
          <cell r="AI7">
            <v>10000</v>
          </cell>
        </row>
      </sheetData>
      <sheetData sheetId="12840">
        <row r="7">
          <cell r="AI7">
            <v>10000</v>
          </cell>
        </row>
      </sheetData>
      <sheetData sheetId="12841">
        <row r="7">
          <cell r="AI7">
            <v>10000</v>
          </cell>
        </row>
      </sheetData>
      <sheetData sheetId="12842">
        <row r="7">
          <cell r="AI7">
            <v>10000</v>
          </cell>
        </row>
      </sheetData>
      <sheetData sheetId="12843">
        <row r="7">
          <cell r="AI7">
            <v>10000</v>
          </cell>
        </row>
      </sheetData>
      <sheetData sheetId="12844">
        <row r="7">
          <cell r="AI7">
            <v>10000</v>
          </cell>
        </row>
      </sheetData>
      <sheetData sheetId="12845">
        <row r="7">
          <cell r="AI7">
            <v>10000</v>
          </cell>
        </row>
      </sheetData>
      <sheetData sheetId="12846">
        <row r="7">
          <cell r="AI7">
            <v>10000</v>
          </cell>
        </row>
      </sheetData>
      <sheetData sheetId="12847">
        <row r="7">
          <cell r="AI7">
            <v>10000</v>
          </cell>
        </row>
      </sheetData>
      <sheetData sheetId="12848">
        <row r="7">
          <cell r="AI7">
            <v>10000</v>
          </cell>
        </row>
      </sheetData>
      <sheetData sheetId="12849">
        <row r="7">
          <cell r="AI7">
            <v>10000</v>
          </cell>
        </row>
      </sheetData>
      <sheetData sheetId="12850">
        <row r="7">
          <cell r="AI7">
            <v>10000</v>
          </cell>
        </row>
      </sheetData>
      <sheetData sheetId="12851">
        <row r="7">
          <cell r="AI7">
            <v>10000</v>
          </cell>
        </row>
      </sheetData>
      <sheetData sheetId="12852">
        <row r="7">
          <cell r="AI7">
            <v>10000</v>
          </cell>
        </row>
      </sheetData>
      <sheetData sheetId="12853">
        <row r="7">
          <cell r="AI7">
            <v>10000</v>
          </cell>
        </row>
      </sheetData>
      <sheetData sheetId="12854">
        <row r="7">
          <cell r="AI7">
            <v>10000</v>
          </cell>
        </row>
      </sheetData>
      <sheetData sheetId="12855"/>
      <sheetData sheetId="12856"/>
      <sheetData sheetId="12857"/>
      <sheetData sheetId="12858">
        <row r="7">
          <cell r="AI7">
            <v>10000</v>
          </cell>
        </row>
      </sheetData>
      <sheetData sheetId="12859">
        <row r="7">
          <cell r="AI7">
            <v>10000</v>
          </cell>
        </row>
      </sheetData>
      <sheetData sheetId="12860"/>
      <sheetData sheetId="12861">
        <row r="7">
          <cell r="AI7">
            <v>10000</v>
          </cell>
        </row>
      </sheetData>
      <sheetData sheetId="12862">
        <row r="7">
          <cell r="AI7">
            <v>10000</v>
          </cell>
        </row>
      </sheetData>
      <sheetData sheetId="12863">
        <row r="7">
          <cell r="AI7">
            <v>10000</v>
          </cell>
        </row>
      </sheetData>
      <sheetData sheetId="12864">
        <row r="7">
          <cell r="AI7">
            <v>10000</v>
          </cell>
        </row>
      </sheetData>
      <sheetData sheetId="12865">
        <row r="7">
          <cell r="AI7">
            <v>10000</v>
          </cell>
        </row>
      </sheetData>
      <sheetData sheetId="12866">
        <row r="7">
          <cell r="AI7">
            <v>10000</v>
          </cell>
        </row>
      </sheetData>
      <sheetData sheetId="12867">
        <row r="7">
          <cell r="AI7">
            <v>10000</v>
          </cell>
        </row>
      </sheetData>
      <sheetData sheetId="12868">
        <row r="7">
          <cell r="AI7">
            <v>10000</v>
          </cell>
        </row>
      </sheetData>
      <sheetData sheetId="12869">
        <row r="7">
          <cell r="AI7">
            <v>10000</v>
          </cell>
        </row>
      </sheetData>
      <sheetData sheetId="12870">
        <row r="7">
          <cell r="AI7">
            <v>10000</v>
          </cell>
        </row>
      </sheetData>
      <sheetData sheetId="12871">
        <row r="7">
          <cell r="AI7">
            <v>10000</v>
          </cell>
        </row>
      </sheetData>
      <sheetData sheetId="12872">
        <row r="7">
          <cell r="AI7">
            <v>10000</v>
          </cell>
        </row>
      </sheetData>
      <sheetData sheetId="12873">
        <row r="7">
          <cell r="AI7">
            <v>10000</v>
          </cell>
        </row>
      </sheetData>
      <sheetData sheetId="12874">
        <row r="7">
          <cell r="AI7">
            <v>10000</v>
          </cell>
        </row>
      </sheetData>
      <sheetData sheetId="12875"/>
      <sheetData sheetId="12876">
        <row r="7">
          <cell r="AI7">
            <v>10000</v>
          </cell>
        </row>
      </sheetData>
      <sheetData sheetId="12877">
        <row r="7">
          <cell r="AI7">
            <v>10000</v>
          </cell>
        </row>
      </sheetData>
      <sheetData sheetId="12878">
        <row r="7">
          <cell r="AI7">
            <v>10000</v>
          </cell>
        </row>
      </sheetData>
      <sheetData sheetId="12879">
        <row r="7">
          <cell r="AI7">
            <v>10000</v>
          </cell>
        </row>
      </sheetData>
      <sheetData sheetId="12880">
        <row r="7">
          <cell r="AI7">
            <v>10000</v>
          </cell>
        </row>
      </sheetData>
      <sheetData sheetId="12881">
        <row r="7">
          <cell r="AI7">
            <v>10000</v>
          </cell>
        </row>
      </sheetData>
      <sheetData sheetId="12882">
        <row r="7">
          <cell r="AI7">
            <v>10000</v>
          </cell>
        </row>
      </sheetData>
      <sheetData sheetId="12883">
        <row r="7">
          <cell r="AI7">
            <v>10000</v>
          </cell>
        </row>
      </sheetData>
      <sheetData sheetId="12884">
        <row r="7">
          <cell r="AI7">
            <v>10000</v>
          </cell>
        </row>
      </sheetData>
      <sheetData sheetId="12885">
        <row r="7">
          <cell r="AI7">
            <v>10000</v>
          </cell>
        </row>
      </sheetData>
      <sheetData sheetId="12886">
        <row r="7">
          <cell r="AI7">
            <v>10000</v>
          </cell>
        </row>
      </sheetData>
      <sheetData sheetId="12887">
        <row r="7">
          <cell r="AI7">
            <v>10000</v>
          </cell>
        </row>
      </sheetData>
      <sheetData sheetId="12888">
        <row r="7">
          <cell r="AI7">
            <v>10000</v>
          </cell>
        </row>
      </sheetData>
      <sheetData sheetId="12889">
        <row r="7">
          <cell r="AI7">
            <v>10000</v>
          </cell>
        </row>
      </sheetData>
      <sheetData sheetId="12890">
        <row r="7">
          <cell r="AI7">
            <v>10000</v>
          </cell>
        </row>
      </sheetData>
      <sheetData sheetId="12891">
        <row r="7">
          <cell r="AI7">
            <v>10000</v>
          </cell>
        </row>
      </sheetData>
      <sheetData sheetId="12892">
        <row r="7">
          <cell r="AI7">
            <v>10000</v>
          </cell>
        </row>
      </sheetData>
      <sheetData sheetId="12893">
        <row r="7">
          <cell r="AI7">
            <v>10000</v>
          </cell>
        </row>
      </sheetData>
      <sheetData sheetId="12894">
        <row r="7">
          <cell r="AI7">
            <v>10000</v>
          </cell>
        </row>
      </sheetData>
      <sheetData sheetId="12895">
        <row r="7">
          <cell r="AI7">
            <v>10000</v>
          </cell>
        </row>
      </sheetData>
      <sheetData sheetId="12896">
        <row r="7">
          <cell r="AI7">
            <v>10000</v>
          </cell>
        </row>
      </sheetData>
      <sheetData sheetId="12897">
        <row r="7">
          <cell r="AI7">
            <v>10000</v>
          </cell>
        </row>
      </sheetData>
      <sheetData sheetId="12898">
        <row r="7">
          <cell r="AI7">
            <v>10000</v>
          </cell>
        </row>
      </sheetData>
      <sheetData sheetId="12899">
        <row r="7">
          <cell r="AI7">
            <v>10000</v>
          </cell>
        </row>
      </sheetData>
      <sheetData sheetId="12900">
        <row r="7">
          <cell r="AI7">
            <v>10000</v>
          </cell>
        </row>
      </sheetData>
      <sheetData sheetId="12901">
        <row r="7">
          <cell r="AI7">
            <v>10000</v>
          </cell>
        </row>
      </sheetData>
      <sheetData sheetId="12902">
        <row r="7">
          <cell r="AI7">
            <v>10000</v>
          </cell>
        </row>
      </sheetData>
      <sheetData sheetId="12903">
        <row r="7">
          <cell r="AI7">
            <v>10000</v>
          </cell>
        </row>
      </sheetData>
      <sheetData sheetId="12904">
        <row r="7">
          <cell r="AI7">
            <v>10000</v>
          </cell>
        </row>
      </sheetData>
      <sheetData sheetId="12905">
        <row r="7">
          <cell r="AI7">
            <v>10000</v>
          </cell>
        </row>
      </sheetData>
      <sheetData sheetId="12906">
        <row r="7">
          <cell r="AI7">
            <v>10000</v>
          </cell>
        </row>
      </sheetData>
      <sheetData sheetId="12907">
        <row r="7">
          <cell r="AI7">
            <v>10000</v>
          </cell>
        </row>
      </sheetData>
      <sheetData sheetId="12908">
        <row r="7">
          <cell r="AI7">
            <v>10000</v>
          </cell>
        </row>
      </sheetData>
      <sheetData sheetId="12909">
        <row r="7">
          <cell r="AI7">
            <v>10000</v>
          </cell>
        </row>
      </sheetData>
      <sheetData sheetId="12910">
        <row r="7">
          <cell r="AI7">
            <v>10000</v>
          </cell>
        </row>
      </sheetData>
      <sheetData sheetId="12911">
        <row r="7">
          <cell r="AI7">
            <v>10000</v>
          </cell>
        </row>
      </sheetData>
      <sheetData sheetId="12912">
        <row r="7">
          <cell r="AI7">
            <v>10000</v>
          </cell>
        </row>
      </sheetData>
      <sheetData sheetId="12913">
        <row r="7">
          <cell r="AI7">
            <v>10000</v>
          </cell>
        </row>
      </sheetData>
      <sheetData sheetId="12914">
        <row r="7">
          <cell r="AI7">
            <v>10000</v>
          </cell>
        </row>
      </sheetData>
      <sheetData sheetId="12915">
        <row r="7">
          <cell r="AI7">
            <v>10000</v>
          </cell>
        </row>
      </sheetData>
      <sheetData sheetId="12916">
        <row r="7">
          <cell r="AI7">
            <v>10000</v>
          </cell>
        </row>
      </sheetData>
      <sheetData sheetId="12917">
        <row r="7">
          <cell r="AI7">
            <v>10000</v>
          </cell>
        </row>
      </sheetData>
      <sheetData sheetId="12918">
        <row r="7">
          <cell r="AI7">
            <v>10000</v>
          </cell>
        </row>
      </sheetData>
      <sheetData sheetId="12919">
        <row r="7">
          <cell r="AI7">
            <v>10000</v>
          </cell>
        </row>
      </sheetData>
      <sheetData sheetId="12920">
        <row r="7">
          <cell r="AI7">
            <v>10000</v>
          </cell>
        </row>
      </sheetData>
      <sheetData sheetId="12921">
        <row r="7">
          <cell r="AI7">
            <v>10000</v>
          </cell>
        </row>
      </sheetData>
      <sheetData sheetId="12922">
        <row r="7">
          <cell r="AI7">
            <v>10000</v>
          </cell>
        </row>
      </sheetData>
      <sheetData sheetId="12923">
        <row r="7">
          <cell r="AI7">
            <v>10000</v>
          </cell>
        </row>
      </sheetData>
      <sheetData sheetId="12924">
        <row r="7">
          <cell r="AI7">
            <v>10000</v>
          </cell>
        </row>
      </sheetData>
      <sheetData sheetId="12925">
        <row r="7">
          <cell r="AI7">
            <v>10000</v>
          </cell>
        </row>
      </sheetData>
      <sheetData sheetId="12926">
        <row r="7">
          <cell r="AI7">
            <v>10000</v>
          </cell>
        </row>
      </sheetData>
      <sheetData sheetId="12927">
        <row r="7">
          <cell r="AI7">
            <v>10000</v>
          </cell>
        </row>
      </sheetData>
      <sheetData sheetId="12928">
        <row r="7">
          <cell r="AI7">
            <v>10000</v>
          </cell>
        </row>
      </sheetData>
      <sheetData sheetId="12929">
        <row r="7">
          <cell r="AI7">
            <v>10000</v>
          </cell>
        </row>
      </sheetData>
      <sheetData sheetId="12930">
        <row r="7">
          <cell r="AI7">
            <v>10000</v>
          </cell>
        </row>
      </sheetData>
      <sheetData sheetId="12931">
        <row r="7">
          <cell r="AI7">
            <v>10000</v>
          </cell>
        </row>
      </sheetData>
      <sheetData sheetId="12932">
        <row r="7">
          <cell r="AI7">
            <v>10000</v>
          </cell>
        </row>
      </sheetData>
      <sheetData sheetId="12933">
        <row r="7">
          <cell r="AI7">
            <v>10000</v>
          </cell>
        </row>
      </sheetData>
      <sheetData sheetId="12934">
        <row r="7">
          <cell r="AI7">
            <v>10000</v>
          </cell>
        </row>
      </sheetData>
      <sheetData sheetId="12935">
        <row r="7">
          <cell r="AI7">
            <v>10000</v>
          </cell>
        </row>
      </sheetData>
      <sheetData sheetId="12936">
        <row r="7">
          <cell r="AI7">
            <v>10000</v>
          </cell>
        </row>
      </sheetData>
      <sheetData sheetId="12937">
        <row r="7">
          <cell r="AI7">
            <v>10000</v>
          </cell>
        </row>
      </sheetData>
      <sheetData sheetId="12938">
        <row r="7">
          <cell r="AI7">
            <v>10000</v>
          </cell>
        </row>
      </sheetData>
      <sheetData sheetId="12939">
        <row r="7">
          <cell r="AI7">
            <v>10000</v>
          </cell>
        </row>
      </sheetData>
      <sheetData sheetId="12940">
        <row r="7">
          <cell r="AI7">
            <v>10000</v>
          </cell>
        </row>
      </sheetData>
      <sheetData sheetId="12941">
        <row r="7">
          <cell r="AI7">
            <v>10000</v>
          </cell>
        </row>
      </sheetData>
      <sheetData sheetId="12942">
        <row r="7">
          <cell r="AI7">
            <v>10000</v>
          </cell>
        </row>
      </sheetData>
      <sheetData sheetId="12943">
        <row r="7">
          <cell r="AI7">
            <v>10000</v>
          </cell>
        </row>
      </sheetData>
      <sheetData sheetId="12944">
        <row r="7">
          <cell r="AI7">
            <v>10000</v>
          </cell>
        </row>
      </sheetData>
      <sheetData sheetId="12945">
        <row r="7">
          <cell r="AI7">
            <v>10000</v>
          </cell>
        </row>
      </sheetData>
      <sheetData sheetId="12946">
        <row r="7">
          <cell r="AI7">
            <v>10000</v>
          </cell>
        </row>
      </sheetData>
      <sheetData sheetId="12947">
        <row r="7">
          <cell r="AI7">
            <v>10000</v>
          </cell>
        </row>
      </sheetData>
      <sheetData sheetId="12948">
        <row r="7">
          <cell r="AI7">
            <v>10000</v>
          </cell>
        </row>
      </sheetData>
      <sheetData sheetId="12949">
        <row r="7">
          <cell r="AI7">
            <v>10000</v>
          </cell>
        </row>
      </sheetData>
      <sheetData sheetId="12950">
        <row r="7">
          <cell r="AI7">
            <v>10000</v>
          </cell>
        </row>
      </sheetData>
      <sheetData sheetId="12951">
        <row r="7">
          <cell r="AI7">
            <v>10000</v>
          </cell>
        </row>
      </sheetData>
      <sheetData sheetId="12952">
        <row r="7">
          <cell r="AI7">
            <v>10000</v>
          </cell>
        </row>
      </sheetData>
      <sheetData sheetId="12953">
        <row r="7">
          <cell r="AI7">
            <v>10000</v>
          </cell>
        </row>
      </sheetData>
      <sheetData sheetId="12954">
        <row r="7">
          <cell r="AI7">
            <v>10000</v>
          </cell>
        </row>
      </sheetData>
      <sheetData sheetId="12955">
        <row r="7">
          <cell r="AI7">
            <v>10000</v>
          </cell>
        </row>
      </sheetData>
      <sheetData sheetId="12956">
        <row r="7">
          <cell r="AI7">
            <v>10000</v>
          </cell>
        </row>
      </sheetData>
      <sheetData sheetId="12957">
        <row r="7">
          <cell r="AI7">
            <v>10000</v>
          </cell>
        </row>
      </sheetData>
      <sheetData sheetId="12958">
        <row r="7">
          <cell r="AI7">
            <v>10000</v>
          </cell>
        </row>
      </sheetData>
      <sheetData sheetId="12959">
        <row r="7">
          <cell r="AI7">
            <v>10000</v>
          </cell>
        </row>
      </sheetData>
      <sheetData sheetId="12960">
        <row r="7">
          <cell r="AI7">
            <v>10000</v>
          </cell>
        </row>
      </sheetData>
      <sheetData sheetId="12961">
        <row r="7">
          <cell r="AI7">
            <v>10000</v>
          </cell>
        </row>
      </sheetData>
      <sheetData sheetId="12962">
        <row r="7">
          <cell r="AI7">
            <v>10000</v>
          </cell>
        </row>
      </sheetData>
      <sheetData sheetId="12963">
        <row r="7">
          <cell r="AI7">
            <v>10000</v>
          </cell>
        </row>
      </sheetData>
      <sheetData sheetId="12964">
        <row r="7">
          <cell r="AI7">
            <v>10000</v>
          </cell>
        </row>
      </sheetData>
      <sheetData sheetId="12965">
        <row r="7">
          <cell r="AI7">
            <v>10000</v>
          </cell>
        </row>
      </sheetData>
      <sheetData sheetId="12966">
        <row r="7">
          <cell r="AI7">
            <v>10000</v>
          </cell>
        </row>
      </sheetData>
      <sheetData sheetId="12967">
        <row r="7">
          <cell r="AI7">
            <v>10000</v>
          </cell>
        </row>
      </sheetData>
      <sheetData sheetId="12968">
        <row r="7">
          <cell r="AI7">
            <v>10000</v>
          </cell>
        </row>
      </sheetData>
      <sheetData sheetId="12969">
        <row r="7">
          <cell r="AI7">
            <v>10000</v>
          </cell>
        </row>
      </sheetData>
      <sheetData sheetId="12970">
        <row r="7">
          <cell r="AI7">
            <v>10000</v>
          </cell>
        </row>
      </sheetData>
      <sheetData sheetId="12971">
        <row r="7">
          <cell r="AI7">
            <v>10000</v>
          </cell>
        </row>
      </sheetData>
      <sheetData sheetId="12972">
        <row r="7">
          <cell r="AI7">
            <v>10000</v>
          </cell>
        </row>
      </sheetData>
      <sheetData sheetId="12973">
        <row r="7">
          <cell r="AI7">
            <v>10000</v>
          </cell>
        </row>
      </sheetData>
      <sheetData sheetId="12974">
        <row r="7">
          <cell r="AI7">
            <v>10000</v>
          </cell>
        </row>
      </sheetData>
      <sheetData sheetId="12975">
        <row r="7">
          <cell r="AI7">
            <v>10000</v>
          </cell>
        </row>
      </sheetData>
      <sheetData sheetId="12976">
        <row r="7">
          <cell r="AI7">
            <v>10000</v>
          </cell>
        </row>
      </sheetData>
      <sheetData sheetId="12977">
        <row r="7">
          <cell r="AI7">
            <v>10000</v>
          </cell>
        </row>
      </sheetData>
      <sheetData sheetId="12978">
        <row r="7">
          <cell r="AI7">
            <v>10000</v>
          </cell>
        </row>
      </sheetData>
      <sheetData sheetId="12979">
        <row r="7">
          <cell r="AI7">
            <v>10000</v>
          </cell>
        </row>
      </sheetData>
      <sheetData sheetId="12980">
        <row r="7">
          <cell r="AI7">
            <v>10000</v>
          </cell>
        </row>
      </sheetData>
      <sheetData sheetId="12981">
        <row r="7">
          <cell r="AI7">
            <v>10000</v>
          </cell>
        </row>
      </sheetData>
      <sheetData sheetId="12982">
        <row r="7">
          <cell r="AI7">
            <v>10000</v>
          </cell>
        </row>
      </sheetData>
      <sheetData sheetId="12983">
        <row r="7">
          <cell r="AI7">
            <v>10000</v>
          </cell>
        </row>
      </sheetData>
      <sheetData sheetId="12984">
        <row r="7">
          <cell r="AI7">
            <v>10000</v>
          </cell>
        </row>
      </sheetData>
      <sheetData sheetId="12985">
        <row r="7">
          <cell r="AI7">
            <v>10000</v>
          </cell>
        </row>
      </sheetData>
      <sheetData sheetId="12986">
        <row r="7">
          <cell r="AI7">
            <v>10000</v>
          </cell>
        </row>
      </sheetData>
      <sheetData sheetId="12987">
        <row r="7">
          <cell r="AI7">
            <v>10000</v>
          </cell>
        </row>
      </sheetData>
      <sheetData sheetId="12988">
        <row r="7">
          <cell r="AI7">
            <v>10000</v>
          </cell>
        </row>
      </sheetData>
      <sheetData sheetId="12989">
        <row r="7">
          <cell r="AI7">
            <v>10000</v>
          </cell>
        </row>
      </sheetData>
      <sheetData sheetId="12990">
        <row r="7">
          <cell r="AI7">
            <v>10000</v>
          </cell>
        </row>
      </sheetData>
      <sheetData sheetId="12991">
        <row r="7">
          <cell r="AI7">
            <v>10000</v>
          </cell>
        </row>
      </sheetData>
      <sheetData sheetId="12992">
        <row r="7">
          <cell r="AI7">
            <v>10000</v>
          </cell>
        </row>
      </sheetData>
      <sheetData sheetId="12993">
        <row r="7">
          <cell r="AI7">
            <v>10000</v>
          </cell>
        </row>
      </sheetData>
      <sheetData sheetId="12994">
        <row r="7">
          <cell r="AI7">
            <v>10000</v>
          </cell>
        </row>
      </sheetData>
      <sheetData sheetId="12995">
        <row r="7">
          <cell r="AI7">
            <v>10000</v>
          </cell>
        </row>
      </sheetData>
      <sheetData sheetId="12996">
        <row r="7">
          <cell r="AI7">
            <v>10000</v>
          </cell>
        </row>
      </sheetData>
      <sheetData sheetId="12997">
        <row r="7">
          <cell r="AI7">
            <v>10000</v>
          </cell>
        </row>
      </sheetData>
      <sheetData sheetId="12998">
        <row r="7">
          <cell r="AI7">
            <v>10000</v>
          </cell>
        </row>
      </sheetData>
      <sheetData sheetId="12999">
        <row r="7">
          <cell r="AI7">
            <v>10000</v>
          </cell>
        </row>
      </sheetData>
      <sheetData sheetId="13000">
        <row r="7">
          <cell r="AI7">
            <v>10000</v>
          </cell>
        </row>
      </sheetData>
      <sheetData sheetId="13001">
        <row r="7">
          <cell r="AI7">
            <v>10000</v>
          </cell>
        </row>
      </sheetData>
      <sheetData sheetId="13002">
        <row r="7">
          <cell r="AI7">
            <v>10000</v>
          </cell>
        </row>
      </sheetData>
      <sheetData sheetId="13003">
        <row r="7">
          <cell r="AI7">
            <v>10000</v>
          </cell>
        </row>
      </sheetData>
      <sheetData sheetId="13004">
        <row r="7">
          <cell r="AI7">
            <v>10000</v>
          </cell>
        </row>
      </sheetData>
      <sheetData sheetId="13005">
        <row r="7">
          <cell r="AI7">
            <v>10000</v>
          </cell>
        </row>
      </sheetData>
      <sheetData sheetId="13006">
        <row r="7">
          <cell r="AI7">
            <v>10000</v>
          </cell>
        </row>
      </sheetData>
      <sheetData sheetId="13007">
        <row r="7">
          <cell r="AI7">
            <v>10000</v>
          </cell>
        </row>
      </sheetData>
      <sheetData sheetId="13008">
        <row r="7">
          <cell r="AI7">
            <v>10000</v>
          </cell>
        </row>
      </sheetData>
      <sheetData sheetId="13009">
        <row r="7">
          <cell r="AI7">
            <v>10000</v>
          </cell>
        </row>
      </sheetData>
      <sheetData sheetId="13010">
        <row r="7">
          <cell r="AI7">
            <v>10000</v>
          </cell>
        </row>
      </sheetData>
      <sheetData sheetId="13011">
        <row r="7">
          <cell r="AI7">
            <v>10000</v>
          </cell>
        </row>
      </sheetData>
      <sheetData sheetId="13012">
        <row r="7">
          <cell r="AI7">
            <v>10000</v>
          </cell>
        </row>
      </sheetData>
      <sheetData sheetId="13013">
        <row r="7">
          <cell r="AI7">
            <v>10000</v>
          </cell>
        </row>
      </sheetData>
      <sheetData sheetId="13014">
        <row r="7">
          <cell r="AI7">
            <v>10000</v>
          </cell>
        </row>
      </sheetData>
      <sheetData sheetId="13015">
        <row r="7">
          <cell r="AI7">
            <v>10000</v>
          </cell>
        </row>
      </sheetData>
      <sheetData sheetId="13016">
        <row r="7">
          <cell r="AI7">
            <v>10000</v>
          </cell>
        </row>
      </sheetData>
      <sheetData sheetId="13017">
        <row r="7">
          <cell r="AI7">
            <v>10000</v>
          </cell>
        </row>
      </sheetData>
      <sheetData sheetId="13018">
        <row r="7">
          <cell r="AI7">
            <v>10000</v>
          </cell>
        </row>
      </sheetData>
      <sheetData sheetId="13019">
        <row r="7">
          <cell r="AI7">
            <v>10000</v>
          </cell>
        </row>
      </sheetData>
      <sheetData sheetId="13020">
        <row r="7">
          <cell r="AI7">
            <v>10000</v>
          </cell>
        </row>
      </sheetData>
      <sheetData sheetId="13021">
        <row r="7">
          <cell r="AI7">
            <v>10000</v>
          </cell>
        </row>
      </sheetData>
      <sheetData sheetId="13022">
        <row r="7">
          <cell r="AI7">
            <v>10000</v>
          </cell>
        </row>
      </sheetData>
      <sheetData sheetId="13023">
        <row r="7">
          <cell r="AI7">
            <v>10000</v>
          </cell>
        </row>
      </sheetData>
      <sheetData sheetId="13024">
        <row r="7">
          <cell r="AI7">
            <v>10000</v>
          </cell>
        </row>
      </sheetData>
      <sheetData sheetId="13025">
        <row r="7">
          <cell r="AI7">
            <v>10000</v>
          </cell>
        </row>
      </sheetData>
      <sheetData sheetId="13026">
        <row r="7">
          <cell r="AI7">
            <v>10000</v>
          </cell>
        </row>
      </sheetData>
      <sheetData sheetId="13027">
        <row r="7">
          <cell r="AI7">
            <v>10000</v>
          </cell>
        </row>
      </sheetData>
      <sheetData sheetId="13028">
        <row r="7">
          <cell r="AI7">
            <v>10000</v>
          </cell>
        </row>
      </sheetData>
      <sheetData sheetId="13029">
        <row r="7">
          <cell r="AI7">
            <v>10000</v>
          </cell>
        </row>
      </sheetData>
      <sheetData sheetId="13030">
        <row r="7">
          <cell r="AI7">
            <v>10000</v>
          </cell>
        </row>
      </sheetData>
      <sheetData sheetId="13031">
        <row r="7">
          <cell r="AI7">
            <v>10000</v>
          </cell>
        </row>
      </sheetData>
      <sheetData sheetId="13032">
        <row r="7">
          <cell r="AI7">
            <v>10000</v>
          </cell>
        </row>
      </sheetData>
      <sheetData sheetId="13033">
        <row r="7">
          <cell r="AI7">
            <v>10000</v>
          </cell>
        </row>
      </sheetData>
      <sheetData sheetId="13034">
        <row r="7">
          <cell r="AI7">
            <v>10000</v>
          </cell>
        </row>
      </sheetData>
      <sheetData sheetId="13035">
        <row r="7">
          <cell r="AI7">
            <v>10000</v>
          </cell>
        </row>
      </sheetData>
      <sheetData sheetId="13036">
        <row r="7">
          <cell r="AI7">
            <v>10000</v>
          </cell>
        </row>
      </sheetData>
      <sheetData sheetId="13037">
        <row r="7">
          <cell r="AI7">
            <v>10000</v>
          </cell>
        </row>
      </sheetData>
      <sheetData sheetId="13038">
        <row r="7">
          <cell r="AI7">
            <v>10000</v>
          </cell>
        </row>
      </sheetData>
      <sheetData sheetId="13039">
        <row r="7">
          <cell r="AI7">
            <v>10000</v>
          </cell>
        </row>
      </sheetData>
      <sheetData sheetId="13040">
        <row r="7">
          <cell r="AI7">
            <v>10000</v>
          </cell>
        </row>
      </sheetData>
      <sheetData sheetId="13041">
        <row r="7">
          <cell r="AI7">
            <v>10000</v>
          </cell>
        </row>
      </sheetData>
      <sheetData sheetId="13042">
        <row r="7">
          <cell r="AI7">
            <v>10000</v>
          </cell>
        </row>
      </sheetData>
      <sheetData sheetId="13043">
        <row r="7">
          <cell r="AI7">
            <v>10000</v>
          </cell>
        </row>
      </sheetData>
      <sheetData sheetId="13044">
        <row r="7">
          <cell r="AI7">
            <v>10000</v>
          </cell>
        </row>
      </sheetData>
      <sheetData sheetId="13045">
        <row r="7">
          <cell r="AI7">
            <v>10000</v>
          </cell>
        </row>
      </sheetData>
      <sheetData sheetId="13046">
        <row r="7">
          <cell r="AI7">
            <v>10000</v>
          </cell>
        </row>
      </sheetData>
      <sheetData sheetId="13047">
        <row r="7">
          <cell r="AI7">
            <v>10000</v>
          </cell>
        </row>
      </sheetData>
      <sheetData sheetId="13048">
        <row r="7">
          <cell r="AI7">
            <v>10000</v>
          </cell>
        </row>
      </sheetData>
      <sheetData sheetId="13049">
        <row r="7">
          <cell r="AI7">
            <v>10000</v>
          </cell>
        </row>
      </sheetData>
      <sheetData sheetId="13050">
        <row r="7">
          <cell r="AI7">
            <v>10000</v>
          </cell>
        </row>
      </sheetData>
      <sheetData sheetId="13051">
        <row r="7">
          <cell r="AI7">
            <v>10000</v>
          </cell>
        </row>
      </sheetData>
      <sheetData sheetId="13052">
        <row r="7">
          <cell r="AI7">
            <v>10000</v>
          </cell>
        </row>
      </sheetData>
      <sheetData sheetId="13053">
        <row r="7">
          <cell r="AI7">
            <v>10000</v>
          </cell>
        </row>
      </sheetData>
      <sheetData sheetId="13054">
        <row r="7">
          <cell r="AI7">
            <v>10000</v>
          </cell>
        </row>
      </sheetData>
      <sheetData sheetId="13055">
        <row r="7">
          <cell r="AI7">
            <v>10000</v>
          </cell>
        </row>
      </sheetData>
      <sheetData sheetId="13056">
        <row r="7">
          <cell r="AI7">
            <v>10000</v>
          </cell>
        </row>
      </sheetData>
      <sheetData sheetId="13057">
        <row r="7">
          <cell r="AI7">
            <v>10000</v>
          </cell>
        </row>
      </sheetData>
      <sheetData sheetId="13058">
        <row r="7">
          <cell r="AI7">
            <v>10000</v>
          </cell>
        </row>
      </sheetData>
      <sheetData sheetId="13059">
        <row r="7">
          <cell r="AI7">
            <v>10000</v>
          </cell>
        </row>
      </sheetData>
      <sheetData sheetId="13060">
        <row r="7">
          <cell r="AI7">
            <v>10000</v>
          </cell>
        </row>
      </sheetData>
      <sheetData sheetId="13061">
        <row r="7">
          <cell r="AI7">
            <v>10000</v>
          </cell>
        </row>
      </sheetData>
      <sheetData sheetId="13062">
        <row r="7">
          <cell r="AI7">
            <v>10000</v>
          </cell>
        </row>
      </sheetData>
      <sheetData sheetId="13063">
        <row r="7">
          <cell r="AI7">
            <v>10000</v>
          </cell>
        </row>
      </sheetData>
      <sheetData sheetId="13064">
        <row r="7">
          <cell r="AI7">
            <v>10000</v>
          </cell>
        </row>
      </sheetData>
      <sheetData sheetId="13065">
        <row r="7">
          <cell r="AI7">
            <v>10000</v>
          </cell>
        </row>
      </sheetData>
      <sheetData sheetId="13066">
        <row r="7">
          <cell r="AI7">
            <v>10000</v>
          </cell>
        </row>
      </sheetData>
      <sheetData sheetId="13067">
        <row r="7">
          <cell r="AI7">
            <v>10000</v>
          </cell>
        </row>
      </sheetData>
      <sheetData sheetId="13068">
        <row r="7">
          <cell r="AI7">
            <v>10000</v>
          </cell>
        </row>
      </sheetData>
      <sheetData sheetId="13069">
        <row r="7">
          <cell r="AI7">
            <v>10000</v>
          </cell>
        </row>
      </sheetData>
      <sheetData sheetId="13070">
        <row r="7">
          <cell r="AI7">
            <v>10000</v>
          </cell>
        </row>
      </sheetData>
      <sheetData sheetId="13071">
        <row r="7">
          <cell r="AI7">
            <v>10000</v>
          </cell>
        </row>
      </sheetData>
      <sheetData sheetId="13072">
        <row r="7">
          <cell r="AI7">
            <v>10000</v>
          </cell>
        </row>
      </sheetData>
      <sheetData sheetId="13073">
        <row r="7">
          <cell r="AI7">
            <v>10000</v>
          </cell>
        </row>
      </sheetData>
      <sheetData sheetId="13074">
        <row r="7">
          <cell r="AI7">
            <v>10000</v>
          </cell>
        </row>
      </sheetData>
      <sheetData sheetId="13075">
        <row r="7">
          <cell r="AI7">
            <v>10000</v>
          </cell>
        </row>
      </sheetData>
      <sheetData sheetId="13076">
        <row r="7">
          <cell r="AI7">
            <v>10000</v>
          </cell>
        </row>
      </sheetData>
      <sheetData sheetId="13077">
        <row r="7">
          <cell r="AI7">
            <v>10000</v>
          </cell>
        </row>
      </sheetData>
      <sheetData sheetId="13078">
        <row r="7">
          <cell r="AI7">
            <v>10000</v>
          </cell>
        </row>
      </sheetData>
      <sheetData sheetId="13079">
        <row r="7">
          <cell r="AI7">
            <v>10000</v>
          </cell>
        </row>
      </sheetData>
      <sheetData sheetId="13080">
        <row r="7">
          <cell r="AI7">
            <v>10000</v>
          </cell>
        </row>
      </sheetData>
      <sheetData sheetId="13081">
        <row r="7">
          <cell r="AI7">
            <v>10000</v>
          </cell>
        </row>
      </sheetData>
      <sheetData sheetId="13082">
        <row r="7">
          <cell r="AI7">
            <v>10000</v>
          </cell>
        </row>
      </sheetData>
      <sheetData sheetId="13083">
        <row r="7">
          <cell r="AI7">
            <v>10000</v>
          </cell>
        </row>
      </sheetData>
      <sheetData sheetId="13084">
        <row r="7">
          <cell r="AI7">
            <v>10000</v>
          </cell>
        </row>
      </sheetData>
      <sheetData sheetId="13085">
        <row r="7">
          <cell r="AI7">
            <v>10000</v>
          </cell>
        </row>
      </sheetData>
      <sheetData sheetId="13086">
        <row r="7">
          <cell r="AI7">
            <v>10000</v>
          </cell>
        </row>
      </sheetData>
      <sheetData sheetId="13087">
        <row r="7">
          <cell r="AI7">
            <v>10000</v>
          </cell>
        </row>
      </sheetData>
      <sheetData sheetId="13088">
        <row r="7">
          <cell r="AI7">
            <v>10000</v>
          </cell>
        </row>
      </sheetData>
      <sheetData sheetId="13089">
        <row r="7">
          <cell r="AI7">
            <v>10000</v>
          </cell>
        </row>
      </sheetData>
      <sheetData sheetId="13090">
        <row r="7">
          <cell r="AI7">
            <v>10000</v>
          </cell>
        </row>
      </sheetData>
      <sheetData sheetId="13091">
        <row r="7">
          <cell r="AI7">
            <v>10000</v>
          </cell>
        </row>
      </sheetData>
      <sheetData sheetId="13092">
        <row r="7">
          <cell r="AI7">
            <v>10000</v>
          </cell>
        </row>
      </sheetData>
      <sheetData sheetId="13093">
        <row r="7">
          <cell r="AI7">
            <v>10000</v>
          </cell>
        </row>
      </sheetData>
      <sheetData sheetId="13094">
        <row r="7">
          <cell r="AI7">
            <v>10000</v>
          </cell>
        </row>
      </sheetData>
      <sheetData sheetId="13095">
        <row r="7">
          <cell r="AI7">
            <v>10000</v>
          </cell>
        </row>
      </sheetData>
      <sheetData sheetId="13096">
        <row r="7">
          <cell r="AI7">
            <v>10000</v>
          </cell>
        </row>
      </sheetData>
      <sheetData sheetId="13097">
        <row r="7">
          <cell r="AI7">
            <v>10000</v>
          </cell>
        </row>
      </sheetData>
      <sheetData sheetId="13098">
        <row r="7">
          <cell r="AI7">
            <v>10000</v>
          </cell>
        </row>
      </sheetData>
      <sheetData sheetId="13099">
        <row r="7">
          <cell r="AI7">
            <v>10000</v>
          </cell>
        </row>
      </sheetData>
      <sheetData sheetId="13100">
        <row r="7">
          <cell r="AI7">
            <v>10000</v>
          </cell>
        </row>
      </sheetData>
      <sheetData sheetId="13101">
        <row r="7">
          <cell r="AI7">
            <v>10000</v>
          </cell>
        </row>
      </sheetData>
      <sheetData sheetId="13102">
        <row r="7">
          <cell r="AI7">
            <v>10000</v>
          </cell>
        </row>
      </sheetData>
      <sheetData sheetId="13103">
        <row r="7">
          <cell r="AI7">
            <v>10000</v>
          </cell>
        </row>
      </sheetData>
      <sheetData sheetId="13104">
        <row r="7">
          <cell r="AI7">
            <v>10000</v>
          </cell>
        </row>
      </sheetData>
      <sheetData sheetId="13105">
        <row r="7">
          <cell r="AI7">
            <v>10000</v>
          </cell>
        </row>
      </sheetData>
      <sheetData sheetId="13106">
        <row r="7">
          <cell r="AI7">
            <v>10000</v>
          </cell>
        </row>
      </sheetData>
      <sheetData sheetId="13107">
        <row r="7">
          <cell r="AI7">
            <v>10000</v>
          </cell>
        </row>
      </sheetData>
      <sheetData sheetId="13108">
        <row r="7">
          <cell r="AI7">
            <v>10000</v>
          </cell>
        </row>
      </sheetData>
      <sheetData sheetId="13109">
        <row r="7">
          <cell r="AI7">
            <v>10000</v>
          </cell>
        </row>
      </sheetData>
      <sheetData sheetId="13110">
        <row r="7">
          <cell r="AI7">
            <v>10000</v>
          </cell>
        </row>
      </sheetData>
      <sheetData sheetId="13111">
        <row r="7">
          <cell r="AI7">
            <v>10000</v>
          </cell>
        </row>
      </sheetData>
      <sheetData sheetId="13112">
        <row r="7">
          <cell r="AI7">
            <v>10000</v>
          </cell>
        </row>
      </sheetData>
      <sheetData sheetId="13113">
        <row r="7">
          <cell r="AI7">
            <v>10000</v>
          </cell>
        </row>
      </sheetData>
      <sheetData sheetId="13114">
        <row r="7">
          <cell r="AI7">
            <v>10000</v>
          </cell>
        </row>
      </sheetData>
      <sheetData sheetId="13115">
        <row r="7">
          <cell r="AI7">
            <v>10000</v>
          </cell>
        </row>
      </sheetData>
      <sheetData sheetId="13116">
        <row r="7">
          <cell r="AI7">
            <v>10000</v>
          </cell>
        </row>
      </sheetData>
      <sheetData sheetId="13117">
        <row r="7">
          <cell r="AI7">
            <v>10000</v>
          </cell>
        </row>
      </sheetData>
      <sheetData sheetId="13118">
        <row r="7">
          <cell r="AI7">
            <v>10000</v>
          </cell>
        </row>
      </sheetData>
      <sheetData sheetId="13119">
        <row r="7">
          <cell r="AI7">
            <v>10000</v>
          </cell>
        </row>
      </sheetData>
      <sheetData sheetId="13120">
        <row r="7">
          <cell r="AI7">
            <v>10000</v>
          </cell>
        </row>
      </sheetData>
      <sheetData sheetId="13121">
        <row r="7">
          <cell r="AI7">
            <v>10000</v>
          </cell>
        </row>
      </sheetData>
      <sheetData sheetId="13122">
        <row r="7">
          <cell r="AI7">
            <v>10000</v>
          </cell>
        </row>
      </sheetData>
      <sheetData sheetId="13123">
        <row r="7">
          <cell r="AI7">
            <v>10000</v>
          </cell>
        </row>
      </sheetData>
      <sheetData sheetId="13124">
        <row r="7">
          <cell r="AI7">
            <v>10000</v>
          </cell>
        </row>
      </sheetData>
      <sheetData sheetId="13125">
        <row r="7">
          <cell r="AI7">
            <v>10000</v>
          </cell>
        </row>
      </sheetData>
      <sheetData sheetId="13126">
        <row r="7">
          <cell r="AI7">
            <v>10000</v>
          </cell>
        </row>
      </sheetData>
      <sheetData sheetId="13127">
        <row r="7">
          <cell r="AI7">
            <v>10000</v>
          </cell>
        </row>
      </sheetData>
      <sheetData sheetId="13128">
        <row r="7">
          <cell r="AI7">
            <v>10000</v>
          </cell>
        </row>
      </sheetData>
      <sheetData sheetId="13129">
        <row r="7">
          <cell r="AI7">
            <v>10000</v>
          </cell>
        </row>
      </sheetData>
      <sheetData sheetId="13130">
        <row r="7">
          <cell r="AI7">
            <v>10000</v>
          </cell>
        </row>
      </sheetData>
      <sheetData sheetId="13131">
        <row r="7">
          <cell r="AI7">
            <v>10000</v>
          </cell>
        </row>
      </sheetData>
      <sheetData sheetId="13132">
        <row r="7">
          <cell r="AI7">
            <v>10000</v>
          </cell>
        </row>
      </sheetData>
      <sheetData sheetId="13133">
        <row r="7">
          <cell r="AI7">
            <v>10000</v>
          </cell>
        </row>
      </sheetData>
      <sheetData sheetId="13134">
        <row r="7">
          <cell r="AI7">
            <v>10000</v>
          </cell>
        </row>
      </sheetData>
      <sheetData sheetId="13135">
        <row r="7">
          <cell r="AI7">
            <v>10000</v>
          </cell>
        </row>
      </sheetData>
      <sheetData sheetId="13136">
        <row r="7">
          <cell r="AI7">
            <v>10000</v>
          </cell>
        </row>
      </sheetData>
      <sheetData sheetId="13137">
        <row r="7">
          <cell r="AI7">
            <v>10000</v>
          </cell>
        </row>
      </sheetData>
      <sheetData sheetId="13138">
        <row r="7">
          <cell r="AI7">
            <v>10000</v>
          </cell>
        </row>
      </sheetData>
      <sheetData sheetId="13139">
        <row r="7">
          <cell r="AI7">
            <v>10000</v>
          </cell>
        </row>
      </sheetData>
      <sheetData sheetId="13140">
        <row r="7">
          <cell r="AI7">
            <v>10000</v>
          </cell>
        </row>
      </sheetData>
      <sheetData sheetId="13141">
        <row r="7">
          <cell r="AI7">
            <v>10000</v>
          </cell>
        </row>
      </sheetData>
      <sheetData sheetId="13142">
        <row r="7">
          <cell r="AI7">
            <v>10000</v>
          </cell>
        </row>
      </sheetData>
      <sheetData sheetId="13143">
        <row r="7">
          <cell r="AI7">
            <v>10000</v>
          </cell>
        </row>
      </sheetData>
      <sheetData sheetId="13144">
        <row r="7">
          <cell r="AI7">
            <v>10000</v>
          </cell>
        </row>
      </sheetData>
      <sheetData sheetId="13145">
        <row r="7">
          <cell r="AI7">
            <v>10000</v>
          </cell>
        </row>
      </sheetData>
      <sheetData sheetId="13146">
        <row r="7">
          <cell r="AI7">
            <v>10000</v>
          </cell>
        </row>
      </sheetData>
      <sheetData sheetId="13147">
        <row r="7">
          <cell r="AI7">
            <v>10000</v>
          </cell>
        </row>
      </sheetData>
      <sheetData sheetId="13148">
        <row r="7">
          <cell r="AI7">
            <v>10000</v>
          </cell>
        </row>
      </sheetData>
      <sheetData sheetId="13149">
        <row r="7">
          <cell r="AI7">
            <v>10000</v>
          </cell>
        </row>
      </sheetData>
      <sheetData sheetId="13150">
        <row r="7">
          <cell r="AI7">
            <v>10000</v>
          </cell>
        </row>
      </sheetData>
      <sheetData sheetId="13151">
        <row r="7">
          <cell r="AI7">
            <v>10000</v>
          </cell>
        </row>
      </sheetData>
      <sheetData sheetId="13152">
        <row r="7">
          <cell r="AI7">
            <v>10000</v>
          </cell>
        </row>
      </sheetData>
      <sheetData sheetId="13153">
        <row r="7">
          <cell r="AI7">
            <v>10000</v>
          </cell>
        </row>
      </sheetData>
      <sheetData sheetId="13154">
        <row r="7">
          <cell r="AI7">
            <v>10000</v>
          </cell>
        </row>
      </sheetData>
      <sheetData sheetId="13155">
        <row r="7">
          <cell r="AI7">
            <v>10000</v>
          </cell>
        </row>
      </sheetData>
      <sheetData sheetId="13156">
        <row r="7">
          <cell r="AI7">
            <v>10000</v>
          </cell>
        </row>
      </sheetData>
      <sheetData sheetId="13157">
        <row r="7">
          <cell r="AI7">
            <v>10000</v>
          </cell>
        </row>
      </sheetData>
      <sheetData sheetId="13158">
        <row r="7">
          <cell r="AI7">
            <v>10000</v>
          </cell>
        </row>
      </sheetData>
      <sheetData sheetId="13159">
        <row r="7">
          <cell r="AI7">
            <v>10000</v>
          </cell>
        </row>
      </sheetData>
      <sheetData sheetId="13160">
        <row r="7">
          <cell r="AI7">
            <v>10000</v>
          </cell>
        </row>
      </sheetData>
      <sheetData sheetId="13161">
        <row r="7">
          <cell r="AI7">
            <v>10000</v>
          </cell>
        </row>
      </sheetData>
      <sheetData sheetId="13162">
        <row r="7">
          <cell r="AI7">
            <v>10000</v>
          </cell>
        </row>
      </sheetData>
      <sheetData sheetId="13163">
        <row r="7">
          <cell r="AI7">
            <v>10000</v>
          </cell>
        </row>
      </sheetData>
      <sheetData sheetId="13164">
        <row r="7">
          <cell r="AI7">
            <v>10000</v>
          </cell>
        </row>
      </sheetData>
      <sheetData sheetId="13165">
        <row r="7">
          <cell r="AI7">
            <v>10000</v>
          </cell>
        </row>
      </sheetData>
      <sheetData sheetId="13166">
        <row r="7">
          <cell r="AI7">
            <v>10000</v>
          </cell>
        </row>
      </sheetData>
      <sheetData sheetId="13167">
        <row r="7">
          <cell r="AI7">
            <v>10000</v>
          </cell>
        </row>
      </sheetData>
      <sheetData sheetId="13168">
        <row r="7">
          <cell r="AI7">
            <v>10000</v>
          </cell>
        </row>
      </sheetData>
      <sheetData sheetId="13169">
        <row r="7">
          <cell r="AI7">
            <v>10000</v>
          </cell>
        </row>
      </sheetData>
      <sheetData sheetId="13170">
        <row r="7">
          <cell r="AI7">
            <v>10000</v>
          </cell>
        </row>
      </sheetData>
      <sheetData sheetId="13171">
        <row r="7">
          <cell r="AI7">
            <v>10000</v>
          </cell>
        </row>
      </sheetData>
      <sheetData sheetId="13172">
        <row r="7">
          <cell r="AI7">
            <v>10000</v>
          </cell>
        </row>
      </sheetData>
      <sheetData sheetId="13173">
        <row r="7">
          <cell r="AI7">
            <v>10000</v>
          </cell>
        </row>
      </sheetData>
      <sheetData sheetId="13174">
        <row r="7">
          <cell r="AI7">
            <v>10000</v>
          </cell>
        </row>
      </sheetData>
      <sheetData sheetId="13175">
        <row r="7">
          <cell r="AI7">
            <v>10000</v>
          </cell>
        </row>
      </sheetData>
      <sheetData sheetId="13176">
        <row r="7">
          <cell r="AI7">
            <v>10000</v>
          </cell>
        </row>
      </sheetData>
      <sheetData sheetId="13177">
        <row r="7">
          <cell r="AI7">
            <v>10000</v>
          </cell>
        </row>
      </sheetData>
      <sheetData sheetId="13178">
        <row r="7">
          <cell r="AI7">
            <v>10000</v>
          </cell>
        </row>
      </sheetData>
      <sheetData sheetId="13179">
        <row r="7">
          <cell r="AI7">
            <v>10000</v>
          </cell>
        </row>
      </sheetData>
      <sheetData sheetId="13180">
        <row r="7">
          <cell r="AI7">
            <v>10000</v>
          </cell>
        </row>
      </sheetData>
      <sheetData sheetId="13181">
        <row r="7">
          <cell r="AI7">
            <v>10000</v>
          </cell>
        </row>
      </sheetData>
      <sheetData sheetId="13182">
        <row r="7">
          <cell r="AI7">
            <v>10000</v>
          </cell>
        </row>
      </sheetData>
      <sheetData sheetId="13183">
        <row r="7">
          <cell r="AI7">
            <v>10000</v>
          </cell>
        </row>
      </sheetData>
      <sheetData sheetId="13184">
        <row r="7">
          <cell r="AI7">
            <v>10000</v>
          </cell>
        </row>
      </sheetData>
      <sheetData sheetId="13185">
        <row r="7">
          <cell r="AI7">
            <v>10000</v>
          </cell>
        </row>
      </sheetData>
      <sheetData sheetId="13186">
        <row r="7">
          <cell r="AI7">
            <v>10000</v>
          </cell>
        </row>
      </sheetData>
      <sheetData sheetId="13187">
        <row r="7">
          <cell r="AI7">
            <v>10000</v>
          </cell>
        </row>
      </sheetData>
      <sheetData sheetId="13188">
        <row r="7">
          <cell r="AI7">
            <v>10000</v>
          </cell>
        </row>
      </sheetData>
      <sheetData sheetId="13189">
        <row r="7">
          <cell r="AI7">
            <v>10000</v>
          </cell>
        </row>
      </sheetData>
      <sheetData sheetId="13190">
        <row r="7">
          <cell r="AI7">
            <v>10000</v>
          </cell>
        </row>
      </sheetData>
      <sheetData sheetId="13191">
        <row r="7">
          <cell r="AI7">
            <v>10000</v>
          </cell>
        </row>
      </sheetData>
      <sheetData sheetId="13192">
        <row r="7">
          <cell r="AI7">
            <v>10000</v>
          </cell>
        </row>
      </sheetData>
      <sheetData sheetId="13193">
        <row r="7">
          <cell r="AI7">
            <v>10000</v>
          </cell>
        </row>
      </sheetData>
      <sheetData sheetId="13194">
        <row r="7">
          <cell r="AI7">
            <v>10000</v>
          </cell>
        </row>
      </sheetData>
      <sheetData sheetId="13195">
        <row r="7">
          <cell r="AI7">
            <v>10000</v>
          </cell>
        </row>
      </sheetData>
      <sheetData sheetId="13196">
        <row r="7">
          <cell r="AI7">
            <v>10000</v>
          </cell>
        </row>
      </sheetData>
      <sheetData sheetId="13197">
        <row r="7">
          <cell r="AI7">
            <v>10000</v>
          </cell>
        </row>
      </sheetData>
      <sheetData sheetId="13198">
        <row r="7">
          <cell r="AI7">
            <v>10000</v>
          </cell>
        </row>
      </sheetData>
      <sheetData sheetId="13199">
        <row r="7">
          <cell r="AI7">
            <v>10000</v>
          </cell>
        </row>
      </sheetData>
      <sheetData sheetId="13200">
        <row r="7">
          <cell r="AI7">
            <v>10000</v>
          </cell>
        </row>
      </sheetData>
      <sheetData sheetId="13201">
        <row r="7">
          <cell r="AI7">
            <v>10000</v>
          </cell>
        </row>
      </sheetData>
      <sheetData sheetId="13202">
        <row r="7">
          <cell r="AI7">
            <v>10000</v>
          </cell>
        </row>
      </sheetData>
      <sheetData sheetId="13203">
        <row r="7">
          <cell r="AI7">
            <v>10000</v>
          </cell>
        </row>
      </sheetData>
      <sheetData sheetId="13204">
        <row r="7">
          <cell r="AI7">
            <v>10000</v>
          </cell>
        </row>
      </sheetData>
      <sheetData sheetId="13205">
        <row r="7">
          <cell r="AI7">
            <v>10000</v>
          </cell>
        </row>
      </sheetData>
      <sheetData sheetId="13206">
        <row r="7">
          <cell r="AI7">
            <v>10000</v>
          </cell>
        </row>
      </sheetData>
      <sheetData sheetId="13207">
        <row r="7">
          <cell r="AI7">
            <v>10000</v>
          </cell>
        </row>
      </sheetData>
      <sheetData sheetId="13208">
        <row r="7">
          <cell r="AI7">
            <v>10000</v>
          </cell>
        </row>
      </sheetData>
      <sheetData sheetId="13209">
        <row r="7">
          <cell r="AI7">
            <v>10000</v>
          </cell>
        </row>
      </sheetData>
      <sheetData sheetId="13210">
        <row r="7">
          <cell r="AI7">
            <v>10000</v>
          </cell>
        </row>
      </sheetData>
      <sheetData sheetId="13211">
        <row r="7">
          <cell r="AI7">
            <v>10000</v>
          </cell>
        </row>
      </sheetData>
      <sheetData sheetId="13212">
        <row r="7">
          <cell r="AI7">
            <v>10000</v>
          </cell>
        </row>
      </sheetData>
      <sheetData sheetId="13213">
        <row r="7">
          <cell r="AI7">
            <v>10000</v>
          </cell>
        </row>
      </sheetData>
      <sheetData sheetId="13214">
        <row r="7">
          <cell r="AI7">
            <v>10000</v>
          </cell>
        </row>
      </sheetData>
      <sheetData sheetId="13215">
        <row r="7">
          <cell r="AI7">
            <v>10000</v>
          </cell>
        </row>
      </sheetData>
      <sheetData sheetId="13216">
        <row r="7">
          <cell r="AI7">
            <v>10000</v>
          </cell>
        </row>
      </sheetData>
      <sheetData sheetId="13217">
        <row r="7">
          <cell r="AI7">
            <v>10000</v>
          </cell>
        </row>
      </sheetData>
      <sheetData sheetId="13218">
        <row r="7">
          <cell r="AI7">
            <v>10000</v>
          </cell>
        </row>
      </sheetData>
      <sheetData sheetId="13219">
        <row r="7">
          <cell r="AI7">
            <v>10000</v>
          </cell>
        </row>
      </sheetData>
      <sheetData sheetId="13220">
        <row r="7">
          <cell r="AI7">
            <v>10000</v>
          </cell>
        </row>
      </sheetData>
      <sheetData sheetId="13221">
        <row r="7">
          <cell r="AI7">
            <v>10000</v>
          </cell>
        </row>
      </sheetData>
      <sheetData sheetId="13222">
        <row r="7">
          <cell r="AI7">
            <v>10000</v>
          </cell>
        </row>
      </sheetData>
      <sheetData sheetId="13223">
        <row r="7">
          <cell r="AI7">
            <v>10000</v>
          </cell>
        </row>
      </sheetData>
      <sheetData sheetId="13224">
        <row r="7">
          <cell r="AI7">
            <v>10000</v>
          </cell>
        </row>
      </sheetData>
      <sheetData sheetId="13225">
        <row r="7">
          <cell r="AI7">
            <v>10000</v>
          </cell>
        </row>
      </sheetData>
      <sheetData sheetId="13226">
        <row r="7">
          <cell r="AI7">
            <v>10000</v>
          </cell>
        </row>
      </sheetData>
      <sheetData sheetId="13227">
        <row r="7">
          <cell r="AI7">
            <v>10000</v>
          </cell>
        </row>
      </sheetData>
      <sheetData sheetId="13228">
        <row r="7">
          <cell r="AI7">
            <v>10000</v>
          </cell>
        </row>
      </sheetData>
      <sheetData sheetId="13229">
        <row r="7">
          <cell r="AI7">
            <v>10000</v>
          </cell>
        </row>
      </sheetData>
      <sheetData sheetId="13230">
        <row r="7">
          <cell r="AI7">
            <v>10000</v>
          </cell>
        </row>
      </sheetData>
      <sheetData sheetId="13231">
        <row r="7">
          <cell r="AI7">
            <v>10000</v>
          </cell>
        </row>
      </sheetData>
      <sheetData sheetId="13232">
        <row r="7">
          <cell r="AI7">
            <v>10000</v>
          </cell>
        </row>
      </sheetData>
      <sheetData sheetId="13233">
        <row r="7">
          <cell r="AI7">
            <v>10000</v>
          </cell>
        </row>
      </sheetData>
      <sheetData sheetId="13234">
        <row r="7">
          <cell r="AI7">
            <v>10000</v>
          </cell>
        </row>
      </sheetData>
      <sheetData sheetId="13235">
        <row r="7">
          <cell r="AI7">
            <v>10000</v>
          </cell>
        </row>
      </sheetData>
      <sheetData sheetId="13236">
        <row r="7">
          <cell r="AI7">
            <v>10000</v>
          </cell>
        </row>
      </sheetData>
      <sheetData sheetId="13237">
        <row r="7">
          <cell r="AI7">
            <v>10000</v>
          </cell>
        </row>
      </sheetData>
      <sheetData sheetId="13238">
        <row r="7">
          <cell r="AI7">
            <v>10000</v>
          </cell>
        </row>
      </sheetData>
      <sheetData sheetId="13239">
        <row r="7">
          <cell r="AI7">
            <v>10000</v>
          </cell>
        </row>
      </sheetData>
      <sheetData sheetId="13240">
        <row r="7">
          <cell r="AI7">
            <v>10000</v>
          </cell>
        </row>
      </sheetData>
      <sheetData sheetId="13241">
        <row r="7">
          <cell r="AI7">
            <v>10000</v>
          </cell>
        </row>
      </sheetData>
      <sheetData sheetId="13242">
        <row r="7">
          <cell r="AI7">
            <v>10000</v>
          </cell>
        </row>
      </sheetData>
      <sheetData sheetId="13243">
        <row r="7">
          <cell r="AI7">
            <v>10000</v>
          </cell>
        </row>
      </sheetData>
      <sheetData sheetId="13244">
        <row r="7">
          <cell r="AI7">
            <v>10000</v>
          </cell>
        </row>
      </sheetData>
      <sheetData sheetId="13245">
        <row r="7">
          <cell r="AI7">
            <v>10000</v>
          </cell>
        </row>
      </sheetData>
      <sheetData sheetId="13246">
        <row r="7">
          <cell r="AI7">
            <v>10000</v>
          </cell>
        </row>
      </sheetData>
      <sheetData sheetId="13247">
        <row r="7">
          <cell r="AI7">
            <v>10000</v>
          </cell>
        </row>
      </sheetData>
      <sheetData sheetId="13248">
        <row r="7">
          <cell r="AI7">
            <v>10000</v>
          </cell>
        </row>
      </sheetData>
      <sheetData sheetId="13249">
        <row r="7">
          <cell r="AI7">
            <v>10000</v>
          </cell>
        </row>
      </sheetData>
      <sheetData sheetId="13250">
        <row r="7">
          <cell r="AI7">
            <v>10000</v>
          </cell>
        </row>
      </sheetData>
      <sheetData sheetId="13251">
        <row r="7">
          <cell r="AI7">
            <v>10000</v>
          </cell>
        </row>
      </sheetData>
      <sheetData sheetId="13252">
        <row r="7">
          <cell r="AI7">
            <v>10000</v>
          </cell>
        </row>
      </sheetData>
      <sheetData sheetId="13253">
        <row r="7">
          <cell r="AI7">
            <v>10000</v>
          </cell>
        </row>
      </sheetData>
      <sheetData sheetId="13254">
        <row r="7">
          <cell r="AI7">
            <v>10000</v>
          </cell>
        </row>
      </sheetData>
      <sheetData sheetId="13255">
        <row r="7">
          <cell r="AI7">
            <v>10000</v>
          </cell>
        </row>
      </sheetData>
      <sheetData sheetId="13256">
        <row r="7">
          <cell r="AI7">
            <v>10000</v>
          </cell>
        </row>
      </sheetData>
      <sheetData sheetId="13257">
        <row r="7">
          <cell r="AI7">
            <v>10000</v>
          </cell>
        </row>
      </sheetData>
      <sheetData sheetId="13258">
        <row r="7">
          <cell r="AI7">
            <v>10000</v>
          </cell>
        </row>
      </sheetData>
      <sheetData sheetId="13259">
        <row r="7">
          <cell r="AI7">
            <v>10000</v>
          </cell>
        </row>
      </sheetData>
      <sheetData sheetId="13260">
        <row r="7">
          <cell r="AI7">
            <v>10000</v>
          </cell>
        </row>
      </sheetData>
      <sheetData sheetId="13261">
        <row r="7">
          <cell r="AI7">
            <v>10000</v>
          </cell>
        </row>
      </sheetData>
      <sheetData sheetId="13262">
        <row r="7">
          <cell r="AI7">
            <v>10000</v>
          </cell>
        </row>
      </sheetData>
      <sheetData sheetId="13263">
        <row r="7">
          <cell r="AI7">
            <v>10000</v>
          </cell>
        </row>
      </sheetData>
      <sheetData sheetId="13264">
        <row r="7">
          <cell r="AI7">
            <v>10000</v>
          </cell>
        </row>
      </sheetData>
      <sheetData sheetId="13265">
        <row r="7">
          <cell r="AI7">
            <v>10000</v>
          </cell>
        </row>
      </sheetData>
      <sheetData sheetId="13266">
        <row r="7">
          <cell r="AI7">
            <v>10000</v>
          </cell>
        </row>
      </sheetData>
      <sheetData sheetId="13267">
        <row r="7">
          <cell r="AI7">
            <v>10000</v>
          </cell>
        </row>
      </sheetData>
      <sheetData sheetId="13268">
        <row r="7">
          <cell r="AI7">
            <v>10000</v>
          </cell>
        </row>
      </sheetData>
      <sheetData sheetId="13269">
        <row r="7">
          <cell r="AI7">
            <v>10000</v>
          </cell>
        </row>
      </sheetData>
      <sheetData sheetId="13270">
        <row r="7">
          <cell r="AI7">
            <v>10000</v>
          </cell>
        </row>
      </sheetData>
      <sheetData sheetId="13271">
        <row r="7">
          <cell r="AI7">
            <v>10000</v>
          </cell>
        </row>
      </sheetData>
      <sheetData sheetId="13272">
        <row r="7">
          <cell r="AI7">
            <v>10000</v>
          </cell>
        </row>
      </sheetData>
      <sheetData sheetId="13273">
        <row r="7">
          <cell r="AI7">
            <v>10000</v>
          </cell>
        </row>
      </sheetData>
      <sheetData sheetId="13274">
        <row r="7">
          <cell r="AI7">
            <v>10000</v>
          </cell>
        </row>
      </sheetData>
      <sheetData sheetId="13275">
        <row r="7">
          <cell r="AI7">
            <v>10000</v>
          </cell>
        </row>
      </sheetData>
      <sheetData sheetId="13276">
        <row r="7">
          <cell r="AI7">
            <v>10000</v>
          </cell>
        </row>
      </sheetData>
      <sheetData sheetId="13277">
        <row r="7">
          <cell r="AI7">
            <v>10000</v>
          </cell>
        </row>
      </sheetData>
      <sheetData sheetId="13278">
        <row r="7">
          <cell r="AI7">
            <v>10000</v>
          </cell>
        </row>
      </sheetData>
      <sheetData sheetId="13279">
        <row r="7">
          <cell r="AI7">
            <v>10000</v>
          </cell>
        </row>
      </sheetData>
      <sheetData sheetId="13280">
        <row r="7">
          <cell r="AI7">
            <v>10000</v>
          </cell>
        </row>
      </sheetData>
      <sheetData sheetId="13281">
        <row r="7">
          <cell r="AI7">
            <v>10000</v>
          </cell>
        </row>
      </sheetData>
      <sheetData sheetId="13282">
        <row r="7">
          <cell r="AI7">
            <v>10000</v>
          </cell>
        </row>
      </sheetData>
      <sheetData sheetId="13283">
        <row r="7">
          <cell r="AI7">
            <v>10000</v>
          </cell>
        </row>
      </sheetData>
      <sheetData sheetId="13284">
        <row r="7">
          <cell r="AI7">
            <v>10000</v>
          </cell>
        </row>
      </sheetData>
      <sheetData sheetId="13285">
        <row r="7">
          <cell r="AI7">
            <v>10000</v>
          </cell>
        </row>
      </sheetData>
      <sheetData sheetId="13286">
        <row r="7">
          <cell r="AI7">
            <v>10000</v>
          </cell>
        </row>
      </sheetData>
      <sheetData sheetId="13287">
        <row r="7">
          <cell r="AI7">
            <v>10000</v>
          </cell>
        </row>
      </sheetData>
      <sheetData sheetId="13288">
        <row r="7">
          <cell r="AI7">
            <v>10000</v>
          </cell>
        </row>
      </sheetData>
      <sheetData sheetId="13289">
        <row r="7">
          <cell r="AI7">
            <v>10000</v>
          </cell>
        </row>
      </sheetData>
      <sheetData sheetId="13290">
        <row r="7">
          <cell r="AI7">
            <v>10000</v>
          </cell>
        </row>
      </sheetData>
      <sheetData sheetId="13291">
        <row r="7">
          <cell r="AI7">
            <v>10000</v>
          </cell>
        </row>
      </sheetData>
      <sheetData sheetId="13292">
        <row r="7">
          <cell r="AI7">
            <v>10000</v>
          </cell>
        </row>
      </sheetData>
      <sheetData sheetId="13293">
        <row r="7">
          <cell r="AI7">
            <v>10000</v>
          </cell>
        </row>
      </sheetData>
      <sheetData sheetId="13294">
        <row r="7">
          <cell r="AI7">
            <v>10000</v>
          </cell>
        </row>
      </sheetData>
      <sheetData sheetId="13295">
        <row r="7">
          <cell r="AI7">
            <v>10000</v>
          </cell>
        </row>
      </sheetData>
      <sheetData sheetId="13296">
        <row r="7">
          <cell r="AI7">
            <v>10000</v>
          </cell>
        </row>
      </sheetData>
      <sheetData sheetId="13297">
        <row r="7">
          <cell r="AI7">
            <v>10000</v>
          </cell>
        </row>
      </sheetData>
      <sheetData sheetId="13298">
        <row r="7">
          <cell r="AI7">
            <v>10000</v>
          </cell>
        </row>
      </sheetData>
      <sheetData sheetId="13299">
        <row r="7">
          <cell r="AI7">
            <v>10000</v>
          </cell>
        </row>
      </sheetData>
      <sheetData sheetId="13300">
        <row r="7">
          <cell r="AI7">
            <v>10000</v>
          </cell>
        </row>
      </sheetData>
      <sheetData sheetId="13301">
        <row r="7">
          <cell r="AI7">
            <v>10000</v>
          </cell>
        </row>
      </sheetData>
      <sheetData sheetId="13302">
        <row r="7">
          <cell r="AI7">
            <v>10000</v>
          </cell>
        </row>
      </sheetData>
      <sheetData sheetId="13303">
        <row r="7">
          <cell r="AI7">
            <v>10000</v>
          </cell>
        </row>
      </sheetData>
      <sheetData sheetId="13304">
        <row r="7">
          <cell r="AI7">
            <v>10000</v>
          </cell>
        </row>
      </sheetData>
      <sheetData sheetId="13305">
        <row r="7">
          <cell r="AI7">
            <v>10000</v>
          </cell>
        </row>
      </sheetData>
      <sheetData sheetId="13306">
        <row r="7">
          <cell r="AI7">
            <v>10000</v>
          </cell>
        </row>
      </sheetData>
      <sheetData sheetId="13307">
        <row r="7">
          <cell r="AI7">
            <v>10000</v>
          </cell>
        </row>
      </sheetData>
      <sheetData sheetId="13308">
        <row r="7">
          <cell r="AI7">
            <v>10000</v>
          </cell>
        </row>
      </sheetData>
      <sheetData sheetId="13309">
        <row r="7">
          <cell r="AI7">
            <v>10000</v>
          </cell>
        </row>
      </sheetData>
      <sheetData sheetId="13310">
        <row r="7">
          <cell r="AI7">
            <v>10000</v>
          </cell>
        </row>
      </sheetData>
      <sheetData sheetId="13311">
        <row r="7">
          <cell r="AI7">
            <v>10000</v>
          </cell>
        </row>
      </sheetData>
      <sheetData sheetId="13312">
        <row r="7">
          <cell r="AI7">
            <v>10000</v>
          </cell>
        </row>
      </sheetData>
      <sheetData sheetId="13313">
        <row r="7">
          <cell r="AI7">
            <v>10000</v>
          </cell>
        </row>
      </sheetData>
      <sheetData sheetId="13314">
        <row r="7">
          <cell r="AI7">
            <v>10000</v>
          </cell>
        </row>
      </sheetData>
      <sheetData sheetId="13315">
        <row r="7">
          <cell r="AI7">
            <v>10000</v>
          </cell>
        </row>
      </sheetData>
      <sheetData sheetId="13316">
        <row r="7">
          <cell r="AI7">
            <v>10000</v>
          </cell>
        </row>
      </sheetData>
      <sheetData sheetId="13317">
        <row r="7">
          <cell r="AI7">
            <v>10000</v>
          </cell>
        </row>
      </sheetData>
      <sheetData sheetId="13318">
        <row r="7">
          <cell r="AI7">
            <v>10000</v>
          </cell>
        </row>
      </sheetData>
      <sheetData sheetId="13319">
        <row r="7">
          <cell r="AI7">
            <v>10000</v>
          </cell>
        </row>
      </sheetData>
      <sheetData sheetId="13320">
        <row r="7">
          <cell r="AI7">
            <v>10000</v>
          </cell>
        </row>
      </sheetData>
      <sheetData sheetId="13321">
        <row r="7">
          <cell r="AI7">
            <v>10000</v>
          </cell>
        </row>
      </sheetData>
      <sheetData sheetId="13322">
        <row r="7">
          <cell r="AI7">
            <v>10000</v>
          </cell>
        </row>
      </sheetData>
      <sheetData sheetId="13323">
        <row r="7">
          <cell r="AI7">
            <v>10000</v>
          </cell>
        </row>
      </sheetData>
      <sheetData sheetId="13324">
        <row r="7">
          <cell r="AI7">
            <v>10000</v>
          </cell>
        </row>
      </sheetData>
      <sheetData sheetId="13325">
        <row r="7">
          <cell r="AI7">
            <v>10000</v>
          </cell>
        </row>
      </sheetData>
      <sheetData sheetId="13326">
        <row r="7">
          <cell r="AI7">
            <v>10000</v>
          </cell>
        </row>
      </sheetData>
      <sheetData sheetId="13327">
        <row r="7">
          <cell r="AI7">
            <v>10000</v>
          </cell>
        </row>
      </sheetData>
      <sheetData sheetId="13328">
        <row r="7">
          <cell r="AI7">
            <v>10000</v>
          </cell>
        </row>
      </sheetData>
      <sheetData sheetId="13329">
        <row r="7">
          <cell r="AI7">
            <v>10000</v>
          </cell>
        </row>
      </sheetData>
      <sheetData sheetId="13330">
        <row r="7">
          <cell r="AI7">
            <v>10000</v>
          </cell>
        </row>
      </sheetData>
      <sheetData sheetId="13331">
        <row r="7">
          <cell r="AI7">
            <v>10000</v>
          </cell>
        </row>
      </sheetData>
      <sheetData sheetId="13332">
        <row r="7">
          <cell r="AI7">
            <v>10000</v>
          </cell>
        </row>
      </sheetData>
      <sheetData sheetId="13333">
        <row r="7">
          <cell r="AI7">
            <v>10000</v>
          </cell>
        </row>
      </sheetData>
      <sheetData sheetId="13334">
        <row r="7">
          <cell r="AI7">
            <v>10000</v>
          </cell>
        </row>
      </sheetData>
      <sheetData sheetId="13335">
        <row r="7">
          <cell r="AI7">
            <v>10000</v>
          </cell>
        </row>
      </sheetData>
      <sheetData sheetId="13336">
        <row r="7">
          <cell r="AI7">
            <v>10000</v>
          </cell>
        </row>
      </sheetData>
      <sheetData sheetId="13337">
        <row r="7">
          <cell r="AI7">
            <v>10000</v>
          </cell>
        </row>
      </sheetData>
      <sheetData sheetId="13338">
        <row r="7">
          <cell r="AI7">
            <v>10000</v>
          </cell>
        </row>
      </sheetData>
      <sheetData sheetId="13339">
        <row r="7">
          <cell r="AI7">
            <v>10000</v>
          </cell>
        </row>
      </sheetData>
      <sheetData sheetId="13340">
        <row r="7">
          <cell r="AI7">
            <v>10000</v>
          </cell>
        </row>
      </sheetData>
      <sheetData sheetId="13341">
        <row r="7">
          <cell r="AI7">
            <v>10000</v>
          </cell>
        </row>
      </sheetData>
      <sheetData sheetId="13342">
        <row r="7">
          <cell r="AI7">
            <v>10000</v>
          </cell>
        </row>
      </sheetData>
      <sheetData sheetId="13343">
        <row r="7">
          <cell r="AI7">
            <v>10000</v>
          </cell>
        </row>
      </sheetData>
      <sheetData sheetId="13344">
        <row r="7">
          <cell r="AI7">
            <v>10000</v>
          </cell>
        </row>
      </sheetData>
      <sheetData sheetId="13345">
        <row r="7">
          <cell r="AI7">
            <v>10000</v>
          </cell>
        </row>
      </sheetData>
      <sheetData sheetId="13346">
        <row r="7">
          <cell r="AI7">
            <v>10000</v>
          </cell>
        </row>
      </sheetData>
      <sheetData sheetId="13347">
        <row r="7">
          <cell r="AI7">
            <v>10000</v>
          </cell>
        </row>
      </sheetData>
      <sheetData sheetId="13348">
        <row r="7">
          <cell r="AI7">
            <v>10000</v>
          </cell>
        </row>
      </sheetData>
      <sheetData sheetId="13349">
        <row r="7">
          <cell r="AI7">
            <v>10000</v>
          </cell>
        </row>
      </sheetData>
      <sheetData sheetId="13350">
        <row r="7">
          <cell r="AI7">
            <v>10000</v>
          </cell>
        </row>
      </sheetData>
      <sheetData sheetId="13351">
        <row r="7">
          <cell r="AI7">
            <v>10000</v>
          </cell>
        </row>
      </sheetData>
      <sheetData sheetId="13352">
        <row r="7">
          <cell r="AI7">
            <v>10000</v>
          </cell>
        </row>
      </sheetData>
      <sheetData sheetId="13353">
        <row r="7">
          <cell r="AI7">
            <v>10000</v>
          </cell>
        </row>
      </sheetData>
      <sheetData sheetId="13354">
        <row r="7">
          <cell r="AI7">
            <v>10000</v>
          </cell>
        </row>
      </sheetData>
      <sheetData sheetId="13355">
        <row r="7">
          <cell r="AI7">
            <v>10000</v>
          </cell>
        </row>
      </sheetData>
      <sheetData sheetId="13356">
        <row r="7">
          <cell r="AI7">
            <v>10000</v>
          </cell>
        </row>
      </sheetData>
      <sheetData sheetId="13357">
        <row r="7">
          <cell r="AI7">
            <v>10000</v>
          </cell>
        </row>
      </sheetData>
      <sheetData sheetId="13358">
        <row r="7">
          <cell r="AI7">
            <v>10000</v>
          </cell>
        </row>
      </sheetData>
      <sheetData sheetId="13359">
        <row r="7">
          <cell r="AI7">
            <v>10000</v>
          </cell>
        </row>
      </sheetData>
      <sheetData sheetId="13360">
        <row r="7">
          <cell r="AI7">
            <v>10000</v>
          </cell>
        </row>
      </sheetData>
      <sheetData sheetId="13361">
        <row r="7">
          <cell r="AI7">
            <v>10000</v>
          </cell>
        </row>
      </sheetData>
      <sheetData sheetId="13362">
        <row r="7">
          <cell r="AI7">
            <v>10000</v>
          </cell>
        </row>
      </sheetData>
      <sheetData sheetId="13363">
        <row r="7">
          <cell r="AI7">
            <v>10000</v>
          </cell>
        </row>
      </sheetData>
      <sheetData sheetId="13364">
        <row r="7">
          <cell r="AI7">
            <v>10000</v>
          </cell>
        </row>
      </sheetData>
      <sheetData sheetId="13365">
        <row r="7">
          <cell r="AI7">
            <v>10000</v>
          </cell>
        </row>
      </sheetData>
      <sheetData sheetId="13366">
        <row r="7">
          <cell r="AI7">
            <v>10000</v>
          </cell>
        </row>
      </sheetData>
      <sheetData sheetId="13367">
        <row r="7">
          <cell r="AI7">
            <v>10000</v>
          </cell>
        </row>
      </sheetData>
      <sheetData sheetId="13368">
        <row r="7">
          <cell r="AI7">
            <v>10000</v>
          </cell>
        </row>
      </sheetData>
      <sheetData sheetId="13369">
        <row r="7">
          <cell r="AI7">
            <v>10000</v>
          </cell>
        </row>
      </sheetData>
      <sheetData sheetId="13370">
        <row r="7">
          <cell r="AI7">
            <v>10000</v>
          </cell>
        </row>
      </sheetData>
      <sheetData sheetId="13371">
        <row r="7">
          <cell r="AI7">
            <v>10000</v>
          </cell>
        </row>
      </sheetData>
      <sheetData sheetId="13372">
        <row r="7">
          <cell r="AI7">
            <v>10000</v>
          </cell>
        </row>
      </sheetData>
      <sheetData sheetId="13373">
        <row r="7">
          <cell r="AI7">
            <v>10000</v>
          </cell>
        </row>
      </sheetData>
      <sheetData sheetId="13374">
        <row r="7">
          <cell r="AI7">
            <v>10000</v>
          </cell>
        </row>
      </sheetData>
      <sheetData sheetId="13375">
        <row r="7">
          <cell r="AI7">
            <v>10000</v>
          </cell>
        </row>
      </sheetData>
      <sheetData sheetId="13376">
        <row r="7">
          <cell r="AI7">
            <v>10000</v>
          </cell>
        </row>
      </sheetData>
      <sheetData sheetId="13377">
        <row r="7">
          <cell r="AI7">
            <v>10000</v>
          </cell>
        </row>
      </sheetData>
      <sheetData sheetId="13378">
        <row r="7">
          <cell r="AI7">
            <v>10000</v>
          </cell>
        </row>
      </sheetData>
      <sheetData sheetId="13379">
        <row r="7">
          <cell r="AI7">
            <v>10000</v>
          </cell>
        </row>
      </sheetData>
      <sheetData sheetId="13380">
        <row r="7">
          <cell r="AI7">
            <v>10000</v>
          </cell>
        </row>
      </sheetData>
      <sheetData sheetId="13381">
        <row r="7">
          <cell r="AI7">
            <v>10000</v>
          </cell>
        </row>
      </sheetData>
      <sheetData sheetId="13382">
        <row r="7">
          <cell r="AI7">
            <v>10000</v>
          </cell>
        </row>
      </sheetData>
      <sheetData sheetId="13383">
        <row r="7">
          <cell r="AI7">
            <v>10000</v>
          </cell>
        </row>
      </sheetData>
      <sheetData sheetId="13384">
        <row r="7">
          <cell r="AI7">
            <v>10000</v>
          </cell>
        </row>
      </sheetData>
      <sheetData sheetId="13385">
        <row r="7">
          <cell r="AI7">
            <v>10000</v>
          </cell>
        </row>
      </sheetData>
      <sheetData sheetId="13386">
        <row r="7">
          <cell r="AI7">
            <v>10000</v>
          </cell>
        </row>
      </sheetData>
      <sheetData sheetId="13387">
        <row r="7">
          <cell r="AI7">
            <v>10000</v>
          </cell>
        </row>
      </sheetData>
      <sheetData sheetId="13388">
        <row r="7">
          <cell r="AI7">
            <v>10000</v>
          </cell>
        </row>
      </sheetData>
      <sheetData sheetId="13389">
        <row r="7">
          <cell r="AI7">
            <v>10000</v>
          </cell>
        </row>
      </sheetData>
      <sheetData sheetId="13390">
        <row r="7">
          <cell r="AI7">
            <v>10000</v>
          </cell>
        </row>
      </sheetData>
      <sheetData sheetId="13391">
        <row r="7">
          <cell r="AI7">
            <v>10000</v>
          </cell>
        </row>
      </sheetData>
      <sheetData sheetId="13392">
        <row r="7">
          <cell r="AI7">
            <v>10000</v>
          </cell>
        </row>
      </sheetData>
      <sheetData sheetId="13393">
        <row r="7">
          <cell r="AI7">
            <v>10000</v>
          </cell>
        </row>
      </sheetData>
      <sheetData sheetId="13394">
        <row r="7">
          <cell r="AI7">
            <v>10000</v>
          </cell>
        </row>
      </sheetData>
      <sheetData sheetId="13395">
        <row r="7">
          <cell r="AI7">
            <v>10000</v>
          </cell>
        </row>
      </sheetData>
      <sheetData sheetId="13396">
        <row r="7">
          <cell r="AI7">
            <v>10000</v>
          </cell>
        </row>
      </sheetData>
      <sheetData sheetId="13397">
        <row r="7">
          <cell r="AI7">
            <v>10000</v>
          </cell>
        </row>
      </sheetData>
      <sheetData sheetId="13398">
        <row r="7">
          <cell r="AI7">
            <v>10000</v>
          </cell>
        </row>
      </sheetData>
      <sheetData sheetId="13399">
        <row r="7">
          <cell r="AI7">
            <v>10000</v>
          </cell>
        </row>
      </sheetData>
      <sheetData sheetId="13400">
        <row r="7">
          <cell r="AI7">
            <v>10000</v>
          </cell>
        </row>
      </sheetData>
      <sheetData sheetId="13401">
        <row r="7">
          <cell r="AI7">
            <v>10000</v>
          </cell>
        </row>
      </sheetData>
      <sheetData sheetId="13402">
        <row r="7">
          <cell r="AI7">
            <v>10000</v>
          </cell>
        </row>
      </sheetData>
      <sheetData sheetId="13403">
        <row r="7">
          <cell r="AI7">
            <v>10000</v>
          </cell>
        </row>
      </sheetData>
      <sheetData sheetId="13404">
        <row r="7">
          <cell r="AI7">
            <v>10000</v>
          </cell>
        </row>
      </sheetData>
      <sheetData sheetId="13405">
        <row r="7">
          <cell r="AI7">
            <v>10000</v>
          </cell>
        </row>
      </sheetData>
      <sheetData sheetId="13406">
        <row r="7">
          <cell r="AI7">
            <v>10000</v>
          </cell>
        </row>
      </sheetData>
      <sheetData sheetId="13407">
        <row r="7">
          <cell r="AI7">
            <v>10000</v>
          </cell>
        </row>
      </sheetData>
      <sheetData sheetId="13408">
        <row r="7">
          <cell r="AI7">
            <v>10000</v>
          </cell>
        </row>
      </sheetData>
      <sheetData sheetId="13409">
        <row r="7">
          <cell r="AI7">
            <v>10000</v>
          </cell>
        </row>
      </sheetData>
      <sheetData sheetId="13410">
        <row r="7">
          <cell r="AI7">
            <v>10000</v>
          </cell>
        </row>
      </sheetData>
      <sheetData sheetId="13411">
        <row r="7">
          <cell r="AI7">
            <v>10000</v>
          </cell>
        </row>
      </sheetData>
      <sheetData sheetId="13412">
        <row r="7">
          <cell r="AI7">
            <v>10000</v>
          </cell>
        </row>
      </sheetData>
      <sheetData sheetId="13413">
        <row r="7">
          <cell r="AI7">
            <v>10000</v>
          </cell>
        </row>
      </sheetData>
      <sheetData sheetId="13414">
        <row r="7">
          <cell r="AI7">
            <v>10000</v>
          </cell>
        </row>
      </sheetData>
      <sheetData sheetId="13415">
        <row r="7">
          <cell r="AI7">
            <v>10000</v>
          </cell>
        </row>
      </sheetData>
      <sheetData sheetId="13416">
        <row r="7">
          <cell r="AI7">
            <v>10000</v>
          </cell>
        </row>
      </sheetData>
      <sheetData sheetId="13417">
        <row r="7">
          <cell r="AI7">
            <v>10000</v>
          </cell>
        </row>
      </sheetData>
      <sheetData sheetId="13418">
        <row r="7">
          <cell r="AI7">
            <v>10000</v>
          </cell>
        </row>
      </sheetData>
      <sheetData sheetId="13419">
        <row r="7">
          <cell r="AI7">
            <v>10000</v>
          </cell>
        </row>
      </sheetData>
      <sheetData sheetId="13420">
        <row r="7">
          <cell r="AI7">
            <v>10000</v>
          </cell>
        </row>
      </sheetData>
      <sheetData sheetId="13421">
        <row r="7">
          <cell r="AI7">
            <v>10000</v>
          </cell>
        </row>
      </sheetData>
      <sheetData sheetId="13422">
        <row r="7">
          <cell r="AI7">
            <v>10000</v>
          </cell>
        </row>
      </sheetData>
      <sheetData sheetId="13423">
        <row r="7">
          <cell r="AI7">
            <v>10000</v>
          </cell>
        </row>
      </sheetData>
      <sheetData sheetId="13424">
        <row r="7">
          <cell r="AI7">
            <v>10000</v>
          </cell>
        </row>
      </sheetData>
      <sheetData sheetId="13425">
        <row r="7">
          <cell r="AI7">
            <v>10000</v>
          </cell>
        </row>
      </sheetData>
      <sheetData sheetId="13426">
        <row r="7">
          <cell r="AI7">
            <v>10000</v>
          </cell>
        </row>
      </sheetData>
      <sheetData sheetId="13427">
        <row r="7">
          <cell r="AI7">
            <v>10000</v>
          </cell>
        </row>
      </sheetData>
      <sheetData sheetId="13428">
        <row r="7">
          <cell r="AI7">
            <v>10000</v>
          </cell>
        </row>
      </sheetData>
      <sheetData sheetId="13429">
        <row r="7">
          <cell r="AI7">
            <v>10000</v>
          </cell>
        </row>
      </sheetData>
      <sheetData sheetId="13430">
        <row r="7">
          <cell r="AI7">
            <v>10000</v>
          </cell>
        </row>
      </sheetData>
      <sheetData sheetId="13431">
        <row r="7">
          <cell r="AI7">
            <v>10000</v>
          </cell>
        </row>
      </sheetData>
      <sheetData sheetId="13432">
        <row r="7">
          <cell r="AI7">
            <v>10000</v>
          </cell>
        </row>
      </sheetData>
      <sheetData sheetId="13433">
        <row r="7">
          <cell r="AI7">
            <v>10000</v>
          </cell>
        </row>
      </sheetData>
      <sheetData sheetId="13434">
        <row r="7">
          <cell r="AI7">
            <v>10000</v>
          </cell>
        </row>
      </sheetData>
      <sheetData sheetId="13435">
        <row r="7">
          <cell r="AI7">
            <v>10000</v>
          </cell>
        </row>
      </sheetData>
      <sheetData sheetId="13436">
        <row r="7">
          <cell r="AI7">
            <v>10000</v>
          </cell>
        </row>
      </sheetData>
      <sheetData sheetId="13437">
        <row r="7">
          <cell r="AI7">
            <v>10000</v>
          </cell>
        </row>
      </sheetData>
      <sheetData sheetId="13438">
        <row r="7">
          <cell r="AI7">
            <v>10000</v>
          </cell>
        </row>
      </sheetData>
      <sheetData sheetId="13439">
        <row r="7">
          <cell r="AI7">
            <v>10000</v>
          </cell>
        </row>
      </sheetData>
      <sheetData sheetId="13440">
        <row r="7">
          <cell r="AI7">
            <v>10000</v>
          </cell>
        </row>
      </sheetData>
      <sheetData sheetId="13441">
        <row r="7">
          <cell r="AI7">
            <v>10000</v>
          </cell>
        </row>
      </sheetData>
      <sheetData sheetId="13442">
        <row r="7">
          <cell r="AI7">
            <v>10000</v>
          </cell>
        </row>
      </sheetData>
      <sheetData sheetId="13443">
        <row r="7">
          <cell r="AI7">
            <v>10000</v>
          </cell>
        </row>
      </sheetData>
      <sheetData sheetId="13444">
        <row r="7">
          <cell r="AI7">
            <v>10000</v>
          </cell>
        </row>
      </sheetData>
      <sheetData sheetId="13445">
        <row r="7">
          <cell r="AI7">
            <v>10000</v>
          </cell>
        </row>
      </sheetData>
      <sheetData sheetId="13446">
        <row r="7">
          <cell r="AI7">
            <v>10000</v>
          </cell>
        </row>
      </sheetData>
      <sheetData sheetId="13447">
        <row r="7">
          <cell r="AI7">
            <v>10000</v>
          </cell>
        </row>
      </sheetData>
      <sheetData sheetId="13448">
        <row r="7">
          <cell r="AI7">
            <v>10000</v>
          </cell>
        </row>
      </sheetData>
      <sheetData sheetId="13449">
        <row r="7">
          <cell r="AI7">
            <v>10000</v>
          </cell>
        </row>
      </sheetData>
      <sheetData sheetId="13450">
        <row r="7">
          <cell r="AI7">
            <v>10000</v>
          </cell>
        </row>
      </sheetData>
      <sheetData sheetId="13451">
        <row r="7">
          <cell r="AI7">
            <v>10000</v>
          </cell>
        </row>
      </sheetData>
      <sheetData sheetId="13452">
        <row r="7">
          <cell r="AI7">
            <v>10000</v>
          </cell>
        </row>
      </sheetData>
      <sheetData sheetId="13453">
        <row r="7">
          <cell r="AI7">
            <v>10000</v>
          </cell>
        </row>
      </sheetData>
      <sheetData sheetId="13454">
        <row r="7">
          <cell r="AI7">
            <v>10000</v>
          </cell>
        </row>
      </sheetData>
      <sheetData sheetId="13455">
        <row r="7">
          <cell r="AI7">
            <v>10000</v>
          </cell>
        </row>
      </sheetData>
      <sheetData sheetId="13456">
        <row r="7">
          <cell r="AI7">
            <v>10000</v>
          </cell>
        </row>
      </sheetData>
      <sheetData sheetId="13457">
        <row r="7">
          <cell r="AI7">
            <v>10000</v>
          </cell>
        </row>
      </sheetData>
      <sheetData sheetId="13458">
        <row r="7">
          <cell r="AI7">
            <v>10000</v>
          </cell>
        </row>
      </sheetData>
      <sheetData sheetId="13459">
        <row r="7">
          <cell r="AI7">
            <v>10000</v>
          </cell>
        </row>
      </sheetData>
      <sheetData sheetId="13460">
        <row r="7">
          <cell r="AI7">
            <v>10000</v>
          </cell>
        </row>
      </sheetData>
      <sheetData sheetId="13461">
        <row r="7">
          <cell r="AI7">
            <v>10000</v>
          </cell>
        </row>
      </sheetData>
      <sheetData sheetId="13462">
        <row r="7">
          <cell r="AI7">
            <v>10000</v>
          </cell>
        </row>
      </sheetData>
      <sheetData sheetId="13463">
        <row r="7">
          <cell r="AI7">
            <v>10000</v>
          </cell>
        </row>
      </sheetData>
      <sheetData sheetId="13464">
        <row r="7">
          <cell r="AI7">
            <v>10000</v>
          </cell>
        </row>
      </sheetData>
      <sheetData sheetId="13465">
        <row r="7">
          <cell r="AI7">
            <v>10000</v>
          </cell>
        </row>
      </sheetData>
      <sheetData sheetId="13466">
        <row r="7">
          <cell r="AI7">
            <v>10000</v>
          </cell>
        </row>
      </sheetData>
      <sheetData sheetId="13467">
        <row r="7">
          <cell r="AI7">
            <v>10000</v>
          </cell>
        </row>
      </sheetData>
      <sheetData sheetId="13468">
        <row r="7">
          <cell r="AI7">
            <v>10000</v>
          </cell>
        </row>
      </sheetData>
      <sheetData sheetId="13469">
        <row r="7">
          <cell r="AI7">
            <v>10000</v>
          </cell>
        </row>
      </sheetData>
      <sheetData sheetId="13470">
        <row r="7">
          <cell r="AI7">
            <v>10000</v>
          </cell>
        </row>
      </sheetData>
      <sheetData sheetId="13471">
        <row r="7">
          <cell r="AI7">
            <v>10000</v>
          </cell>
        </row>
      </sheetData>
      <sheetData sheetId="13472">
        <row r="7">
          <cell r="AI7">
            <v>10000</v>
          </cell>
        </row>
      </sheetData>
      <sheetData sheetId="13473">
        <row r="7">
          <cell r="AI7">
            <v>10000</v>
          </cell>
        </row>
      </sheetData>
      <sheetData sheetId="13474">
        <row r="7">
          <cell r="AI7">
            <v>10000</v>
          </cell>
        </row>
      </sheetData>
      <sheetData sheetId="13475">
        <row r="7">
          <cell r="AI7">
            <v>10000</v>
          </cell>
        </row>
      </sheetData>
      <sheetData sheetId="13476">
        <row r="7">
          <cell r="AI7">
            <v>10000</v>
          </cell>
        </row>
      </sheetData>
      <sheetData sheetId="13477">
        <row r="7">
          <cell r="AI7">
            <v>10000</v>
          </cell>
        </row>
      </sheetData>
      <sheetData sheetId="13478">
        <row r="7">
          <cell r="AI7">
            <v>10000</v>
          </cell>
        </row>
      </sheetData>
      <sheetData sheetId="13479">
        <row r="7">
          <cell r="AI7">
            <v>10000</v>
          </cell>
        </row>
      </sheetData>
      <sheetData sheetId="13480">
        <row r="7">
          <cell r="AI7">
            <v>10000</v>
          </cell>
        </row>
      </sheetData>
      <sheetData sheetId="13481">
        <row r="7">
          <cell r="AI7">
            <v>10000</v>
          </cell>
        </row>
      </sheetData>
      <sheetData sheetId="13482">
        <row r="7">
          <cell r="AI7">
            <v>10000</v>
          </cell>
        </row>
      </sheetData>
      <sheetData sheetId="13483">
        <row r="7">
          <cell r="AI7">
            <v>10000</v>
          </cell>
        </row>
      </sheetData>
      <sheetData sheetId="13484">
        <row r="7">
          <cell r="AI7">
            <v>10000</v>
          </cell>
        </row>
      </sheetData>
      <sheetData sheetId="13485">
        <row r="7">
          <cell r="AI7">
            <v>10000</v>
          </cell>
        </row>
      </sheetData>
      <sheetData sheetId="13486">
        <row r="7">
          <cell r="AI7">
            <v>10000</v>
          </cell>
        </row>
      </sheetData>
      <sheetData sheetId="13487">
        <row r="7">
          <cell r="AI7">
            <v>10000</v>
          </cell>
        </row>
      </sheetData>
      <sheetData sheetId="13488">
        <row r="7">
          <cell r="AI7">
            <v>10000</v>
          </cell>
        </row>
      </sheetData>
      <sheetData sheetId="13489">
        <row r="7">
          <cell r="AI7">
            <v>10000</v>
          </cell>
        </row>
      </sheetData>
      <sheetData sheetId="13490">
        <row r="7">
          <cell r="AI7">
            <v>10000</v>
          </cell>
        </row>
      </sheetData>
      <sheetData sheetId="13491">
        <row r="7">
          <cell r="AI7">
            <v>10000</v>
          </cell>
        </row>
      </sheetData>
      <sheetData sheetId="13492">
        <row r="7">
          <cell r="AI7">
            <v>10000</v>
          </cell>
        </row>
      </sheetData>
      <sheetData sheetId="13493">
        <row r="7">
          <cell r="AI7">
            <v>10000</v>
          </cell>
        </row>
      </sheetData>
      <sheetData sheetId="13494">
        <row r="7">
          <cell r="AI7">
            <v>10000</v>
          </cell>
        </row>
      </sheetData>
      <sheetData sheetId="13495">
        <row r="7">
          <cell r="AI7">
            <v>10000</v>
          </cell>
        </row>
      </sheetData>
      <sheetData sheetId="13496">
        <row r="7">
          <cell r="AI7">
            <v>10000</v>
          </cell>
        </row>
      </sheetData>
      <sheetData sheetId="13497">
        <row r="7">
          <cell r="AI7">
            <v>10000</v>
          </cell>
        </row>
      </sheetData>
      <sheetData sheetId="13498">
        <row r="7">
          <cell r="AI7">
            <v>10000</v>
          </cell>
        </row>
      </sheetData>
      <sheetData sheetId="13499">
        <row r="7">
          <cell r="AI7">
            <v>10000</v>
          </cell>
        </row>
      </sheetData>
      <sheetData sheetId="13500">
        <row r="7">
          <cell r="AI7">
            <v>10000</v>
          </cell>
        </row>
      </sheetData>
      <sheetData sheetId="13501">
        <row r="7">
          <cell r="AI7">
            <v>10000</v>
          </cell>
        </row>
      </sheetData>
      <sheetData sheetId="13502">
        <row r="7">
          <cell r="AI7">
            <v>10000</v>
          </cell>
        </row>
      </sheetData>
      <sheetData sheetId="13503">
        <row r="7">
          <cell r="AI7">
            <v>10000</v>
          </cell>
        </row>
      </sheetData>
      <sheetData sheetId="13504">
        <row r="7">
          <cell r="AI7">
            <v>10000</v>
          </cell>
        </row>
      </sheetData>
      <sheetData sheetId="13505">
        <row r="7">
          <cell r="AI7">
            <v>10000</v>
          </cell>
        </row>
      </sheetData>
      <sheetData sheetId="13506">
        <row r="7">
          <cell r="AI7">
            <v>10000</v>
          </cell>
        </row>
      </sheetData>
      <sheetData sheetId="13507">
        <row r="7">
          <cell r="AI7">
            <v>10000</v>
          </cell>
        </row>
      </sheetData>
      <sheetData sheetId="13508">
        <row r="7">
          <cell r="AI7">
            <v>10000</v>
          </cell>
        </row>
      </sheetData>
      <sheetData sheetId="13509">
        <row r="7">
          <cell r="AI7">
            <v>10000</v>
          </cell>
        </row>
      </sheetData>
      <sheetData sheetId="13510">
        <row r="7">
          <cell r="AI7">
            <v>10000</v>
          </cell>
        </row>
      </sheetData>
      <sheetData sheetId="13511">
        <row r="7">
          <cell r="AI7">
            <v>10000</v>
          </cell>
        </row>
      </sheetData>
      <sheetData sheetId="13512">
        <row r="7">
          <cell r="AI7">
            <v>10000</v>
          </cell>
        </row>
      </sheetData>
      <sheetData sheetId="13513">
        <row r="7">
          <cell r="AI7">
            <v>10000</v>
          </cell>
        </row>
      </sheetData>
      <sheetData sheetId="13514">
        <row r="7">
          <cell r="AI7">
            <v>10000</v>
          </cell>
        </row>
      </sheetData>
      <sheetData sheetId="13515">
        <row r="7">
          <cell r="AI7">
            <v>10000</v>
          </cell>
        </row>
      </sheetData>
      <sheetData sheetId="13516">
        <row r="7">
          <cell r="AI7">
            <v>10000</v>
          </cell>
        </row>
      </sheetData>
      <sheetData sheetId="13517">
        <row r="7">
          <cell r="AI7">
            <v>10000</v>
          </cell>
        </row>
      </sheetData>
      <sheetData sheetId="13518">
        <row r="7">
          <cell r="AI7">
            <v>10000</v>
          </cell>
        </row>
      </sheetData>
      <sheetData sheetId="13519">
        <row r="7">
          <cell r="AI7">
            <v>10000</v>
          </cell>
        </row>
      </sheetData>
      <sheetData sheetId="13520">
        <row r="7">
          <cell r="AI7">
            <v>10000</v>
          </cell>
        </row>
      </sheetData>
      <sheetData sheetId="13521">
        <row r="7">
          <cell r="AI7">
            <v>10000</v>
          </cell>
        </row>
      </sheetData>
      <sheetData sheetId="13522">
        <row r="7">
          <cell r="AI7">
            <v>10000</v>
          </cell>
        </row>
      </sheetData>
      <sheetData sheetId="13523">
        <row r="7">
          <cell r="AI7">
            <v>10000</v>
          </cell>
        </row>
      </sheetData>
      <sheetData sheetId="13524">
        <row r="7">
          <cell r="AI7">
            <v>10000</v>
          </cell>
        </row>
      </sheetData>
      <sheetData sheetId="13525">
        <row r="7">
          <cell r="AI7">
            <v>10000</v>
          </cell>
        </row>
      </sheetData>
      <sheetData sheetId="13526">
        <row r="7">
          <cell r="AI7">
            <v>10000</v>
          </cell>
        </row>
      </sheetData>
      <sheetData sheetId="13527">
        <row r="7">
          <cell r="AI7">
            <v>10000</v>
          </cell>
        </row>
      </sheetData>
      <sheetData sheetId="13528">
        <row r="7">
          <cell r="AI7">
            <v>10000</v>
          </cell>
        </row>
      </sheetData>
      <sheetData sheetId="13529">
        <row r="7">
          <cell r="AI7">
            <v>10000</v>
          </cell>
        </row>
      </sheetData>
      <sheetData sheetId="13530">
        <row r="7">
          <cell r="AI7">
            <v>10000</v>
          </cell>
        </row>
      </sheetData>
      <sheetData sheetId="13531">
        <row r="7">
          <cell r="AI7">
            <v>10000</v>
          </cell>
        </row>
      </sheetData>
      <sheetData sheetId="13532">
        <row r="7">
          <cell r="AI7">
            <v>10000</v>
          </cell>
        </row>
      </sheetData>
      <sheetData sheetId="13533">
        <row r="7">
          <cell r="AI7">
            <v>10000</v>
          </cell>
        </row>
      </sheetData>
      <sheetData sheetId="13534">
        <row r="7">
          <cell r="AI7">
            <v>10000</v>
          </cell>
        </row>
      </sheetData>
      <sheetData sheetId="13535">
        <row r="7">
          <cell r="AI7">
            <v>10000</v>
          </cell>
        </row>
      </sheetData>
      <sheetData sheetId="13536">
        <row r="7">
          <cell r="AI7">
            <v>10000</v>
          </cell>
        </row>
      </sheetData>
      <sheetData sheetId="13537">
        <row r="7">
          <cell r="AI7">
            <v>10000</v>
          </cell>
        </row>
      </sheetData>
      <sheetData sheetId="13538">
        <row r="7">
          <cell r="AI7">
            <v>10000</v>
          </cell>
        </row>
      </sheetData>
      <sheetData sheetId="13539">
        <row r="7">
          <cell r="AI7">
            <v>10000</v>
          </cell>
        </row>
      </sheetData>
      <sheetData sheetId="13540">
        <row r="7">
          <cell r="AI7">
            <v>10000</v>
          </cell>
        </row>
      </sheetData>
      <sheetData sheetId="13541">
        <row r="7">
          <cell r="AI7">
            <v>10000</v>
          </cell>
        </row>
      </sheetData>
      <sheetData sheetId="13542">
        <row r="7">
          <cell r="AI7">
            <v>10000</v>
          </cell>
        </row>
      </sheetData>
      <sheetData sheetId="13543">
        <row r="7">
          <cell r="AI7">
            <v>10000</v>
          </cell>
        </row>
      </sheetData>
      <sheetData sheetId="13544">
        <row r="7">
          <cell r="AI7">
            <v>10000</v>
          </cell>
        </row>
      </sheetData>
      <sheetData sheetId="13545">
        <row r="7">
          <cell r="AI7">
            <v>10000</v>
          </cell>
        </row>
      </sheetData>
      <sheetData sheetId="13546">
        <row r="7">
          <cell r="AI7">
            <v>10000</v>
          </cell>
        </row>
      </sheetData>
      <sheetData sheetId="13547">
        <row r="7">
          <cell r="AI7">
            <v>10000</v>
          </cell>
        </row>
      </sheetData>
      <sheetData sheetId="13548">
        <row r="7">
          <cell r="AI7">
            <v>10000</v>
          </cell>
        </row>
      </sheetData>
      <sheetData sheetId="13549">
        <row r="7">
          <cell r="AI7">
            <v>10000</v>
          </cell>
        </row>
      </sheetData>
      <sheetData sheetId="13550">
        <row r="7">
          <cell r="AI7">
            <v>10000</v>
          </cell>
        </row>
      </sheetData>
      <sheetData sheetId="13551">
        <row r="7">
          <cell r="AI7">
            <v>10000</v>
          </cell>
        </row>
      </sheetData>
      <sheetData sheetId="13552">
        <row r="7">
          <cell r="AI7">
            <v>10000</v>
          </cell>
        </row>
      </sheetData>
      <sheetData sheetId="13553">
        <row r="7">
          <cell r="AI7">
            <v>10000</v>
          </cell>
        </row>
      </sheetData>
      <sheetData sheetId="13554">
        <row r="7">
          <cell r="AI7">
            <v>10000</v>
          </cell>
        </row>
      </sheetData>
      <sheetData sheetId="13555">
        <row r="7">
          <cell r="AI7">
            <v>10000</v>
          </cell>
        </row>
      </sheetData>
      <sheetData sheetId="13556">
        <row r="7">
          <cell r="AI7">
            <v>10000</v>
          </cell>
        </row>
      </sheetData>
      <sheetData sheetId="13557">
        <row r="7">
          <cell r="AI7">
            <v>10000</v>
          </cell>
        </row>
      </sheetData>
      <sheetData sheetId="13558">
        <row r="7">
          <cell r="AI7">
            <v>10000</v>
          </cell>
        </row>
      </sheetData>
      <sheetData sheetId="13559">
        <row r="7">
          <cell r="AI7">
            <v>10000</v>
          </cell>
        </row>
      </sheetData>
      <sheetData sheetId="13560">
        <row r="7">
          <cell r="AI7">
            <v>10000</v>
          </cell>
        </row>
      </sheetData>
      <sheetData sheetId="13561">
        <row r="7">
          <cell r="AI7">
            <v>10000</v>
          </cell>
        </row>
      </sheetData>
      <sheetData sheetId="13562"/>
      <sheetData sheetId="13563"/>
      <sheetData sheetId="13564"/>
      <sheetData sheetId="13565">
        <row r="7">
          <cell r="AI7">
            <v>10000</v>
          </cell>
        </row>
      </sheetData>
      <sheetData sheetId="13566">
        <row r="7">
          <cell r="AI7">
            <v>10000</v>
          </cell>
        </row>
      </sheetData>
      <sheetData sheetId="13567"/>
      <sheetData sheetId="13568">
        <row r="7">
          <cell r="AI7">
            <v>10000</v>
          </cell>
        </row>
      </sheetData>
      <sheetData sheetId="13569">
        <row r="7">
          <cell r="AI7">
            <v>10000</v>
          </cell>
        </row>
      </sheetData>
      <sheetData sheetId="13570">
        <row r="7">
          <cell r="AI7">
            <v>10000</v>
          </cell>
        </row>
      </sheetData>
      <sheetData sheetId="13571">
        <row r="7">
          <cell r="AI7">
            <v>10000</v>
          </cell>
        </row>
      </sheetData>
      <sheetData sheetId="13572">
        <row r="7">
          <cell r="AI7">
            <v>10000</v>
          </cell>
        </row>
      </sheetData>
      <sheetData sheetId="13573">
        <row r="7">
          <cell r="AI7">
            <v>10000</v>
          </cell>
        </row>
      </sheetData>
      <sheetData sheetId="13574">
        <row r="7">
          <cell r="AI7">
            <v>10000</v>
          </cell>
        </row>
      </sheetData>
      <sheetData sheetId="13575">
        <row r="7">
          <cell r="AI7">
            <v>10000</v>
          </cell>
        </row>
      </sheetData>
      <sheetData sheetId="13576">
        <row r="7">
          <cell r="AI7">
            <v>10000</v>
          </cell>
        </row>
      </sheetData>
      <sheetData sheetId="13577">
        <row r="7">
          <cell r="AI7">
            <v>10000</v>
          </cell>
        </row>
      </sheetData>
      <sheetData sheetId="13578">
        <row r="7">
          <cell r="AI7">
            <v>10000</v>
          </cell>
        </row>
      </sheetData>
      <sheetData sheetId="13579">
        <row r="7">
          <cell r="AI7">
            <v>10000</v>
          </cell>
        </row>
      </sheetData>
      <sheetData sheetId="13580">
        <row r="7">
          <cell r="AI7">
            <v>10000</v>
          </cell>
        </row>
      </sheetData>
      <sheetData sheetId="13581">
        <row r="7">
          <cell r="AI7">
            <v>10000</v>
          </cell>
        </row>
      </sheetData>
      <sheetData sheetId="13582"/>
      <sheetData sheetId="13583">
        <row r="7">
          <cell r="AI7">
            <v>10000</v>
          </cell>
        </row>
      </sheetData>
      <sheetData sheetId="13584">
        <row r="7">
          <cell r="AI7">
            <v>10000</v>
          </cell>
        </row>
      </sheetData>
      <sheetData sheetId="13585">
        <row r="7">
          <cell r="AI7">
            <v>10000</v>
          </cell>
        </row>
      </sheetData>
      <sheetData sheetId="13586">
        <row r="7">
          <cell r="AI7">
            <v>10000</v>
          </cell>
        </row>
      </sheetData>
      <sheetData sheetId="13587">
        <row r="7">
          <cell r="AI7">
            <v>10000</v>
          </cell>
        </row>
      </sheetData>
      <sheetData sheetId="13588">
        <row r="7">
          <cell r="AI7">
            <v>10000</v>
          </cell>
        </row>
      </sheetData>
      <sheetData sheetId="13589">
        <row r="7">
          <cell r="AI7">
            <v>10000</v>
          </cell>
        </row>
      </sheetData>
      <sheetData sheetId="13590">
        <row r="7">
          <cell r="AI7">
            <v>10000</v>
          </cell>
        </row>
      </sheetData>
      <sheetData sheetId="13591">
        <row r="7">
          <cell r="AI7">
            <v>10000</v>
          </cell>
        </row>
      </sheetData>
      <sheetData sheetId="13592">
        <row r="7">
          <cell r="AI7">
            <v>10000</v>
          </cell>
        </row>
      </sheetData>
      <sheetData sheetId="13593">
        <row r="7">
          <cell r="AI7">
            <v>10000</v>
          </cell>
        </row>
      </sheetData>
      <sheetData sheetId="13594">
        <row r="7">
          <cell r="AI7">
            <v>10000</v>
          </cell>
        </row>
      </sheetData>
      <sheetData sheetId="13595">
        <row r="7">
          <cell r="AI7">
            <v>10000</v>
          </cell>
        </row>
      </sheetData>
      <sheetData sheetId="13596">
        <row r="7">
          <cell r="AI7">
            <v>10000</v>
          </cell>
        </row>
      </sheetData>
      <sheetData sheetId="13597"/>
      <sheetData sheetId="13598">
        <row r="7">
          <cell r="AI7">
            <v>10000</v>
          </cell>
        </row>
      </sheetData>
      <sheetData sheetId="13599">
        <row r="7">
          <cell r="AI7">
            <v>10000</v>
          </cell>
        </row>
      </sheetData>
      <sheetData sheetId="13600">
        <row r="7">
          <cell r="AI7">
            <v>10000</v>
          </cell>
        </row>
      </sheetData>
      <sheetData sheetId="13601">
        <row r="7">
          <cell r="AI7">
            <v>10000</v>
          </cell>
        </row>
      </sheetData>
      <sheetData sheetId="13602">
        <row r="7">
          <cell r="AI7">
            <v>10000</v>
          </cell>
        </row>
      </sheetData>
      <sheetData sheetId="13603">
        <row r="7">
          <cell r="AI7">
            <v>10000</v>
          </cell>
        </row>
      </sheetData>
      <sheetData sheetId="13604">
        <row r="7">
          <cell r="AI7">
            <v>10000</v>
          </cell>
        </row>
      </sheetData>
      <sheetData sheetId="13605">
        <row r="7">
          <cell r="AI7">
            <v>10000</v>
          </cell>
        </row>
      </sheetData>
      <sheetData sheetId="13606">
        <row r="7">
          <cell r="AI7">
            <v>10000</v>
          </cell>
        </row>
      </sheetData>
      <sheetData sheetId="13607">
        <row r="7">
          <cell r="AI7">
            <v>10000</v>
          </cell>
        </row>
      </sheetData>
      <sheetData sheetId="13608">
        <row r="7">
          <cell r="AI7">
            <v>10000</v>
          </cell>
        </row>
      </sheetData>
      <sheetData sheetId="13609">
        <row r="7">
          <cell r="AI7">
            <v>10000</v>
          </cell>
        </row>
      </sheetData>
      <sheetData sheetId="13610">
        <row r="7">
          <cell r="AI7">
            <v>10000</v>
          </cell>
        </row>
      </sheetData>
      <sheetData sheetId="13611">
        <row r="7">
          <cell r="AI7">
            <v>10000</v>
          </cell>
        </row>
      </sheetData>
      <sheetData sheetId="13612">
        <row r="7">
          <cell r="AI7">
            <v>10000</v>
          </cell>
        </row>
      </sheetData>
      <sheetData sheetId="13613">
        <row r="7">
          <cell r="AI7">
            <v>10000</v>
          </cell>
        </row>
      </sheetData>
      <sheetData sheetId="13614">
        <row r="7">
          <cell r="AI7">
            <v>10000</v>
          </cell>
        </row>
      </sheetData>
      <sheetData sheetId="13615">
        <row r="7">
          <cell r="AI7">
            <v>10000</v>
          </cell>
        </row>
      </sheetData>
      <sheetData sheetId="13616">
        <row r="7">
          <cell r="AI7">
            <v>10000</v>
          </cell>
        </row>
      </sheetData>
      <sheetData sheetId="13617">
        <row r="7">
          <cell r="AI7">
            <v>10000</v>
          </cell>
        </row>
      </sheetData>
      <sheetData sheetId="13618">
        <row r="7">
          <cell r="AI7">
            <v>10000</v>
          </cell>
        </row>
      </sheetData>
      <sheetData sheetId="13619">
        <row r="7">
          <cell r="AI7">
            <v>10000</v>
          </cell>
        </row>
      </sheetData>
      <sheetData sheetId="13620">
        <row r="7">
          <cell r="AI7">
            <v>10000</v>
          </cell>
        </row>
      </sheetData>
      <sheetData sheetId="13621">
        <row r="7">
          <cell r="AI7">
            <v>10000</v>
          </cell>
        </row>
      </sheetData>
      <sheetData sheetId="13622">
        <row r="7">
          <cell r="AI7">
            <v>10000</v>
          </cell>
        </row>
      </sheetData>
      <sheetData sheetId="13623">
        <row r="7">
          <cell r="AI7">
            <v>10000</v>
          </cell>
        </row>
      </sheetData>
      <sheetData sheetId="13624">
        <row r="7">
          <cell r="AI7">
            <v>10000</v>
          </cell>
        </row>
      </sheetData>
      <sheetData sheetId="13625">
        <row r="7">
          <cell r="AI7">
            <v>10000</v>
          </cell>
        </row>
      </sheetData>
      <sheetData sheetId="13626">
        <row r="7">
          <cell r="AI7">
            <v>10000</v>
          </cell>
        </row>
      </sheetData>
      <sheetData sheetId="13627">
        <row r="7">
          <cell r="AI7">
            <v>10000</v>
          </cell>
        </row>
      </sheetData>
      <sheetData sheetId="13628">
        <row r="7">
          <cell r="AI7">
            <v>10000</v>
          </cell>
        </row>
      </sheetData>
      <sheetData sheetId="13629">
        <row r="7">
          <cell r="AI7">
            <v>10000</v>
          </cell>
        </row>
      </sheetData>
      <sheetData sheetId="13630">
        <row r="7">
          <cell r="AI7">
            <v>10000</v>
          </cell>
        </row>
      </sheetData>
      <sheetData sheetId="13631">
        <row r="7">
          <cell r="AI7">
            <v>10000</v>
          </cell>
        </row>
      </sheetData>
      <sheetData sheetId="13632">
        <row r="7">
          <cell r="AI7">
            <v>10000</v>
          </cell>
        </row>
      </sheetData>
      <sheetData sheetId="13633">
        <row r="7">
          <cell r="AI7">
            <v>10000</v>
          </cell>
        </row>
      </sheetData>
      <sheetData sheetId="13634">
        <row r="7">
          <cell r="AI7">
            <v>10000</v>
          </cell>
        </row>
      </sheetData>
      <sheetData sheetId="13635">
        <row r="7">
          <cell r="AI7">
            <v>10000</v>
          </cell>
        </row>
      </sheetData>
      <sheetData sheetId="13636">
        <row r="7">
          <cell r="AI7">
            <v>10000</v>
          </cell>
        </row>
      </sheetData>
      <sheetData sheetId="13637">
        <row r="7">
          <cell r="AI7">
            <v>10000</v>
          </cell>
        </row>
      </sheetData>
      <sheetData sheetId="13638">
        <row r="7">
          <cell r="AI7">
            <v>10000</v>
          </cell>
        </row>
      </sheetData>
      <sheetData sheetId="13639">
        <row r="7">
          <cell r="AI7">
            <v>10000</v>
          </cell>
        </row>
      </sheetData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>
        <row r="7">
          <cell r="AI7">
            <v>10000</v>
          </cell>
        </row>
      </sheetData>
      <sheetData sheetId="13782">
        <row r="7">
          <cell r="AI7">
            <v>10000</v>
          </cell>
        </row>
      </sheetData>
      <sheetData sheetId="13783">
        <row r="7">
          <cell r="AI7">
            <v>10000</v>
          </cell>
        </row>
      </sheetData>
      <sheetData sheetId="13784">
        <row r="7">
          <cell r="AI7">
            <v>10000</v>
          </cell>
        </row>
      </sheetData>
      <sheetData sheetId="13785">
        <row r="7">
          <cell r="AI7">
            <v>10000</v>
          </cell>
        </row>
      </sheetData>
      <sheetData sheetId="13786">
        <row r="7">
          <cell r="AI7">
            <v>10000</v>
          </cell>
        </row>
      </sheetData>
      <sheetData sheetId="13787">
        <row r="7">
          <cell r="AI7">
            <v>10000</v>
          </cell>
        </row>
      </sheetData>
      <sheetData sheetId="13788">
        <row r="7">
          <cell r="AI7">
            <v>10000</v>
          </cell>
        </row>
      </sheetData>
      <sheetData sheetId="13789">
        <row r="7">
          <cell r="AI7">
            <v>10000</v>
          </cell>
        </row>
      </sheetData>
      <sheetData sheetId="13790">
        <row r="7">
          <cell r="AI7">
            <v>10000</v>
          </cell>
        </row>
      </sheetData>
      <sheetData sheetId="13791">
        <row r="7">
          <cell r="AI7">
            <v>10000</v>
          </cell>
        </row>
      </sheetData>
      <sheetData sheetId="13792">
        <row r="7">
          <cell r="AI7">
            <v>10000</v>
          </cell>
        </row>
      </sheetData>
      <sheetData sheetId="13793">
        <row r="7">
          <cell r="AI7">
            <v>10000</v>
          </cell>
        </row>
      </sheetData>
      <sheetData sheetId="13794">
        <row r="7">
          <cell r="AI7">
            <v>10000</v>
          </cell>
        </row>
      </sheetData>
      <sheetData sheetId="13795">
        <row r="7">
          <cell r="AI7">
            <v>10000</v>
          </cell>
        </row>
      </sheetData>
      <sheetData sheetId="13796">
        <row r="7">
          <cell r="AI7">
            <v>10000</v>
          </cell>
        </row>
      </sheetData>
      <sheetData sheetId="13797">
        <row r="7">
          <cell r="AI7">
            <v>10000</v>
          </cell>
        </row>
      </sheetData>
      <sheetData sheetId="13798">
        <row r="7">
          <cell r="AI7">
            <v>10000</v>
          </cell>
        </row>
      </sheetData>
      <sheetData sheetId="13799">
        <row r="7">
          <cell r="AI7">
            <v>10000</v>
          </cell>
        </row>
      </sheetData>
      <sheetData sheetId="13800">
        <row r="7">
          <cell r="AI7">
            <v>10000</v>
          </cell>
        </row>
      </sheetData>
      <sheetData sheetId="13801">
        <row r="7">
          <cell r="AI7">
            <v>10000</v>
          </cell>
        </row>
      </sheetData>
      <sheetData sheetId="13802">
        <row r="7">
          <cell r="AI7">
            <v>10000</v>
          </cell>
        </row>
      </sheetData>
      <sheetData sheetId="13803">
        <row r="7">
          <cell r="AI7">
            <v>10000</v>
          </cell>
        </row>
      </sheetData>
      <sheetData sheetId="13804">
        <row r="7">
          <cell r="AI7">
            <v>10000</v>
          </cell>
        </row>
      </sheetData>
      <sheetData sheetId="13805">
        <row r="7">
          <cell r="AI7">
            <v>10000</v>
          </cell>
        </row>
      </sheetData>
      <sheetData sheetId="13806">
        <row r="7">
          <cell r="AI7">
            <v>10000</v>
          </cell>
        </row>
      </sheetData>
      <sheetData sheetId="13807">
        <row r="7">
          <cell r="AI7">
            <v>10000</v>
          </cell>
        </row>
      </sheetData>
      <sheetData sheetId="13808">
        <row r="7">
          <cell r="AI7">
            <v>10000</v>
          </cell>
        </row>
      </sheetData>
      <sheetData sheetId="13809">
        <row r="7">
          <cell r="AI7">
            <v>10000</v>
          </cell>
        </row>
      </sheetData>
      <sheetData sheetId="13810">
        <row r="7">
          <cell r="AI7">
            <v>10000</v>
          </cell>
        </row>
      </sheetData>
      <sheetData sheetId="13811">
        <row r="7">
          <cell r="AI7">
            <v>10000</v>
          </cell>
        </row>
      </sheetData>
      <sheetData sheetId="13812">
        <row r="7">
          <cell r="AI7">
            <v>10000</v>
          </cell>
        </row>
      </sheetData>
      <sheetData sheetId="13813">
        <row r="7">
          <cell r="AI7">
            <v>10000</v>
          </cell>
        </row>
      </sheetData>
      <sheetData sheetId="13814">
        <row r="7">
          <cell r="AI7">
            <v>10000</v>
          </cell>
        </row>
      </sheetData>
      <sheetData sheetId="13815">
        <row r="7">
          <cell r="AI7">
            <v>10000</v>
          </cell>
        </row>
      </sheetData>
      <sheetData sheetId="13816">
        <row r="7">
          <cell r="AI7">
            <v>10000</v>
          </cell>
        </row>
      </sheetData>
      <sheetData sheetId="13817">
        <row r="7">
          <cell r="AI7">
            <v>10000</v>
          </cell>
        </row>
      </sheetData>
      <sheetData sheetId="13818">
        <row r="7">
          <cell r="AI7">
            <v>10000</v>
          </cell>
        </row>
      </sheetData>
      <sheetData sheetId="13819">
        <row r="7">
          <cell r="AI7">
            <v>10000</v>
          </cell>
        </row>
      </sheetData>
      <sheetData sheetId="13820">
        <row r="7">
          <cell r="AI7">
            <v>10000</v>
          </cell>
        </row>
      </sheetData>
      <sheetData sheetId="13821">
        <row r="7">
          <cell r="AI7">
            <v>10000</v>
          </cell>
        </row>
      </sheetData>
      <sheetData sheetId="13822">
        <row r="7">
          <cell r="AI7">
            <v>10000</v>
          </cell>
        </row>
      </sheetData>
      <sheetData sheetId="13823">
        <row r="7">
          <cell r="AI7">
            <v>10000</v>
          </cell>
        </row>
      </sheetData>
      <sheetData sheetId="13824">
        <row r="7">
          <cell r="AI7">
            <v>10000</v>
          </cell>
        </row>
      </sheetData>
      <sheetData sheetId="13825">
        <row r="7">
          <cell r="AI7">
            <v>10000</v>
          </cell>
        </row>
      </sheetData>
      <sheetData sheetId="13826">
        <row r="7">
          <cell r="AI7">
            <v>10000</v>
          </cell>
        </row>
      </sheetData>
      <sheetData sheetId="13827">
        <row r="7">
          <cell r="AI7">
            <v>10000</v>
          </cell>
        </row>
      </sheetData>
      <sheetData sheetId="13828">
        <row r="7">
          <cell r="AI7">
            <v>10000</v>
          </cell>
        </row>
      </sheetData>
      <sheetData sheetId="13829">
        <row r="7">
          <cell r="AI7">
            <v>10000</v>
          </cell>
        </row>
      </sheetData>
      <sheetData sheetId="13830">
        <row r="7">
          <cell r="AI7">
            <v>10000</v>
          </cell>
        </row>
      </sheetData>
      <sheetData sheetId="13831">
        <row r="7">
          <cell r="AI7">
            <v>10000</v>
          </cell>
        </row>
      </sheetData>
      <sheetData sheetId="13832">
        <row r="7">
          <cell r="AI7">
            <v>10000</v>
          </cell>
        </row>
      </sheetData>
      <sheetData sheetId="13833">
        <row r="7">
          <cell r="AI7">
            <v>10000</v>
          </cell>
        </row>
      </sheetData>
      <sheetData sheetId="13834">
        <row r="7">
          <cell r="AI7">
            <v>10000</v>
          </cell>
        </row>
      </sheetData>
      <sheetData sheetId="13835">
        <row r="7">
          <cell r="AI7">
            <v>10000</v>
          </cell>
        </row>
      </sheetData>
      <sheetData sheetId="13836">
        <row r="7">
          <cell r="AI7">
            <v>10000</v>
          </cell>
        </row>
      </sheetData>
      <sheetData sheetId="13837">
        <row r="7">
          <cell r="AI7">
            <v>10000</v>
          </cell>
        </row>
      </sheetData>
      <sheetData sheetId="13838">
        <row r="7">
          <cell r="AI7">
            <v>10000</v>
          </cell>
        </row>
      </sheetData>
      <sheetData sheetId="13839">
        <row r="7">
          <cell r="AI7">
            <v>10000</v>
          </cell>
        </row>
      </sheetData>
      <sheetData sheetId="13840">
        <row r="7">
          <cell r="AI7">
            <v>10000</v>
          </cell>
        </row>
      </sheetData>
      <sheetData sheetId="13841">
        <row r="7">
          <cell r="AI7">
            <v>10000</v>
          </cell>
        </row>
      </sheetData>
      <sheetData sheetId="13842">
        <row r="7">
          <cell r="AI7">
            <v>10000</v>
          </cell>
        </row>
      </sheetData>
      <sheetData sheetId="13843">
        <row r="7">
          <cell r="AI7">
            <v>10000</v>
          </cell>
        </row>
      </sheetData>
      <sheetData sheetId="13844">
        <row r="7">
          <cell r="AI7">
            <v>10000</v>
          </cell>
        </row>
      </sheetData>
      <sheetData sheetId="13845">
        <row r="7">
          <cell r="AI7">
            <v>10000</v>
          </cell>
        </row>
      </sheetData>
      <sheetData sheetId="13846">
        <row r="7">
          <cell r="AI7">
            <v>10000</v>
          </cell>
        </row>
      </sheetData>
      <sheetData sheetId="13847">
        <row r="7">
          <cell r="AI7">
            <v>10000</v>
          </cell>
        </row>
      </sheetData>
      <sheetData sheetId="13848">
        <row r="7">
          <cell r="AI7">
            <v>10000</v>
          </cell>
        </row>
      </sheetData>
      <sheetData sheetId="13849">
        <row r="7">
          <cell r="AI7">
            <v>10000</v>
          </cell>
        </row>
      </sheetData>
      <sheetData sheetId="13850">
        <row r="7">
          <cell r="AI7">
            <v>10000</v>
          </cell>
        </row>
      </sheetData>
      <sheetData sheetId="13851">
        <row r="7">
          <cell r="AI7">
            <v>10000</v>
          </cell>
        </row>
      </sheetData>
      <sheetData sheetId="13852">
        <row r="7">
          <cell r="AI7">
            <v>10000</v>
          </cell>
        </row>
      </sheetData>
      <sheetData sheetId="13853">
        <row r="7">
          <cell r="AI7">
            <v>10000</v>
          </cell>
        </row>
      </sheetData>
      <sheetData sheetId="13854">
        <row r="7">
          <cell r="AI7">
            <v>10000</v>
          </cell>
        </row>
      </sheetData>
      <sheetData sheetId="13855">
        <row r="7">
          <cell r="AI7">
            <v>10000</v>
          </cell>
        </row>
      </sheetData>
      <sheetData sheetId="13856">
        <row r="7">
          <cell r="AI7">
            <v>10000</v>
          </cell>
        </row>
      </sheetData>
      <sheetData sheetId="13857">
        <row r="7">
          <cell r="AI7">
            <v>10000</v>
          </cell>
        </row>
      </sheetData>
      <sheetData sheetId="13858">
        <row r="7">
          <cell r="AI7">
            <v>10000</v>
          </cell>
        </row>
      </sheetData>
      <sheetData sheetId="13859">
        <row r="7">
          <cell r="AI7">
            <v>10000</v>
          </cell>
        </row>
      </sheetData>
      <sheetData sheetId="13860">
        <row r="7">
          <cell r="AI7">
            <v>10000</v>
          </cell>
        </row>
      </sheetData>
      <sheetData sheetId="13861">
        <row r="7">
          <cell r="AI7">
            <v>10000</v>
          </cell>
        </row>
      </sheetData>
      <sheetData sheetId="13862">
        <row r="7">
          <cell r="AI7">
            <v>10000</v>
          </cell>
        </row>
      </sheetData>
      <sheetData sheetId="13863">
        <row r="7">
          <cell r="AI7">
            <v>10000</v>
          </cell>
        </row>
      </sheetData>
      <sheetData sheetId="13864">
        <row r="7">
          <cell r="AI7">
            <v>10000</v>
          </cell>
        </row>
      </sheetData>
      <sheetData sheetId="13865">
        <row r="7">
          <cell r="AI7">
            <v>10000</v>
          </cell>
        </row>
      </sheetData>
      <sheetData sheetId="13866">
        <row r="7">
          <cell r="AI7">
            <v>10000</v>
          </cell>
        </row>
      </sheetData>
      <sheetData sheetId="13867">
        <row r="7">
          <cell r="AI7">
            <v>10000</v>
          </cell>
        </row>
      </sheetData>
      <sheetData sheetId="13868">
        <row r="7">
          <cell r="AI7">
            <v>10000</v>
          </cell>
        </row>
      </sheetData>
      <sheetData sheetId="13869">
        <row r="7">
          <cell r="AI7">
            <v>10000</v>
          </cell>
        </row>
      </sheetData>
      <sheetData sheetId="13870">
        <row r="7">
          <cell r="AI7">
            <v>10000</v>
          </cell>
        </row>
      </sheetData>
      <sheetData sheetId="13871">
        <row r="7">
          <cell r="AI7">
            <v>10000</v>
          </cell>
        </row>
      </sheetData>
      <sheetData sheetId="13872">
        <row r="7">
          <cell r="AI7">
            <v>10000</v>
          </cell>
        </row>
      </sheetData>
      <sheetData sheetId="13873">
        <row r="7">
          <cell r="AI7">
            <v>10000</v>
          </cell>
        </row>
      </sheetData>
      <sheetData sheetId="13874">
        <row r="7">
          <cell r="AI7">
            <v>10000</v>
          </cell>
        </row>
      </sheetData>
      <sheetData sheetId="13875">
        <row r="7">
          <cell r="AI7">
            <v>10000</v>
          </cell>
        </row>
      </sheetData>
      <sheetData sheetId="13876">
        <row r="7">
          <cell r="AI7">
            <v>10000</v>
          </cell>
        </row>
      </sheetData>
      <sheetData sheetId="13877">
        <row r="7">
          <cell r="AI7">
            <v>10000</v>
          </cell>
        </row>
      </sheetData>
      <sheetData sheetId="13878">
        <row r="7">
          <cell r="AI7">
            <v>10000</v>
          </cell>
        </row>
      </sheetData>
      <sheetData sheetId="13879">
        <row r="7">
          <cell r="AI7">
            <v>10000</v>
          </cell>
        </row>
      </sheetData>
      <sheetData sheetId="13880">
        <row r="7">
          <cell r="AI7">
            <v>10000</v>
          </cell>
        </row>
      </sheetData>
      <sheetData sheetId="13881">
        <row r="7">
          <cell r="AI7">
            <v>10000</v>
          </cell>
        </row>
      </sheetData>
      <sheetData sheetId="13882">
        <row r="7">
          <cell r="AI7">
            <v>10000</v>
          </cell>
        </row>
      </sheetData>
      <sheetData sheetId="13883">
        <row r="7">
          <cell r="AI7">
            <v>10000</v>
          </cell>
        </row>
      </sheetData>
      <sheetData sheetId="13884">
        <row r="7">
          <cell r="AI7">
            <v>10000</v>
          </cell>
        </row>
      </sheetData>
      <sheetData sheetId="13885">
        <row r="7">
          <cell r="AI7">
            <v>10000</v>
          </cell>
        </row>
      </sheetData>
      <sheetData sheetId="13886">
        <row r="7">
          <cell r="AI7">
            <v>10000</v>
          </cell>
        </row>
      </sheetData>
      <sheetData sheetId="13887">
        <row r="7">
          <cell r="AI7">
            <v>10000</v>
          </cell>
        </row>
      </sheetData>
      <sheetData sheetId="13888">
        <row r="7">
          <cell r="AI7">
            <v>10000</v>
          </cell>
        </row>
      </sheetData>
      <sheetData sheetId="13889">
        <row r="7">
          <cell r="AI7">
            <v>10000</v>
          </cell>
        </row>
      </sheetData>
      <sheetData sheetId="13890">
        <row r="7">
          <cell r="AI7">
            <v>10000</v>
          </cell>
        </row>
      </sheetData>
      <sheetData sheetId="13891">
        <row r="7">
          <cell r="AI7">
            <v>10000</v>
          </cell>
        </row>
      </sheetData>
      <sheetData sheetId="13892">
        <row r="7">
          <cell r="AI7">
            <v>10000</v>
          </cell>
        </row>
      </sheetData>
      <sheetData sheetId="13893">
        <row r="7">
          <cell r="AI7">
            <v>10000</v>
          </cell>
        </row>
      </sheetData>
      <sheetData sheetId="13894">
        <row r="7">
          <cell r="AI7">
            <v>10000</v>
          </cell>
        </row>
      </sheetData>
      <sheetData sheetId="13895">
        <row r="7">
          <cell r="AI7">
            <v>10000</v>
          </cell>
        </row>
      </sheetData>
      <sheetData sheetId="13896">
        <row r="7">
          <cell r="AI7">
            <v>10000</v>
          </cell>
        </row>
      </sheetData>
      <sheetData sheetId="13897">
        <row r="7">
          <cell r="AI7">
            <v>10000</v>
          </cell>
        </row>
      </sheetData>
      <sheetData sheetId="13898">
        <row r="7">
          <cell r="AI7">
            <v>10000</v>
          </cell>
        </row>
      </sheetData>
      <sheetData sheetId="13899">
        <row r="7">
          <cell r="AI7">
            <v>10000</v>
          </cell>
        </row>
      </sheetData>
      <sheetData sheetId="13900">
        <row r="7">
          <cell r="AI7">
            <v>10000</v>
          </cell>
        </row>
      </sheetData>
      <sheetData sheetId="13901">
        <row r="7">
          <cell r="AI7">
            <v>10000</v>
          </cell>
        </row>
      </sheetData>
      <sheetData sheetId="13902">
        <row r="7">
          <cell r="AI7">
            <v>10000</v>
          </cell>
        </row>
      </sheetData>
      <sheetData sheetId="13903">
        <row r="7">
          <cell r="AI7">
            <v>10000</v>
          </cell>
        </row>
      </sheetData>
      <sheetData sheetId="13904">
        <row r="7">
          <cell r="AI7">
            <v>10000</v>
          </cell>
        </row>
      </sheetData>
      <sheetData sheetId="13905">
        <row r="7">
          <cell r="AI7">
            <v>10000</v>
          </cell>
        </row>
      </sheetData>
      <sheetData sheetId="13906">
        <row r="7">
          <cell r="AI7">
            <v>10000</v>
          </cell>
        </row>
      </sheetData>
      <sheetData sheetId="13907">
        <row r="7">
          <cell r="AI7">
            <v>10000</v>
          </cell>
        </row>
      </sheetData>
      <sheetData sheetId="13908">
        <row r="7">
          <cell r="AI7">
            <v>10000</v>
          </cell>
        </row>
      </sheetData>
      <sheetData sheetId="13909">
        <row r="7">
          <cell r="AI7">
            <v>10000</v>
          </cell>
        </row>
      </sheetData>
      <sheetData sheetId="13910">
        <row r="7">
          <cell r="AI7">
            <v>10000</v>
          </cell>
        </row>
      </sheetData>
      <sheetData sheetId="13911">
        <row r="7">
          <cell r="AI7">
            <v>10000</v>
          </cell>
        </row>
      </sheetData>
      <sheetData sheetId="13912">
        <row r="7">
          <cell r="AI7">
            <v>10000</v>
          </cell>
        </row>
      </sheetData>
      <sheetData sheetId="13913">
        <row r="7">
          <cell r="AI7">
            <v>10000</v>
          </cell>
        </row>
      </sheetData>
      <sheetData sheetId="13914">
        <row r="7">
          <cell r="AI7">
            <v>10000</v>
          </cell>
        </row>
      </sheetData>
      <sheetData sheetId="13915">
        <row r="7">
          <cell r="AI7">
            <v>10000</v>
          </cell>
        </row>
      </sheetData>
      <sheetData sheetId="13916">
        <row r="7">
          <cell r="AI7">
            <v>10000</v>
          </cell>
        </row>
      </sheetData>
      <sheetData sheetId="13917">
        <row r="7">
          <cell r="AI7">
            <v>10000</v>
          </cell>
        </row>
      </sheetData>
      <sheetData sheetId="13918">
        <row r="7">
          <cell r="AI7">
            <v>10000</v>
          </cell>
        </row>
      </sheetData>
      <sheetData sheetId="13919">
        <row r="7">
          <cell r="AI7">
            <v>10000</v>
          </cell>
        </row>
      </sheetData>
      <sheetData sheetId="13920">
        <row r="7">
          <cell r="AI7">
            <v>10000</v>
          </cell>
        </row>
      </sheetData>
      <sheetData sheetId="13921">
        <row r="7">
          <cell r="AI7">
            <v>10000</v>
          </cell>
        </row>
      </sheetData>
      <sheetData sheetId="13922">
        <row r="7">
          <cell r="AI7">
            <v>10000</v>
          </cell>
        </row>
      </sheetData>
      <sheetData sheetId="13923">
        <row r="7">
          <cell r="AI7">
            <v>10000</v>
          </cell>
        </row>
      </sheetData>
      <sheetData sheetId="13924">
        <row r="7">
          <cell r="AI7">
            <v>10000</v>
          </cell>
        </row>
      </sheetData>
      <sheetData sheetId="13925">
        <row r="7">
          <cell r="AI7">
            <v>10000</v>
          </cell>
        </row>
      </sheetData>
      <sheetData sheetId="13926">
        <row r="7">
          <cell r="AI7">
            <v>10000</v>
          </cell>
        </row>
      </sheetData>
      <sheetData sheetId="13927">
        <row r="7">
          <cell r="AI7">
            <v>10000</v>
          </cell>
        </row>
      </sheetData>
      <sheetData sheetId="13928">
        <row r="7">
          <cell r="AI7">
            <v>10000</v>
          </cell>
        </row>
      </sheetData>
      <sheetData sheetId="13929">
        <row r="7">
          <cell r="AI7">
            <v>10000</v>
          </cell>
        </row>
      </sheetData>
      <sheetData sheetId="13930">
        <row r="7">
          <cell r="AI7">
            <v>10000</v>
          </cell>
        </row>
      </sheetData>
      <sheetData sheetId="13931">
        <row r="7">
          <cell r="AI7">
            <v>10000</v>
          </cell>
        </row>
      </sheetData>
      <sheetData sheetId="13932">
        <row r="7">
          <cell r="AI7">
            <v>10000</v>
          </cell>
        </row>
      </sheetData>
      <sheetData sheetId="13933">
        <row r="7">
          <cell r="AI7">
            <v>10000</v>
          </cell>
        </row>
      </sheetData>
      <sheetData sheetId="13934">
        <row r="7">
          <cell r="AI7">
            <v>10000</v>
          </cell>
        </row>
      </sheetData>
      <sheetData sheetId="13935">
        <row r="7">
          <cell r="AI7">
            <v>10000</v>
          </cell>
        </row>
      </sheetData>
      <sheetData sheetId="13936">
        <row r="7">
          <cell r="AI7">
            <v>10000</v>
          </cell>
        </row>
      </sheetData>
      <sheetData sheetId="13937">
        <row r="7">
          <cell r="AI7">
            <v>10000</v>
          </cell>
        </row>
      </sheetData>
      <sheetData sheetId="13938">
        <row r="7">
          <cell r="AI7">
            <v>10000</v>
          </cell>
        </row>
      </sheetData>
      <sheetData sheetId="13939">
        <row r="7">
          <cell r="AI7">
            <v>10000</v>
          </cell>
        </row>
      </sheetData>
      <sheetData sheetId="13940">
        <row r="7">
          <cell r="AI7">
            <v>10000</v>
          </cell>
        </row>
      </sheetData>
      <sheetData sheetId="13941">
        <row r="7">
          <cell r="AI7">
            <v>10000</v>
          </cell>
        </row>
      </sheetData>
      <sheetData sheetId="13942">
        <row r="7">
          <cell r="AI7">
            <v>10000</v>
          </cell>
        </row>
      </sheetData>
      <sheetData sheetId="13943">
        <row r="7">
          <cell r="AI7">
            <v>10000</v>
          </cell>
        </row>
      </sheetData>
      <sheetData sheetId="13944">
        <row r="7">
          <cell r="AI7">
            <v>10000</v>
          </cell>
        </row>
      </sheetData>
      <sheetData sheetId="13945">
        <row r="7">
          <cell r="AI7">
            <v>10000</v>
          </cell>
        </row>
      </sheetData>
      <sheetData sheetId="13946">
        <row r="7">
          <cell r="AI7">
            <v>10000</v>
          </cell>
        </row>
      </sheetData>
      <sheetData sheetId="13947">
        <row r="7">
          <cell r="AI7">
            <v>10000</v>
          </cell>
        </row>
      </sheetData>
      <sheetData sheetId="13948">
        <row r="7">
          <cell r="AI7">
            <v>10000</v>
          </cell>
        </row>
      </sheetData>
      <sheetData sheetId="13949">
        <row r="7">
          <cell r="AI7">
            <v>10000</v>
          </cell>
        </row>
      </sheetData>
      <sheetData sheetId="13950">
        <row r="7">
          <cell r="AI7">
            <v>10000</v>
          </cell>
        </row>
      </sheetData>
      <sheetData sheetId="13951">
        <row r="7">
          <cell r="AI7">
            <v>10000</v>
          </cell>
        </row>
      </sheetData>
      <sheetData sheetId="13952">
        <row r="7">
          <cell r="AI7">
            <v>10000</v>
          </cell>
        </row>
      </sheetData>
      <sheetData sheetId="13953">
        <row r="7">
          <cell r="AI7">
            <v>10000</v>
          </cell>
        </row>
      </sheetData>
      <sheetData sheetId="13954">
        <row r="7">
          <cell r="AI7">
            <v>10000</v>
          </cell>
        </row>
      </sheetData>
      <sheetData sheetId="13955">
        <row r="7">
          <cell r="AI7">
            <v>10000</v>
          </cell>
        </row>
      </sheetData>
      <sheetData sheetId="13956">
        <row r="7">
          <cell r="AI7">
            <v>10000</v>
          </cell>
        </row>
      </sheetData>
      <sheetData sheetId="13957">
        <row r="7">
          <cell r="AI7">
            <v>10000</v>
          </cell>
        </row>
      </sheetData>
      <sheetData sheetId="13958">
        <row r="7">
          <cell r="AI7">
            <v>10000</v>
          </cell>
        </row>
      </sheetData>
      <sheetData sheetId="13959">
        <row r="7">
          <cell r="AI7">
            <v>10000</v>
          </cell>
        </row>
      </sheetData>
      <sheetData sheetId="13960">
        <row r="7">
          <cell r="AI7">
            <v>10000</v>
          </cell>
        </row>
      </sheetData>
      <sheetData sheetId="13961">
        <row r="7">
          <cell r="AI7">
            <v>10000</v>
          </cell>
        </row>
      </sheetData>
      <sheetData sheetId="13962">
        <row r="7">
          <cell r="AI7">
            <v>10000</v>
          </cell>
        </row>
      </sheetData>
      <sheetData sheetId="13963">
        <row r="7">
          <cell r="AI7">
            <v>10000</v>
          </cell>
        </row>
      </sheetData>
      <sheetData sheetId="13964">
        <row r="7">
          <cell r="AI7">
            <v>10000</v>
          </cell>
        </row>
      </sheetData>
      <sheetData sheetId="13965">
        <row r="7">
          <cell r="AI7">
            <v>10000</v>
          </cell>
        </row>
      </sheetData>
      <sheetData sheetId="13966">
        <row r="7">
          <cell r="AI7">
            <v>10000</v>
          </cell>
        </row>
      </sheetData>
      <sheetData sheetId="13967">
        <row r="7">
          <cell r="AI7">
            <v>10000</v>
          </cell>
        </row>
      </sheetData>
      <sheetData sheetId="13968">
        <row r="7">
          <cell r="AI7">
            <v>10000</v>
          </cell>
        </row>
      </sheetData>
      <sheetData sheetId="13969">
        <row r="7">
          <cell r="AI7">
            <v>10000</v>
          </cell>
        </row>
      </sheetData>
      <sheetData sheetId="13970">
        <row r="7">
          <cell r="AI7">
            <v>10000</v>
          </cell>
        </row>
      </sheetData>
      <sheetData sheetId="13971">
        <row r="7">
          <cell r="AI7">
            <v>10000</v>
          </cell>
        </row>
      </sheetData>
      <sheetData sheetId="13972">
        <row r="7">
          <cell r="AI7">
            <v>10000</v>
          </cell>
        </row>
      </sheetData>
      <sheetData sheetId="13973">
        <row r="7">
          <cell r="AI7">
            <v>10000</v>
          </cell>
        </row>
      </sheetData>
      <sheetData sheetId="13974">
        <row r="7">
          <cell r="AI7">
            <v>10000</v>
          </cell>
        </row>
      </sheetData>
      <sheetData sheetId="13975">
        <row r="7">
          <cell r="AI7">
            <v>10000</v>
          </cell>
        </row>
      </sheetData>
      <sheetData sheetId="13976">
        <row r="7">
          <cell r="AI7">
            <v>10000</v>
          </cell>
        </row>
      </sheetData>
      <sheetData sheetId="13977">
        <row r="7">
          <cell r="AI7">
            <v>10000</v>
          </cell>
        </row>
      </sheetData>
      <sheetData sheetId="13978">
        <row r="7">
          <cell r="AI7">
            <v>10000</v>
          </cell>
        </row>
      </sheetData>
      <sheetData sheetId="13979">
        <row r="7">
          <cell r="AI7">
            <v>10000</v>
          </cell>
        </row>
      </sheetData>
      <sheetData sheetId="13980">
        <row r="7">
          <cell r="AI7">
            <v>10000</v>
          </cell>
        </row>
      </sheetData>
      <sheetData sheetId="13981">
        <row r="7">
          <cell r="AI7">
            <v>10000</v>
          </cell>
        </row>
      </sheetData>
      <sheetData sheetId="13982">
        <row r="7">
          <cell r="AI7">
            <v>10000</v>
          </cell>
        </row>
      </sheetData>
      <sheetData sheetId="13983">
        <row r="7">
          <cell r="AI7">
            <v>10000</v>
          </cell>
        </row>
      </sheetData>
      <sheetData sheetId="13984">
        <row r="7">
          <cell r="AI7">
            <v>10000</v>
          </cell>
        </row>
      </sheetData>
      <sheetData sheetId="13985">
        <row r="7">
          <cell r="AI7">
            <v>10000</v>
          </cell>
        </row>
      </sheetData>
      <sheetData sheetId="13986">
        <row r="7">
          <cell r="AI7">
            <v>10000</v>
          </cell>
        </row>
      </sheetData>
      <sheetData sheetId="13987">
        <row r="7">
          <cell r="AI7">
            <v>10000</v>
          </cell>
        </row>
      </sheetData>
      <sheetData sheetId="13988">
        <row r="7">
          <cell r="AI7">
            <v>10000</v>
          </cell>
        </row>
      </sheetData>
      <sheetData sheetId="13989">
        <row r="7">
          <cell r="AI7">
            <v>10000</v>
          </cell>
        </row>
      </sheetData>
      <sheetData sheetId="13990">
        <row r="7">
          <cell r="AI7">
            <v>10000</v>
          </cell>
        </row>
      </sheetData>
      <sheetData sheetId="13991">
        <row r="7">
          <cell r="AI7">
            <v>10000</v>
          </cell>
        </row>
      </sheetData>
      <sheetData sheetId="13992">
        <row r="7">
          <cell r="AI7">
            <v>10000</v>
          </cell>
        </row>
      </sheetData>
      <sheetData sheetId="13993">
        <row r="7">
          <cell r="AI7">
            <v>10000</v>
          </cell>
        </row>
      </sheetData>
      <sheetData sheetId="13994">
        <row r="7">
          <cell r="AI7">
            <v>10000</v>
          </cell>
        </row>
      </sheetData>
      <sheetData sheetId="13995">
        <row r="7">
          <cell r="AI7">
            <v>10000</v>
          </cell>
        </row>
      </sheetData>
      <sheetData sheetId="13996">
        <row r="7">
          <cell r="AI7">
            <v>10000</v>
          </cell>
        </row>
      </sheetData>
      <sheetData sheetId="13997">
        <row r="7">
          <cell r="AI7">
            <v>10000</v>
          </cell>
        </row>
      </sheetData>
      <sheetData sheetId="13998">
        <row r="7">
          <cell r="AI7">
            <v>10000</v>
          </cell>
        </row>
      </sheetData>
      <sheetData sheetId="13999">
        <row r="7">
          <cell r="AI7">
            <v>10000</v>
          </cell>
        </row>
      </sheetData>
      <sheetData sheetId="14000">
        <row r="7">
          <cell r="AI7">
            <v>10000</v>
          </cell>
        </row>
      </sheetData>
      <sheetData sheetId="14001">
        <row r="7">
          <cell r="AI7">
            <v>10000</v>
          </cell>
        </row>
      </sheetData>
      <sheetData sheetId="14002">
        <row r="7">
          <cell r="AI7">
            <v>10000</v>
          </cell>
        </row>
      </sheetData>
      <sheetData sheetId="14003">
        <row r="7">
          <cell r="AI7">
            <v>10000</v>
          </cell>
        </row>
      </sheetData>
      <sheetData sheetId="14004">
        <row r="7">
          <cell r="AI7">
            <v>10000</v>
          </cell>
        </row>
      </sheetData>
      <sheetData sheetId="14005">
        <row r="7">
          <cell r="AI7">
            <v>10000</v>
          </cell>
        </row>
      </sheetData>
      <sheetData sheetId="14006">
        <row r="7">
          <cell r="AI7">
            <v>10000</v>
          </cell>
        </row>
      </sheetData>
      <sheetData sheetId="14007">
        <row r="7">
          <cell r="AI7">
            <v>10000</v>
          </cell>
        </row>
      </sheetData>
      <sheetData sheetId="14008">
        <row r="7">
          <cell r="AI7">
            <v>10000</v>
          </cell>
        </row>
      </sheetData>
      <sheetData sheetId="14009">
        <row r="7">
          <cell r="AI7">
            <v>10000</v>
          </cell>
        </row>
      </sheetData>
      <sheetData sheetId="14010">
        <row r="7">
          <cell r="AI7">
            <v>10000</v>
          </cell>
        </row>
      </sheetData>
      <sheetData sheetId="14011">
        <row r="7">
          <cell r="AI7">
            <v>10000</v>
          </cell>
        </row>
      </sheetData>
      <sheetData sheetId="14012">
        <row r="7">
          <cell r="AI7">
            <v>10000</v>
          </cell>
        </row>
      </sheetData>
      <sheetData sheetId="14013">
        <row r="7">
          <cell r="AI7">
            <v>10000</v>
          </cell>
        </row>
      </sheetData>
      <sheetData sheetId="14014">
        <row r="7">
          <cell r="AI7">
            <v>10000</v>
          </cell>
        </row>
      </sheetData>
      <sheetData sheetId="14015">
        <row r="7">
          <cell r="AI7">
            <v>10000</v>
          </cell>
        </row>
      </sheetData>
      <sheetData sheetId="14016">
        <row r="7">
          <cell r="AI7">
            <v>10000</v>
          </cell>
        </row>
      </sheetData>
      <sheetData sheetId="14017">
        <row r="7">
          <cell r="AI7">
            <v>10000</v>
          </cell>
        </row>
      </sheetData>
      <sheetData sheetId="14018">
        <row r="7">
          <cell r="AI7">
            <v>10000</v>
          </cell>
        </row>
      </sheetData>
      <sheetData sheetId="14019">
        <row r="7">
          <cell r="AI7">
            <v>10000</v>
          </cell>
        </row>
      </sheetData>
      <sheetData sheetId="14020">
        <row r="7">
          <cell r="AI7">
            <v>10000</v>
          </cell>
        </row>
      </sheetData>
      <sheetData sheetId="14021">
        <row r="7">
          <cell r="AI7">
            <v>10000</v>
          </cell>
        </row>
      </sheetData>
      <sheetData sheetId="14022">
        <row r="7">
          <cell r="AI7">
            <v>10000</v>
          </cell>
        </row>
      </sheetData>
      <sheetData sheetId="14023">
        <row r="7">
          <cell r="AI7">
            <v>10000</v>
          </cell>
        </row>
      </sheetData>
      <sheetData sheetId="14024">
        <row r="7">
          <cell r="AI7">
            <v>10000</v>
          </cell>
        </row>
      </sheetData>
      <sheetData sheetId="14025">
        <row r="7">
          <cell r="AI7">
            <v>10000</v>
          </cell>
        </row>
      </sheetData>
      <sheetData sheetId="14026">
        <row r="7">
          <cell r="AI7">
            <v>10000</v>
          </cell>
        </row>
      </sheetData>
      <sheetData sheetId="14027">
        <row r="7">
          <cell r="AI7">
            <v>10000</v>
          </cell>
        </row>
      </sheetData>
      <sheetData sheetId="14028">
        <row r="7">
          <cell r="AI7">
            <v>10000</v>
          </cell>
        </row>
      </sheetData>
      <sheetData sheetId="14029">
        <row r="7">
          <cell r="AI7">
            <v>10000</v>
          </cell>
        </row>
      </sheetData>
      <sheetData sheetId="14030">
        <row r="7">
          <cell r="AI7">
            <v>10000</v>
          </cell>
        </row>
      </sheetData>
      <sheetData sheetId="14031">
        <row r="7">
          <cell r="AI7">
            <v>10000</v>
          </cell>
        </row>
      </sheetData>
      <sheetData sheetId="14032">
        <row r="7">
          <cell r="AI7">
            <v>10000</v>
          </cell>
        </row>
      </sheetData>
      <sheetData sheetId="14033">
        <row r="7">
          <cell r="AI7">
            <v>10000</v>
          </cell>
        </row>
      </sheetData>
      <sheetData sheetId="14034">
        <row r="7">
          <cell r="AI7">
            <v>10000</v>
          </cell>
        </row>
      </sheetData>
      <sheetData sheetId="14035">
        <row r="7">
          <cell r="AI7">
            <v>10000</v>
          </cell>
        </row>
      </sheetData>
      <sheetData sheetId="14036">
        <row r="7">
          <cell r="AI7">
            <v>10000</v>
          </cell>
        </row>
      </sheetData>
      <sheetData sheetId="14037">
        <row r="7">
          <cell r="AI7">
            <v>10000</v>
          </cell>
        </row>
      </sheetData>
      <sheetData sheetId="14038">
        <row r="7">
          <cell r="AI7">
            <v>10000</v>
          </cell>
        </row>
      </sheetData>
      <sheetData sheetId="14039">
        <row r="7">
          <cell r="AI7">
            <v>10000</v>
          </cell>
        </row>
      </sheetData>
      <sheetData sheetId="14040">
        <row r="7">
          <cell r="AI7">
            <v>10000</v>
          </cell>
        </row>
      </sheetData>
      <sheetData sheetId="14041">
        <row r="7">
          <cell r="AI7">
            <v>10000</v>
          </cell>
        </row>
      </sheetData>
      <sheetData sheetId="14042">
        <row r="7">
          <cell r="AI7">
            <v>10000</v>
          </cell>
        </row>
      </sheetData>
      <sheetData sheetId="14043">
        <row r="7">
          <cell r="AI7">
            <v>10000</v>
          </cell>
        </row>
      </sheetData>
      <sheetData sheetId="14044">
        <row r="7">
          <cell r="AI7">
            <v>10000</v>
          </cell>
        </row>
      </sheetData>
      <sheetData sheetId="14045">
        <row r="7">
          <cell r="AI7">
            <v>10000</v>
          </cell>
        </row>
      </sheetData>
      <sheetData sheetId="14046">
        <row r="7">
          <cell r="AI7">
            <v>10000</v>
          </cell>
        </row>
      </sheetData>
      <sheetData sheetId="14047">
        <row r="7">
          <cell r="AI7">
            <v>10000</v>
          </cell>
        </row>
      </sheetData>
      <sheetData sheetId="14048">
        <row r="7">
          <cell r="AI7">
            <v>10000</v>
          </cell>
        </row>
      </sheetData>
      <sheetData sheetId="14049">
        <row r="7">
          <cell r="AI7">
            <v>10000</v>
          </cell>
        </row>
      </sheetData>
      <sheetData sheetId="14050">
        <row r="7">
          <cell r="AI7">
            <v>10000</v>
          </cell>
        </row>
      </sheetData>
      <sheetData sheetId="14051">
        <row r="7">
          <cell r="AI7">
            <v>10000</v>
          </cell>
        </row>
      </sheetData>
      <sheetData sheetId="14052">
        <row r="7">
          <cell r="AI7">
            <v>10000</v>
          </cell>
        </row>
      </sheetData>
      <sheetData sheetId="14053">
        <row r="7">
          <cell r="AI7">
            <v>10000</v>
          </cell>
        </row>
      </sheetData>
      <sheetData sheetId="14054">
        <row r="7">
          <cell r="AI7">
            <v>10000</v>
          </cell>
        </row>
      </sheetData>
      <sheetData sheetId="14055">
        <row r="7">
          <cell r="AI7">
            <v>10000</v>
          </cell>
        </row>
      </sheetData>
      <sheetData sheetId="14056">
        <row r="7">
          <cell r="AI7">
            <v>10000</v>
          </cell>
        </row>
      </sheetData>
      <sheetData sheetId="14057">
        <row r="7">
          <cell r="AI7">
            <v>10000</v>
          </cell>
        </row>
      </sheetData>
      <sheetData sheetId="14058">
        <row r="7">
          <cell r="AI7">
            <v>10000</v>
          </cell>
        </row>
      </sheetData>
      <sheetData sheetId="14059">
        <row r="7">
          <cell r="AI7">
            <v>10000</v>
          </cell>
        </row>
      </sheetData>
      <sheetData sheetId="14060">
        <row r="7">
          <cell r="AI7">
            <v>10000</v>
          </cell>
        </row>
      </sheetData>
      <sheetData sheetId="14061">
        <row r="7">
          <cell r="AI7">
            <v>10000</v>
          </cell>
        </row>
      </sheetData>
      <sheetData sheetId="14062">
        <row r="7">
          <cell r="AI7">
            <v>10000</v>
          </cell>
        </row>
      </sheetData>
      <sheetData sheetId="14063">
        <row r="7">
          <cell r="AI7">
            <v>10000</v>
          </cell>
        </row>
      </sheetData>
      <sheetData sheetId="14064">
        <row r="7">
          <cell r="AI7">
            <v>10000</v>
          </cell>
        </row>
      </sheetData>
      <sheetData sheetId="14065">
        <row r="7">
          <cell r="AI7">
            <v>10000</v>
          </cell>
        </row>
      </sheetData>
      <sheetData sheetId="14066">
        <row r="7">
          <cell r="AI7">
            <v>10000</v>
          </cell>
        </row>
      </sheetData>
      <sheetData sheetId="14067">
        <row r="7">
          <cell r="AI7">
            <v>10000</v>
          </cell>
        </row>
      </sheetData>
      <sheetData sheetId="14068">
        <row r="7">
          <cell r="AI7">
            <v>10000</v>
          </cell>
        </row>
      </sheetData>
      <sheetData sheetId="14069">
        <row r="7">
          <cell r="AI7">
            <v>10000</v>
          </cell>
        </row>
      </sheetData>
      <sheetData sheetId="14070">
        <row r="7">
          <cell r="AI7">
            <v>10000</v>
          </cell>
        </row>
      </sheetData>
      <sheetData sheetId="14071">
        <row r="7">
          <cell r="AI7">
            <v>10000</v>
          </cell>
        </row>
      </sheetData>
      <sheetData sheetId="14072">
        <row r="7">
          <cell r="AI7">
            <v>10000</v>
          </cell>
        </row>
      </sheetData>
      <sheetData sheetId="14073">
        <row r="7">
          <cell r="AI7">
            <v>10000</v>
          </cell>
        </row>
      </sheetData>
      <sheetData sheetId="14074">
        <row r="7">
          <cell r="AI7">
            <v>10000</v>
          </cell>
        </row>
      </sheetData>
      <sheetData sheetId="14075">
        <row r="7">
          <cell r="AI7">
            <v>10000</v>
          </cell>
        </row>
      </sheetData>
      <sheetData sheetId="14076">
        <row r="7">
          <cell r="AI7">
            <v>10000</v>
          </cell>
        </row>
      </sheetData>
      <sheetData sheetId="14077">
        <row r="7">
          <cell r="AI7">
            <v>10000</v>
          </cell>
        </row>
      </sheetData>
      <sheetData sheetId="14078">
        <row r="7">
          <cell r="AI7">
            <v>10000</v>
          </cell>
        </row>
      </sheetData>
      <sheetData sheetId="14079">
        <row r="7">
          <cell r="AI7">
            <v>10000</v>
          </cell>
        </row>
      </sheetData>
      <sheetData sheetId="14080">
        <row r="7">
          <cell r="AI7">
            <v>10000</v>
          </cell>
        </row>
      </sheetData>
      <sheetData sheetId="14081">
        <row r="7">
          <cell r="AI7">
            <v>10000</v>
          </cell>
        </row>
      </sheetData>
      <sheetData sheetId="14082">
        <row r="7">
          <cell r="AI7">
            <v>10000</v>
          </cell>
        </row>
      </sheetData>
      <sheetData sheetId="14083">
        <row r="7">
          <cell r="AI7">
            <v>10000</v>
          </cell>
        </row>
      </sheetData>
      <sheetData sheetId="14084">
        <row r="7">
          <cell r="AI7">
            <v>10000</v>
          </cell>
        </row>
      </sheetData>
      <sheetData sheetId="14085">
        <row r="7">
          <cell r="AI7">
            <v>10000</v>
          </cell>
        </row>
      </sheetData>
      <sheetData sheetId="14086">
        <row r="7">
          <cell r="AI7">
            <v>10000</v>
          </cell>
        </row>
      </sheetData>
      <sheetData sheetId="14087">
        <row r="7">
          <cell r="AI7">
            <v>10000</v>
          </cell>
        </row>
      </sheetData>
      <sheetData sheetId="14088">
        <row r="7">
          <cell r="AI7">
            <v>10000</v>
          </cell>
        </row>
      </sheetData>
      <sheetData sheetId="14089">
        <row r="7">
          <cell r="AI7">
            <v>10000</v>
          </cell>
        </row>
      </sheetData>
      <sheetData sheetId="14090">
        <row r="7">
          <cell r="AI7">
            <v>10000</v>
          </cell>
        </row>
      </sheetData>
      <sheetData sheetId="14091">
        <row r="7">
          <cell r="AI7">
            <v>10000</v>
          </cell>
        </row>
      </sheetData>
      <sheetData sheetId="14092">
        <row r="7">
          <cell r="AI7">
            <v>10000</v>
          </cell>
        </row>
      </sheetData>
      <sheetData sheetId="14093">
        <row r="7">
          <cell r="AI7">
            <v>10000</v>
          </cell>
        </row>
      </sheetData>
      <sheetData sheetId="14094">
        <row r="7">
          <cell r="AI7">
            <v>10000</v>
          </cell>
        </row>
      </sheetData>
      <sheetData sheetId="14095">
        <row r="7">
          <cell r="AI7">
            <v>10000</v>
          </cell>
        </row>
      </sheetData>
      <sheetData sheetId="14096">
        <row r="7">
          <cell r="AI7">
            <v>10000</v>
          </cell>
        </row>
      </sheetData>
      <sheetData sheetId="14097">
        <row r="7">
          <cell r="AI7">
            <v>10000</v>
          </cell>
        </row>
      </sheetData>
      <sheetData sheetId="14098">
        <row r="7">
          <cell r="AI7">
            <v>10000</v>
          </cell>
        </row>
      </sheetData>
      <sheetData sheetId="14099">
        <row r="7">
          <cell r="AI7">
            <v>10000</v>
          </cell>
        </row>
      </sheetData>
      <sheetData sheetId="14100">
        <row r="7">
          <cell r="AI7">
            <v>10000</v>
          </cell>
        </row>
      </sheetData>
      <sheetData sheetId="14101">
        <row r="7">
          <cell r="AI7">
            <v>10000</v>
          </cell>
        </row>
      </sheetData>
      <sheetData sheetId="14102">
        <row r="7">
          <cell r="AI7">
            <v>10000</v>
          </cell>
        </row>
      </sheetData>
      <sheetData sheetId="14103">
        <row r="7">
          <cell r="AI7">
            <v>10000</v>
          </cell>
        </row>
      </sheetData>
      <sheetData sheetId="14104">
        <row r="7">
          <cell r="AI7">
            <v>10000</v>
          </cell>
        </row>
      </sheetData>
      <sheetData sheetId="14105">
        <row r="7">
          <cell r="AI7">
            <v>10000</v>
          </cell>
        </row>
      </sheetData>
      <sheetData sheetId="14106">
        <row r="7">
          <cell r="AI7">
            <v>10000</v>
          </cell>
        </row>
      </sheetData>
      <sheetData sheetId="14107">
        <row r="7">
          <cell r="AI7">
            <v>10000</v>
          </cell>
        </row>
      </sheetData>
      <sheetData sheetId="14108">
        <row r="7">
          <cell r="AI7">
            <v>10000</v>
          </cell>
        </row>
      </sheetData>
      <sheetData sheetId="14109">
        <row r="7">
          <cell r="AI7">
            <v>10000</v>
          </cell>
        </row>
      </sheetData>
      <sheetData sheetId="14110">
        <row r="7">
          <cell r="AI7">
            <v>10000</v>
          </cell>
        </row>
      </sheetData>
      <sheetData sheetId="14111">
        <row r="7">
          <cell r="AI7">
            <v>10000</v>
          </cell>
        </row>
      </sheetData>
      <sheetData sheetId="14112">
        <row r="7">
          <cell r="AI7">
            <v>10000</v>
          </cell>
        </row>
      </sheetData>
      <sheetData sheetId="14113">
        <row r="7">
          <cell r="AI7">
            <v>10000</v>
          </cell>
        </row>
      </sheetData>
      <sheetData sheetId="14114">
        <row r="7">
          <cell r="AI7">
            <v>10000</v>
          </cell>
        </row>
      </sheetData>
      <sheetData sheetId="14115">
        <row r="7">
          <cell r="AI7">
            <v>10000</v>
          </cell>
        </row>
      </sheetData>
      <sheetData sheetId="14116">
        <row r="7">
          <cell r="AI7">
            <v>10000</v>
          </cell>
        </row>
      </sheetData>
      <sheetData sheetId="14117">
        <row r="7">
          <cell r="AI7">
            <v>10000</v>
          </cell>
        </row>
      </sheetData>
      <sheetData sheetId="14118">
        <row r="7">
          <cell r="AI7">
            <v>10000</v>
          </cell>
        </row>
      </sheetData>
      <sheetData sheetId="14119">
        <row r="7">
          <cell r="AI7">
            <v>10000</v>
          </cell>
        </row>
      </sheetData>
      <sheetData sheetId="14120">
        <row r="7">
          <cell r="AI7">
            <v>10000</v>
          </cell>
        </row>
      </sheetData>
      <sheetData sheetId="14121">
        <row r="7">
          <cell r="AI7">
            <v>10000</v>
          </cell>
        </row>
      </sheetData>
      <sheetData sheetId="14122">
        <row r="7">
          <cell r="AI7">
            <v>10000</v>
          </cell>
        </row>
      </sheetData>
      <sheetData sheetId="14123">
        <row r="7">
          <cell r="AI7">
            <v>10000</v>
          </cell>
        </row>
      </sheetData>
      <sheetData sheetId="14124">
        <row r="7">
          <cell r="AI7">
            <v>10000</v>
          </cell>
        </row>
      </sheetData>
      <sheetData sheetId="14125">
        <row r="7">
          <cell r="AI7">
            <v>10000</v>
          </cell>
        </row>
      </sheetData>
      <sheetData sheetId="14126">
        <row r="7">
          <cell r="AI7">
            <v>10000</v>
          </cell>
        </row>
      </sheetData>
      <sheetData sheetId="14127">
        <row r="7">
          <cell r="AI7">
            <v>10000</v>
          </cell>
        </row>
      </sheetData>
      <sheetData sheetId="14128">
        <row r="7">
          <cell r="AI7">
            <v>10000</v>
          </cell>
        </row>
      </sheetData>
      <sheetData sheetId="14129">
        <row r="7">
          <cell r="AI7">
            <v>10000</v>
          </cell>
        </row>
      </sheetData>
      <sheetData sheetId="14130">
        <row r="7">
          <cell r="AI7">
            <v>10000</v>
          </cell>
        </row>
      </sheetData>
      <sheetData sheetId="14131">
        <row r="7">
          <cell r="AI7">
            <v>10000</v>
          </cell>
        </row>
      </sheetData>
      <sheetData sheetId="14132">
        <row r="7">
          <cell r="AI7">
            <v>10000</v>
          </cell>
        </row>
      </sheetData>
      <sheetData sheetId="14133">
        <row r="7">
          <cell r="AI7">
            <v>10000</v>
          </cell>
        </row>
      </sheetData>
      <sheetData sheetId="14134">
        <row r="7">
          <cell r="AI7">
            <v>10000</v>
          </cell>
        </row>
      </sheetData>
      <sheetData sheetId="14135">
        <row r="7">
          <cell r="AI7">
            <v>10000</v>
          </cell>
        </row>
      </sheetData>
      <sheetData sheetId="14136">
        <row r="7">
          <cell r="AI7">
            <v>10000</v>
          </cell>
        </row>
      </sheetData>
      <sheetData sheetId="14137">
        <row r="7">
          <cell r="AI7">
            <v>10000</v>
          </cell>
        </row>
      </sheetData>
      <sheetData sheetId="14138">
        <row r="7">
          <cell r="AI7">
            <v>10000</v>
          </cell>
        </row>
      </sheetData>
      <sheetData sheetId="14139">
        <row r="7">
          <cell r="AI7">
            <v>10000</v>
          </cell>
        </row>
      </sheetData>
      <sheetData sheetId="14140">
        <row r="7">
          <cell r="AI7">
            <v>10000</v>
          </cell>
        </row>
      </sheetData>
      <sheetData sheetId="14141">
        <row r="7">
          <cell r="AI7">
            <v>10000</v>
          </cell>
        </row>
      </sheetData>
      <sheetData sheetId="14142">
        <row r="7">
          <cell r="AI7">
            <v>10000</v>
          </cell>
        </row>
      </sheetData>
      <sheetData sheetId="14143">
        <row r="7">
          <cell r="AI7">
            <v>10000</v>
          </cell>
        </row>
      </sheetData>
      <sheetData sheetId="14144">
        <row r="7">
          <cell r="AI7">
            <v>10000</v>
          </cell>
        </row>
      </sheetData>
      <sheetData sheetId="14145">
        <row r="7">
          <cell r="AI7">
            <v>10000</v>
          </cell>
        </row>
      </sheetData>
      <sheetData sheetId="14146">
        <row r="7">
          <cell r="AI7">
            <v>10000</v>
          </cell>
        </row>
      </sheetData>
      <sheetData sheetId="14147">
        <row r="7">
          <cell r="AI7">
            <v>10000</v>
          </cell>
        </row>
      </sheetData>
      <sheetData sheetId="14148">
        <row r="7">
          <cell r="AI7">
            <v>10000</v>
          </cell>
        </row>
      </sheetData>
      <sheetData sheetId="14149">
        <row r="7">
          <cell r="AI7">
            <v>10000</v>
          </cell>
        </row>
      </sheetData>
      <sheetData sheetId="14150">
        <row r="7">
          <cell r="AI7">
            <v>10000</v>
          </cell>
        </row>
      </sheetData>
      <sheetData sheetId="14151">
        <row r="7">
          <cell r="AI7">
            <v>10000</v>
          </cell>
        </row>
      </sheetData>
      <sheetData sheetId="14152">
        <row r="7">
          <cell r="AI7">
            <v>10000</v>
          </cell>
        </row>
      </sheetData>
      <sheetData sheetId="14153">
        <row r="7">
          <cell r="AI7">
            <v>10000</v>
          </cell>
        </row>
      </sheetData>
      <sheetData sheetId="14154">
        <row r="7">
          <cell r="AI7">
            <v>10000</v>
          </cell>
        </row>
      </sheetData>
      <sheetData sheetId="14155">
        <row r="7">
          <cell r="AI7">
            <v>10000</v>
          </cell>
        </row>
      </sheetData>
      <sheetData sheetId="14156">
        <row r="7">
          <cell r="AI7">
            <v>10000</v>
          </cell>
        </row>
      </sheetData>
      <sheetData sheetId="14157">
        <row r="7">
          <cell r="AI7">
            <v>10000</v>
          </cell>
        </row>
      </sheetData>
      <sheetData sheetId="14158">
        <row r="7">
          <cell r="AI7">
            <v>10000</v>
          </cell>
        </row>
      </sheetData>
      <sheetData sheetId="14159">
        <row r="7">
          <cell r="AI7">
            <v>10000</v>
          </cell>
        </row>
      </sheetData>
      <sheetData sheetId="14160">
        <row r="7">
          <cell r="AI7">
            <v>10000</v>
          </cell>
        </row>
      </sheetData>
      <sheetData sheetId="14161">
        <row r="7">
          <cell r="AI7">
            <v>10000</v>
          </cell>
        </row>
      </sheetData>
      <sheetData sheetId="14162">
        <row r="7">
          <cell r="AI7">
            <v>10000</v>
          </cell>
        </row>
      </sheetData>
      <sheetData sheetId="14163">
        <row r="7">
          <cell r="AI7">
            <v>10000</v>
          </cell>
        </row>
      </sheetData>
      <sheetData sheetId="14164">
        <row r="7">
          <cell r="AI7">
            <v>10000</v>
          </cell>
        </row>
      </sheetData>
      <sheetData sheetId="14165">
        <row r="7">
          <cell r="AI7">
            <v>10000</v>
          </cell>
        </row>
      </sheetData>
      <sheetData sheetId="14166">
        <row r="7">
          <cell r="AI7">
            <v>10000</v>
          </cell>
        </row>
      </sheetData>
      <sheetData sheetId="14167">
        <row r="7">
          <cell r="AI7">
            <v>10000</v>
          </cell>
        </row>
      </sheetData>
      <sheetData sheetId="14168">
        <row r="7">
          <cell r="AI7">
            <v>10000</v>
          </cell>
        </row>
      </sheetData>
      <sheetData sheetId="14169">
        <row r="7">
          <cell r="AI7">
            <v>10000</v>
          </cell>
        </row>
      </sheetData>
      <sheetData sheetId="14170">
        <row r="7">
          <cell r="AI7">
            <v>10000</v>
          </cell>
        </row>
      </sheetData>
      <sheetData sheetId="14171">
        <row r="7">
          <cell r="AI7">
            <v>10000</v>
          </cell>
        </row>
      </sheetData>
      <sheetData sheetId="14172">
        <row r="7">
          <cell r="AI7">
            <v>10000</v>
          </cell>
        </row>
      </sheetData>
      <sheetData sheetId="14173">
        <row r="7">
          <cell r="AI7">
            <v>10000</v>
          </cell>
        </row>
      </sheetData>
      <sheetData sheetId="14174">
        <row r="7">
          <cell r="AI7">
            <v>10000</v>
          </cell>
        </row>
      </sheetData>
      <sheetData sheetId="14175">
        <row r="7">
          <cell r="AI7">
            <v>10000</v>
          </cell>
        </row>
      </sheetData>
      <sheetData sheetId="14176">
        <row r="7">
          <cell r="AI7">
            <v>10000</v>
          </cell>
        </row>
      </sheetData>
      <sheetData sheetId="14177">
        <row r="7">
          <cell r="AI7">
            <v>10000</v>
          </cell>
        </row>
      </sheetData>
      <sheetData sheetId="14178">
        <row r="7">
          <cell r="AI7">
            <v>10000</v>
          </cell>
        </row>
      </sheetData>
      <sheetData sheetId="14179">
        <row r="7">
          <cell r="AI7">
            <v>10000</v>
          </cell>
        </row>
      </sheetData>
      <sheetData sheetId="14180">
        <row r="7">
          <cell r="AI7">
            <v>10000</v>
          </cell>
        </row>
      </sheetData>
      <sheetData sheetId="14181">
        <row r="7">
          <cell r="AI7">
            <v>10000</v>
          </cell>
        </row>
      </sheetData>
      <sheetData sheetId="14182">
        <row r="7">
          <cell r="AI7">
            <v>10000</v>
          </cell>
        </row>
      </sheetData>
      <sheetData sheetId="14183">
        <row r="7">
          <cell r="AI7">
            <v>10000</v>
          </cell>
        </row>
      </sheetData>
      <sheetData sheetId="14184">
        <row r="7">
          <cell r="AI7">
            <v>10000</v>
          </cell>
        </row>
      </sheetData>
      <sheetData sheetId="14185">
        <row r="7">
          <cell r="AI7">
            <v>10000</v>
          </cell>
        </row>
      </sheetData>
      <sheetData sheetId="14186">
        <row r="7">
          <cell r="AI7">
            <v>10000</v>
          </cell>
        </row>
      </sheetData>
      <sheetData sheetId="14187">
        <row r="7">
          <cell r="AI7">
            <v>10000</v>
          </cell>
        </row>
      </sheetData>
      <sheetData sheetId="14188">
        <row r="7">
          <cell r="AI7">
            <v>10000</v>
          </cell>
        </row>
      </sheetData>
      <sheetData sheetId="14189">
        <row r="7">
          <cell r="AI7">
            <v>10000</v>
          </cell>
        </row>
      </sheetData>
      <sheetData sheetId="14190">
        <row r="7">
          <cell r="AI7">
            <v>10000</v>
          </cell>
        </row>
      </sheetData>
      <sheetData sheetId="14191">
        <row r="7">
          <cell r="AI7">
            <v>10000</v>
          </cell>
        </row>
      </sheetData>
      <sheetData sheetId="14192">
        <row r="7">
          <cell r="AI7">
            <v>10000</v>
          </cell>
        </row>
      </sheetData>
      <sheetData sheetId="14193">
        <row r="7">
          <cell r="AI7">
            <v>10000</v>
          </cell>
        </row>
      </sheetData>
      <sheetData sheetId="14194">
        <row r="7">
          <cell r="AI7">
            <v>10000</v>
          </cell>
        </row>
      </sheetData>
      <sheetData sheetId="14195">
        <row r="7">
          <cell r="AI7">
            <v>10000</v>
          </cell>
        </row>
      </sheetData>
      <sheetData sheetId="14196">
        <row r="7">
          <cell r="AI7">
            <v>10000</v>
          </cell>
        </row>
      </sheetData>
      <sheetData sheetId="14197">
        <row r="7">
          <cell r="AI7">
            <v>10000</v>
          </cell>
        </row>
      </sheetData>
      <sheetData sheetId="14198">
        <row r="7">
          <cell r="AI7">
            <v>10000</v>
          </cell>
        </row>
      </sheetData>
      <sheetData sheetId="14199">
        <row r="7">
          <cell r="AI7">
            <v>10000</v>
          </cell>
        </row>
      </sheetData>
      <sheetData sheetId="14200">
        <row r="7">
          <cell r="AI7">
            <v>10000</v>
          </cell>
        </row>
      </sheetData>
      <sheetData sheetId="14201">
        <row r="7">
          <cell r="AI7">
            <v>10000</v>
          </cell>
        </row>
      </sheetData>
      <sheetData sheetId="14202">
        <row r="7">
          <cell r="AI7">
            <v>10000</v>
          </cell>
        </row>
      </sheetData>
      <sheetData sheetId="14203">
        <row r="7">
          <cell r="AI7">
            <v>10000</v>
          </cell>
        </row>
      </sheetData>
      <sheetData sheetId="14204">
        <row r="7">
          <cell r="AI7">
            <v>10000</v>
          </cell>
        </row>
      </sheetData>
      <sheetData sheetId="14205">
        <row r="7">
          <cell r="AI7">
            <v>10000</v>
          </cell>
        </row>
      </sheetData>
      <sheetData sheetId="14206">
        <row r="7">
          <cell r="AI7">
            <v>10000</v>
          </cell>
        </row>
      </sheetData>
      <sheetData sheetId="14207">
        <row r="7">
          <cell r="AI7">
            <v>10000</v>
          </cell>
        </row>
      </sheetData>
      <sheetData sheetId="14208">
        <row r="7">
          <cell r="AI7">
            <v>10000</v>
          </cell>
        </row>
      </sheetData>
      <sheetData sheetId="14209">
        <row r="7">
          <cell r="AI7">
            <v>10000</v>
          </cell>
        </row>
      </sheetData>
      <sheetData sheetId="14210">
        <row r="7">
          <cell r="AI7">
            <v>10000</v>
          </cell>
        </row>
      </sheetData>
      <sheetData sheetId="14211">
        <row r="7">
          <cell r="AI7">
            <v>10000</v>
          </cell>
        </row>
      </sheetData>
      <sheetData sheetId="14212">
        <row r="7">
          <cell r="AI7">
            <v>10000</v>
          </cell>
        </row>
      </sheetData>
      <sheetData sheetId="14213">
        <row r="7">
          <cell r="AI7">
            <v>10000</v>
          </cell>
        </row>
      </sheetData>
      <sheetData sheetId="14214">
        <row r="7">
          <cell r="AI7">
            <v>10000</v>
          </cell>
        </row>
      </sheetData>
      <sheetData sheetId="14215">
        <row r="7">
          <cell r="AI7">
            <v>10000</v>
          </cell>
        </row>
      </sheetData>
      <sheetData sheetId="14216">
        <row r="7">
          <cell r="AI7">
            <v>10000</v>
          </cell>
        </row>
      </sheetData>
      <sheetData sheetId="14217">
        <row r="7">
          <cell r="AI7">
            <v>10000</v>
          </cell>
        </row>
      </sheetData>
      <sheetData sheetId="14218">
        <row r="7">
          <cell r="AI7">
            <v>10000</v>
          </cell>
        </row>
      </sheetData>
      <sheetData sheetId="14219">
        <row r="7">
          <cell r="AI7">
            <v>10000</v>
          </cell>
        </row>
      </sheetData>
      <sheetData sheetId="14220">
        <row r="7">
          <cell r="AI7">
            <v>10000</v>
          </cell>
        </row>
      </sheetData>
      <sheetData sheetId="14221">
        <row r="7">
          <cell r="AI7">
            <v>10000</v>
          </cell>
        </row>
      </sheetData>
      <sheetData sheetId="14222">
        <row r="7">
          <cell r="AI7">
            <v>10000</v>
          </cell>
        </row>
      </sheetData>
      <sheetData sheetId="14223">
        <row r="7">
          <cell r="AI7">
            <v>10000</v>
          </cell>
        </row>
      </sheetData>
      <sheetData sheetId="14224">
        <row r="7">
          <cell r="AI7">
            <v>10000</v>
          </cell>
        </row>
      </sheetData>
      <sheetData sheetId="14225">
        <row r="7">
          <cell r="AI7">
            <v>10000</v>
          </cell>
        </row>
      </sheetData>
      <sheetData sheetId="14226">
        <row r="7">
          <cell r="AI7">
            <v>10000</v>
          </cell>
        </row>
      </sheetData>
      <sheetData sheetId="14227">
        <row r="7">
          <cell r="AI7">
            <v>10000</v>
          </cell>
        </row>
      </sheetData>
      <sheetData sheetId="14228">
        <row r="7">
          <cell r="AI7">
            <v>10000</v>
          </cell>
        </row>
      </sheetData>
      <sheetData sheetId="14229">
        <row r="7">
          <cell r="AI7">
            <v>10000</v>
          </cell>
        </row>
      </sheetData>
      <sheetData sheetId="14230">
        <row r="7">
          <cell r="AI7">
            <v>10000</v>
          </cell>
        </row>
      </sheetData>
      <sheetData sheetId="14231">
        <row r="7">
          <cell r="AI7">
            <v>10000</v>
          </cell>
        </row>
      </sheetData>
      <sheetData sheetId="14232">
        <row r="7">
          <cell r="AI7">
            <v>10000</v>
          </cell>
        </row>
      </sheetData>
      <sheetData sheetId="14233">
        <row r="7">
          <cell r="AI7">
            <v>10000</v>
          </cell>
        </row>
      </sheetData>
      <sheetData sheetId="14234">
        <row r="7">
          <cell r="AI7">
            <v>10000</v>
          </cell>
        </row>
      </sheetData>
      <sheetData sheetId="14235">
        <row r="7">
          <cell r="AI7">
            <v>10000</v>
          </cell>
        </row>
      </sheetData>
      <sheetData sheetId="14236">
        <row r="7">
          <cell r="AI7">
            <v>10000</v>
          </cell>
        </row>
      </sheetData>
      <sheetData sheetId="14237">
        <row r="7">
          <cell r="AI7">
            <v>10000</v>
          </cell>
        </row>
      </sheetData>
      <sheetData sheetId="14238">
        <row r="7">
          <cell r="AI7">
            <v>10000</v>
          </cell>
        </row>
      </sheetData>
      <sheetData sheetId="14239">
        <row r="7">
          <cell r="AI7">
            <v>10000</v>
          </cell>
        </row>
      </sheetData>
      <sheetData sheetId="14240">
        <row r="7">
          <cell r="AI7">
            <v>10000</v>
          </cell>
        </row>
      </sheetData>
      <sheetData sheetId="14241">
        <row r="7">
          <cell r="AI7">
            <v>10000</v>
          </cell>
        </row>
      </sheetData>
      <sheetData sheetId="14242">
        <row r="7">
          <cell r="AI7">
            <v>10000</v>
          </cell>
        </row>
      </sheetData>
      <sheetData sheetId="14243">
        <row r="7">
          <cell r="AI7">
            <v>10000</v>
          </cell>
        </row>
      </sheetData>
      <sheetData sheetId="14244">
        <row r="7">
          <cell r="AI7">
            <v>10000</v>
          </cell>
        </row>
      </sheetData>
      <sheetData sheetId="14245">
        <row r="7">
          <cell r="AI7">
            <v>10000</v>
          </cell>
        </row>
      </sheetData>
      <sheetData sheetId="14246">
        <row r="7">
          <cell r="AI7">
            <v>10000</v>
          </cell>
        </row>
      </sheetData>
      <sheetData sheetId="14247">
        <row r="7">
          <cell r="AI7">
            <v>10000</v>
          </cell>
        </row>
      </sheetData>
      <sheetData sheetId="14248">
        <row r="7">
          <cell r="AI7">
            <v>10000</v>
          </cell>
        </row>
      </sheetData>
      <sheetData sheetId="14249">
        <row r="7">
          <cell r="AI7">
            <v>10000</v>
          </cell>
        </row>
      </sheetData>
      <sheetData sheetId="14250">
        <row r="7">
          <cell r="AI7">
            <v>10000</v>
          </cell>
        </row>
      </sheetData>
      <sheetData sheetId="14251">
        <row r="7">
          <cell r="AI7">
            <v>10000</v>
          </cell>
        </row>
      </sheetData>
      <sheetData sheetId="14252">
        <row r="7">
          <cell r="AI7">
            <v>10000</v>
          </cell>
        </row>
      </sheetData>
      <sheetData sheetId="14253">
        <row r="7">
          <cell r="AI7">
            <v>10000</v>
          </cell>
        </row>
      </sheetData>
      <sheetData sheetId="14254">
        <row r="7">
          <cell r="AI7">
            <v>10000</v>
          </cell>
        </row>
      </sheetData>
      <sheetData sheetId="14255">
        <row r="7">
          <cell r="AI7">
            <v>10000</v>
          </cell>
        </row>
      </sheetData>
      <sheetData sheetId="14256">
        <row r="7">
          <cell r="AI7">
            <v>10000</v>
          </cell>
        </row>
      </sheetData>
      <sheetData sheetId="14257">
        <row r="7">
          <cell r="AI7">
            <v>10000</v>
          </cell>
        </row>
      </sheetData>
      <sheetData sheetId="14258">
        <row r="7">
          <cell r="AI7">
            <v>10000</v>
          </cell>
        </row>
      </sheetData>
      <sheetData sheetId="14259">
        <row r="7">
          <cell r="AI7">
            <v>10000</v>
          </cell>
        </row>
      </sheetData>
      <sheetData sheetId="14260">
        <row r="7">
          <cell r="AI7">
            <v>10000</v>
          </cell>
        </row>
      </sheetData>
      <sheetData sheetId="14261">
        <row r="7">
          <cell r="AI7">
            <v>10000</v>
          </cell>
        </row>
      </sheetData>
      <sheetData sheetId="14262">
        <row r="7">
          <cell r="AI7">
            <v>10000</v>
          </cell>
        </row>
      </sheetData>
      <sheetData sheetId="14263">
        <row r="7">
          <cell r="AI7">
            <v>10000</v>
          </cell>
        </row>
      </sheetData>
      <sheetData sheetId="14264">
        <row r="7">
          <cell r="AI7">
            <v>10000</v>
          </cell>
        </row>
      </sheetData>
      <sheetData sheetId="14265">
        <row r="7">
          <cell r="AI7">
            <v>10000</v>
          </cell>
        </row>
      </sheetData>
      <sheetData sheetId="14266">
        <row r="7">
          <cell r="AI7">
            <v>10000</v>
          </cell>
        </row>
      </sheetData>
      <sheetData sheetId="14267">
        <row r="7">
          <cell r="AI7">
            <v>10000</v>
          </cell>
        </row>
      </sheetData>
      <sheetData sheetId="14268">
        <row r="7">
          <cell r="AI7">
            <v>10000</v>
          </cell>
        </row>
      </sheetData>
      <sheetData sheetId="14269">
        <row r="7">
          <cell r="AI7">
            <v>10000</v>
          </cell>
        </row>
      </sheetData>
      <sheetData sheetId="14270">
        <row r="7">
          <cell r="AI7">
            <v>10000</v>
          </cell>
        </row>
      </sheetData>
      <sheetData sheetId="14271">
        <row r="7">
          <cell r="AI7">
            <v>10000</v>
          </cell>
        </row>
      </sheetData>
      <sheetData sheetId="14272">
        <row r="7">
          <cell r="AI7">
            <v>10000</v>
          </cell>
        </row>
      </sheetData>
      <sheetData sheetId="14273">
        <row r="7">
          <cell r="AI7">
            <v>10000</v>
          </cell>
        </row>
      </sheetData>
      <sheetData sheetId="14274">
        <row r="7">
          <cell r="AI7">
            <v>10000</v>
          </cell>
        </row>
      </sheetData>
      <sheetData sheetId="14275">
        <row r="7">
          <cell r="AI7">
            <v>10000</v>
          </cell>
        </row>
      </sheetData>
      <sheetData sheetId="14276">
        <row r="7">
          <cell r="AI7">
            <v>10000</v>
          </cell>
        </row>
      </sheetData>
      <sheetData sheetId="14277">
        <row r="7">
          <cell r="AI7">
            <v>10000</v>
          </cell>
        </row>
      </sheetData>
      <sheetData sheetId="14278">
        <row r="7">
          <cell r="AI7">
            <v>10000</v>
          </cell>
        </row>
      </sheetData>
      <sheetData sheetId="14279">
        <row r="7">
          <cell r="AI7">
            <v>10000</v>
          </cell>
        </row>
      </sheetData>
      <sheetData sheetId="14280">
        <row r="7">
          <cell r="AI7">
            <v>10000</v>
          </cell>
        </row>
      </sheetData>
      <sheetData sheetId="14281">
        <row r="7">
          <cell r="AI7">
            <v>10000</v>
          </cell>
        </row>
      </sheetData>
      <sheetData sheetId="14282">
        <row r="7">
          <cell r="AI7">
            <v>10000</v>
          </cell>
        </row>
      </sheetData>
      <sheetData sheetId="14283">
        <row r="7">
          <cell r="AI7">
            <v>10000</v>
          </cell>
        </row>
      </sheetData>
      <sheetData sheetId="14284">
        <row r="7">
          <cell r="AI7">
            <v>10000</v>
          </cell>
        </row>
      </sheetData>
      <sheetData sheetId="14285">
        <row r="7">
          <cell r="AI7">
            <v>10000</v>
          </cell>
        </row>
      </sheetData>
      <sheetData sheetId="14286">
        <row r="7">
          <cell r="AI7">
            <v>10000</v>
          </cell>
        </row>
      </sheetData>
      <sheetData sheetId="14287">
        <row r="7">
          <cell r="AI7">
            <v>10000</v>
          </cell>
        </row>
      </sheetData>
      <sheetData sheetId="14288">
        <row r="7">
          <cell r="AI7">
            <v>10000</v>
          </cell>
        </row>
      </sheetData>
      <sheetData sheetId="14289">
        <row r="7">
          <cell r="AI7">
            <v>10000</v>
          </cell>
        </row>
      </sheetData>
      <sheetData sheetId="14290">
        <row r="7">
          <cell r="AI7">
            <v>10000</v>
          </cell>
        </row>
      </sheetData>
      <sheetData sheetId="14291">
        <row r="7">
          <cell r="AI7">
            <v>10000</v>
          </cell>
        </row>
      </sheetData>
      <sheetData sheetId="14292">
        <row r="7">
          <cell r="AI7">
            <v>10000</v>
          </cell>
        </row>
      </sheetData>
      <sheetData sheetId="14293">
        <row r="7">
          <cell r="AI7">
            <v>10000</v>
          </cell>
        </row>
      </sheetData>
      <sheetData sheetId="14294">
        <row r="7">
          <cell r="AI7">
            <v>10000</v>
          </cell>
        </row>
      </sheetData>
      <sheetData sheetId="14295">
        <row r="7">
          <cell r="AI7">
            <v>10000</v>
          </cell>
        </row>
      </sheetData>
      <sheetData sheetId="14296">
        <row r="7">
          <cell r="AI7">
            <v>10000</v>
          </cell>
        </row>
      </sheetData>
      <sheetData sheetId="14297">
        <row r="7">
          <cell r="AI7">
            <v>10000</v>
          </cell>
        </row>
      </sheetData>
      <sheetData sheetId="14298">
        <row r="7">
          <cell r="AI7">
            <v>10000</v>
          </cell>
        </row>
      </sheetData>
      <sheetData sheetId="14299">
        <row r="7">
          <cell r="AI7">
            <v>10000</v>
          </cell>
        </row>
      </sheetData>
      <sheetData sheetId="14300">
        <row r="7">
          <cell r="AI7">
            <v>10000</v>
          </cell>
        </row>
      </sheetData>
      <sheetData sheetId="14301">
        <row r="7">
          <cell r="AI7">
            <v>10000</v>
          </cell>
        </row>
      </sheetData>
      <sheetData sheetId="14302">
        <row r="7">
          <cell r="AI7">
            <v>10000</v>
          </cell>
        </row>
      </sheetData>
      <sheetData sheetId="14303">
        <row r="7">
          <cell r="AI7">
            <v>10000</v>
          </cell>
        </row>
      </sheetData>
      <sheetData sheetId="14304">
        <row r="7">
          <cell r="AI7">
            <v>10000</v>
          </cell>
        </row>
      </sheetData>
      <sheetData sheetId="14305">
        <row r="7">
          <cell r="AI7">
            <v>10000</v>
          </cell>
        </row>
      </sheetData>
      <sheetData sheetId="14306">
        <row r="7">
          <cell r="AI7">
            <v>10000</v>
          </cell>
        </row>
      </sheetData>
      <sheetData sheetId="14307">
        <row r="7">
          <cell r="AI7">
            <v>10000</v>
          </cell>
        </row>
      </sheetData>
      <sheetData sheetId="14308">
        <row r="7">
          <cell r="AI7">
            <v>10000</v>
          </cell>
        </row>
      </sheetData>
      <sheetData sheetId="14309">
        <row r="7">
          <cell r="AI7">
            <v>10000</v>
          </cell>
        </row>
      </sheetData>
      <sheetData sheetId="14310">
        <row r="7">
          <cell r="AI7">
            <v>10000</v>
          </cell>
        </row>
      </sheetData>
      <sheetData sheetId="14311">
        <row r="7">
          <cell r="AI7">
            <v>10000</v>
          </cell>
        </row>
      </sheetData>
      <sheetData sheetId="14312">
        <row r="7">
          <cell r="AI7">
            <v>10000</v>
          </cell>
        </row>
      </sheetData>
      <sheetData sheetId="14313">
        <row r="7">
          <cell r="AI7">
            <v>10000</v>
          </cell>
        </row>
      </sheetData>
      <sheetData sheetId="14314">
        <row r="7">
          <cell r="AI7">
            <v>10000</v>
          </cell>
        </row>
      </sheetData>
      <sheetData sheetId="14315">
        <row r="7">
          <cell r="AI7">
            <v>10000</v>
          </cell>
        </row>
      </sheetData>
      <sheetData sheetId="14316">
        <row r="7">
          <cell r="AI7">
            <v>10000</v>
          </cell>
        </row>
      </sheetData>
      <sheetData sheetId="14317">
        <row r="7">
          <cell r="AI7">
            <v>10000</v>
          </cell>
        </row>
      </sheetData>
      <sheetData sheetId="14318">
        <row r="7">
          <cell r="AI7">
            <v>10000</v>
          </cell>
        </row>
      </sheetData>
      <sheetData sheetId="14319">
        <row r="7">
          <cell r="AI7">
            <v>10000</v>
          </cell>
        </row>
      </sheetData>
      <sheetData sheetId="14320">
        <row r="7">
          <cell r="AI7">
            <v>10000</v>
          </cell>
        </row>
      </sheetData>
      <sheetData sheetId="14321">
        <row r="7">
          <cell r="AI7">
            <v>10000</v>
          </cell>
        </row>
      </sheetData>
      <sheetData sheetId="14322">
        <row r="7">
          <cell r="AI7">
            <v>10000</v>
          </cell>
        </row>
      </sheetData>
      <sheetData sheetId="14323">
        <row r="7">
          <cell r="AI7">
            <v>10000</v>
          </cell>
        </row>
      </sheetData>
      <sheetData sheetId="14324">
        <row r="7">
          <cell r="AI7">
            <v>10000</v>
          </cell>
        </row>
      </sheetData>
      <sheetData sheetId="14325">
        <row r="7">
          <cell r="AI7">
            <v>10000</v>
          </cell>
        </row>
      </sheetData>
      <sheetData sheetId="14326">
        <row r="7">
          <cell r="AI7">
            <v>10000</v>
          </cell>
        </row>
      </sheetData>
      <sheetData sheetId="14327">
        <row r="7">
          <cell r="AI7">
            <v>10000</v>
          </cell>
        </row>
      </sheetData>
      <sheetData sheetId="14328">
        <row r="7">
          <cell r="AI7">
            <v>10000</v>
          </cell>
        </row>
      </sheetData>
      <sheetData sheetId="14329">
        <row r="7">
          <cell r="AI7">
            <v>10000</v>
          </cell>
        </row>
      </sheetData>
      <sheetData sheetId="14330">
        <row r="7">
          <cell r="AI7">
            <v>10000</v>
          </cell>
        </row>
      </sheetData>
      <sheetData sheetId="14331">
        <row r="7">
          <cell r="AI7">
            <v>10000</v>
          </cell>
        </row>
      </sheetData>
      <sheetData sheetId="14332">
        <row r="7">
          <cell r="AI7">
            <v>10000</v>
          </cell>
        </row>
      </sheetData>
      <sheetData sheetId="14333">
        <row r="7">
          <cell r="AI7">
            <v>10000</v>
          </cell>
        </row>
      </sheetData>
      <sheetData sheetId="14334">
        <row r="7">
          <cell r="AI7">
            <v>10000</v>
          </cell>
        </row>
      </sheetData>
      <sheetData sheetId="14335">
        <row r="7">
          <cell r="AI7">
            <v>10000</v>
          </cell>
        </row>
      </sheetData>
      <sheetData sheetId="14336">
        <row r="7">
          <cell r="AI7">
            <v>10000</v>
          </cell>
        </row>
      </sheetData>
      <sheetData sheetId="14337">
        <row r="7">
          <cell r="AI7">
            <v>10000</v>
          </cell>
        </row>
      </sheetData>
      <sheetData sheetId="14338">
        <row r="7">
          <cell r="AI7">
            <v>10000</v>
          </cell>
        </row>
      </sheetData>
      <sheetData sheetId="14339">
        <row r="7">
          <cell r="AI7">
            <v>10000</v>
          </cell>
        </row>
      </sheetData>
      <sheetData sheetId="14340">
        <row r="7">
          <cell r="AI7">
            <v>10000</v>
          </cell>
        </row>
      </sheetData>
      <sheetData sheetId="14341">
        <row r="7">
          <cell r="AI7">
            <v>10000</v>
          </cell>
        </row>
      </sheetData>
      <sheetData sheetId="14342">
        <row r="7">
          <cell r="AI7">
            <v>10000</v>
          </cell>
        </row>
      </sheetData>
      <sheetData sheetId="14343">
        <row r="7">
          <cell r="AI7">
            <v>10000</v>
          </cell>
        </row>
      </sheetData>
      <sheetData sheetId="14344">
        <row r="7">
          <cell r="AI7">
            <v>10000</v>
          </cell>
        </row>
      </sheetData>
      <sheetData sheetId="14345">
        <row r="7">
          <cell r="AI7">
            <v>10000</v>
          </cell>
        </row>
      </sheetData>
      <sheetData sheetId="14346">
        <row r="7">
          <cell r="AI7">
            <v>10000</v>
          </cell>
        </row>
      </sheetData>
      <sheetData sheetId="14347">
        <row r="7">
          <cell r="AI7">
            <v>10000</v>
          </cell>
        </row>
      </sheetData>
      <sheetData sheetId="14348">
        <row r="7">
          <cell r="AI7">
            <v>10000</v>
          </cell>
        </row>
      </sheetData>
      <sheetData sheetId="14349">
        <row r="7">
          <cell r="AI7">
            <v>10000</v>
          </cell>
        </row>
      </sheetData>
      <sheetData sheetId="14350">
        <row r="7">
          <cell r="AI7">
            <v>10000</v>
          </cell>
        </row>
      </sheetData>
      <sheetData sheetId="14351">
        <row r="7">
          <cell r="AI7">
            <v>10000</v>
          </cell>
        </row>
      </sheetData>
      <sheetData sheetId="14352">
        <row r="7">
          <cell r="AI7">
            <v>10000</v>
          </cell>
        </row>
      </sheetData>
      <sheetData sheetId="14353">
        <row r="7">
          <cell r="AI7">
            <v>10000</v>
          </cell>
        </row>
      </sheetData>
      <sheetData sheetId="14354">
        <row r="7">
          <cell r="AI7">
            <v>10000</v>
          </cell>
        </row>
      </sheetData>
      <sheetData sheetId="14355">
        <row r="7">
          <cell r="AI7">
            <v>10000</v>
          </cell>
        </row>
      </sheetData>
      <sheetData sheetId="14356">
        <row r="7">
          <cell r="AI7">
            <v>10000</v>
          </cell>
        </row>
      </sheetData>
      <sheetData sheetId="14357">
        <row r="7">
          <cell r="AI7">
            <v>10000</v>
          </cell>
        </row>
      </sheetData>
      <sheetData sheetId="14358">
        <row r="7">
          <cell r="AI7">
            <v>10000</v>
          </cell>
        </row>
      </sheetData>
      <sheetData sheetId="14359">
        <row r="7">
          <cell r="AI7">
            <v>10000</v>
          </cell>
        </row>
      </sheetData>
      <sheetData sheetId="14360">
        <row r="7">
          <cell r="AI7">
            <v>10000</v>
          </cell>
        </row>
      </sheetData>
      <sheetData sheetId="14361">
        <row r="7">
          <cell r="AI7">
            <v>10000</v>
          </cell>
        </row>
      </sheetData>
      <sheetData sheetId="14362">
        <row r="7">
          <cell r="AI7">
            <v>10000</v>
          </cell>
        </row>
      </sheetData>
      <sheetData sheetId="14363">
        <row r="7">
          <cell r="AI7">
            <v>10000</v>
          </cell>
        </row>
      </sheetData>
      <sheetData sheetId="14364">
        <row r="7">
          <cell r="AI7">
            <v>10000</v>
          </cell>
        </row>
      </sheetData>
      <sheetData sheetId="14365">
        <row r="7">
          <cell r="AI7">
            <v>10000</v>
          </cell>
        </row>
      </sheetData>
      <sheetData sheetId="14366">
        <row r="7">
          <cell r="AI7">
            <v>10000</v>
          </cell>
        </row>
      </sheetData>
      <sheetData sheetId="14367">
        <row r="7">
          <cell r="AI7">
            <v>10000</v>
          </cell>
        </row>
      </sheetData>
      <sheetData sheetId="14368">
        <row r="7">
          <cell r="AI7">
            <v>10000</v>
          </cell>
        </row>
      </sheetData>
      <sheetData sheetId="14369">
        <row r="7">
          <cell r="AI7">
            <v>10000</v>
          </cell>
        </row>
      </sheetData>
      <sheetData sheetId="14370">
        <row r="7">
          <cell r="AI7">
            <v>10000</v>
          </cell>
        </row>
      </sheetData>
      <sheetData sheetId="14371">
        <row r="7">
          <cell r="AI7">
            <v>10000</v>
          </cell>
        </row>
      </sheetData>
      <sheetData sheetId="14372">
        <row r="7">
          <cell r="AI7">
            <v>10000</v>
          </cell>
        </row>
      </sheetData>
      <sheetData sheetId="14373">
        <row r="7">
          <cell r="AI7">
            <v>10000</v>
          </cell>
        </row>
      </sheetData>
      <sheetData sheetId="14374">
        <row r="7">
          <cell r="AI7">
            <v>10000</v>
          </cell>
        </row>
      </sheetData>
      <sheetData sheetId="14375">
        <row r="7">
          <cell r="AI7">
            <v>10000</v>
          </cell>
        </row>
      </sheetData>
      <sheetData sheetId="14376">
        <row r="7">
          <cell r="AI7">
            <v>10000</v>
          </cell>
        </row>
      </sheetData>
      <sheetData sheetId="14377">
        <row r="7">
          <cell r="AI7">
            <v>10000</v>
          </cell>
        </row>
      </sheetData>
      <sheetData sheetId="14378">
        <row r="7">
          <cell r="AI7">
            <v>10000</v>
          </cell>
        </row>
      </sheetData>
      <sheetData sheetId="14379">
        <row r="7">
          <cell r="AI7">
            <v>10000</v>
          </cell>
        </row>
      </sheetData>
      <sheetData sheetId="14380">
        <row r="7">
          <cell r="AI7">
            <v>10000</v>
          </cell>
        </row>
      </sheetData>
      <sheetData sheetId="14381">
        <row r="7">
          <cell r="AI7">
            <v>10000</v>
          </cell>
        </row>
      </sheetData>
      <sheetData sheetId="14382">
        <row r="7">
          <cell r="AI7">
            <v>10000</v>
          </cell>
        </row>
      </sheetData>
      <sheetData sheetId="14383">
        <row r="7">
          <cell r="AI7">
            <v>10000</v>
          </cell>
        </row>
      </sheetData>
      <sheetData sheetId="14384">
        <row r="7">
          <cell r="AI7">
            <v>10000</v>
          </cell>
        </row>
      </sheetData>
      <sheetData sheetId="14385">
        <row r="7">
          <cell r="AI7">
            <v>10000</v>
          </cell>
        </row>
      </sheetData>
      <sheetData sheetId="14386">
        <row r="7">
          <cell r="AI7">
            <v>10000</v>
          </cell>
        </row>
      </sheetData>
      <sheetData sheetId="14387">
        <row r="7">
          <cell r="AI7">
            <v>10000</v>
          </cell>
        </row>
      </sheetData>
      <sheetData sheetId="14388">
        <row r="7">
          <cell r="AI7">
            <v>10000</v>
          </cell>
        </row>
      </sheetData>
      <sheetData sheetId="14389">
        <row r="7">
          <cell r="AI7">
            <v>10000</v>
          </cell>
        </row>
      </sheetData>
      <sheetData sheetId="14390">
        <row r="7">
          <cell r="AI7">
            <v>10000</v>
          </cell>
        </row>
      </sheetData>
      <sheetData sheetId="14391">
        <row r="7">
          <cell r="AI7">
            <v>10000</v>
          </cell>
        </row>
      </sheetData>
      <sheetData sheetId="14392">
        <row r="7">
          <cell r="AI7">
            <v>10000</v>
          </cell>
        </row>
      </sheetData>
      <sheetData sheetId="14393">
        <row r="7">
          <cell r="AI7">
            <v>10000</v>
          </cell>
        </row>
      </sheetData>
      <sheetData sheetId="14394">
        <row r="7">
          <cell r="AI7">
            <v>10000</v>
          </cell>
        </row>
      </sheetData>
      <sheetData sheetId="14395">
        <row r="7">
          <cell r="AI7">
            <v>10000</v>
          </cell>
        </row>
      </sheetData>
      <sheetData sheetId="14396">
        <row r="7">
          <cell r="AI7">
            <v>10000</v>
          </cell>
        </row>
      </sheetData>
      <sheetData sheetId="14397">
        <row r="7">
          <cell r="AI7">
            <v>10000</v>
          </cell>
        </row>
      </sheetData>
      <sheetData sheetId="14398">
        <row r="7">
          <cell r="AI7">
            <v>10000</v>
          </cell>
        </row>
      </sheetData>
      <sheetData sheetId="14399">
        <row r="7">
          <cell r="AI7">
            <v>10000</v>
          </cell>
        </row>
      </sheetData>
      <sheetData sheetId="14400">
        <row r="7">
          <cell r="AI7">
            <v>10000</v>
          </cell>
        </row>
      </sheetData>
      <sheetData sheetId="14401">
        <row r="7">
          <cell r="AI7">
            <v>10000</v>
          </cell>
        </row>
      </sheetData>
      <sheetData sheetId="14402">
        <row r="7">
          <cell r="AI7">
            <v>10000</v>
          </cell>
        </row>
      </sheetData>
      <sheetData sheetId="14403">
        <row r="7">
          <cell r="AI7">
            <v>10000</v>
          </cell>
        </row>
      </sheetData>
      <sheetData sheetId="14404">
        <row r="7">
          <cell r="AI7">
            <v>10000</v>
          </cell>
        </row>
      </sheetData>
      <sheetData sheetId="14405">
        <row r="7">
          <cell r="AI7">
            <v>10000</v>
          </cell>
        </row>
      </sheetData>
      <sheetData sheetId="14406">
        <row r="7">
          <cell r="AI7">
            <v>10000</v>
          </cell>
        </row>
      </sheetData>
      <sheetData sheetId="14407">
        <row r="7">
          <cell r="AI7">
            <v>10000</v>
          </cell>
        </row>
      </sheetData>
      <sheetData sheetId="14408">
        <row r="7">
          <cell r="AI7">
            <v>10000</v>
          </cell>
        </row>
      </sheetData>
      <sheetData sheetId="14409">
        <row r="7">
          <cell r="AI7">
            <v>10000</v>
          </cell>
        </row>
      </sheetData>
      <sheetData sheetId="14410">
        <row r="7">
          <cell r="AI7">
            <v>10000</v>
          </cell>
        </row>
      </sheetData>
      <sheetData sheetId="14411">
        <row r="7">
          <cell r="AI7">
            <v>10000</v>
          </cell>
        </row>
      </sheetData>
      <sheetData sheetId="14412">
        <row r="7">
          <cell r="AI7">
            <v>10000</v>
          </cell>
        </row>
      </sheetData>
      <sheetData sheetId="14413">
        <row r="7">
          <cell r="AI7">
            <v>10000</v>
          </cell>
        </row>
      </sheetData>
      <sheetData sheetId="14414">
        <row r="7">
          <cell r="AI7">
            <v>10000</v>
          </cell>
        </row>
      </sheetData>
      <sheetData sheetId="14415">
        <row r="7">
          <cell r="AI7">
            <v>10000</v>
          </cell>
        </row>
      </sheetData>
      <sheetData sheetId="14416">
        <row r="7">
          <cell r="AI7">
            <v>10000</v>
          </cell>
        </row>
      </sheetData>
      <sheetData sheetId="14417">
        <row r="7">
          <cell r="AI7">
            <v>10000</v>
          </cell>
        </row>
      </sheetData>
      <sheetData sheetId="14418">
        <row r="7">
          <cell r="AI7">
            <v>10000</v>
          </cell>
        </row>
      </sheetData>
      <sheetData sheetId="14419">
        <row r="7">
          <cell r="AI7">
            <v>10000</v>
          </cell>
        </row>
      </sheetData>
      <sheetData sheetId="14420">
        <row r="7">
          <cell r="AI7">
            <v>10000</v>
          </cell>
        </row>
      </sheetData>
      <sheetData sheetId="14421">
        <row r="7">
          <cell r="AI7">
            <v>10000</v>
          </cell>
        </row>
      </sheetData>
      <sheetData sheetId="14422">
        <row r="7">
          <cell r="AI7">
            <v>10000</v>
          </cell>
        </row>
      </sheetData>
      <sheetData sheetId="14423">
        <row r="7">
          <cell r="AI7">
            <v>10000</v>
          </cell>
        </row>
      </sheetData>
      <sheetData sheetId="14424">
        <row r="7">
          <cell r="AI7">
            <v>10000</v>
          </cell>
        </row>
      </sheetData>
      <sheetData sheetId="14425">
        <row r="7">
          <cell r="AI7">
            <v>10000</v>
          </cell>
        </row>
      </sheetData>
      <sheetData sheetId="14426">
        <row r="7">
          <cell r="AI7">
            <v>10000</v>
          </cell>
        </row>
      </sheetData>
      <sheetData sheetId="14427">
        <row r="7">
          <cell r="AI7">
            <v>10000</v>
          </cell>
        </row>
      </sheetData>
      <sheetData sheetId="14428">
        <row r="7">
          <cell r="AI7">
            <v>10000</v>
          </cell>
        </row>
      </sheetData>
      <sheetData sheetId="14429">
        <row r="7">
          <cell r="AI7">
            <v>10000</v>
          </cell>
        </row>
      </sheetData>
      <sheetData sheetId="14430">
        <row r="7">
          <cell r="AI7">
            <v>10000</v>
          </cell>
        </row>
      </sheetData>
      <sheetData sheetId="14431">
        <row r="7">
          <cell r="AI7">
            <v>10000</v>
          </cell>
        </row>
      </sheetData>
      <sheetData sheetId="14432">
        <row r="7">
          <cell r="AI7">
            <v>10000</v>
          </cell>
        </row>
      </sheetData>
      <sheetData sheetId="14433">
        <row r="7">
          <cell r="AI7">
            <v>10000</v>
          </cell>
        </row>
      </sheetData>
      <sheetData sheetId="14434">
        <row r="7">
          <cell r="AI7">
            <v>10000</v>
          </cell>
        </row>
      </sheetData>
      <sheetData sheetId="14435">
        <row r="7">
          <cell r="AI7">
            <v>10000</v>
          </cell>
        </row>
      </sheetData>
      <sheetData sheetId="14436">
        <row r="7">
          <cell r="AI7">
            <v>10000</v>
          </cell>
        </row>
      </sheetData>
      <sheetData sheetId="14437">
        <row r="7">
          <cell r="AI7">
            <v>10000</v>
          </cell>
        </row>
      </sheetData>
      <sheetData sheetId="14438">
        <row r="7">
          <cell r="AI7">
            <v>10000</v>
          </cell>
        </row>
      </sheetData>
      <sheetData sheetId="14439">
        <row r="7">
          <cell r="AI7">
            <v>10000</v>
          </cell>
        </row>
      </sheetData>
      <sheetData sheetId="14440">
        <row r="7">
          <cell r="AI7">
            <v>10000</v>
          </cell>
        </row>
      </sheetData>
      <sheetData sheetId="14441">
        <row r="7">
          <cell r="AI7">
            <v>10000</v>
          </cell>
        </row>
      </sheetData>
      <sheetData sheetId="14442">
        <row r="7">
          <cell r="AI7">
            <v>10000</v>
          </cell>
        </row>
      </sheetData>
      <sheetData sheetId="14443">
        <row r="7">
          <cell r="AI7">
            <v>10000</v>
          </cell>
        </row>
      </sheetData>
      <sheetData sheetId="14444">
        <row r="7">
          <cell r="AI7">
            <v>10000</v>
          </cell>
        </row>
      </sheetData>
      <sheetData sheetId="14445">
        <row r="7">
          <cell r="AI7">
            <v>10000</v>
          </cell>
        </row>
      </sheetData>
      <sheetData sheetId="14446">
        <row r="7">
          <cell r="AI7">
            <v>10000</v>
          </cell>
        </row>
      </sheetData>
      <sheetData sheetId="14447">
        <row r="7">
          <cell r="AI7">
            <v>10000</v>
          </cell>
        </row>
      </sheetData>
      <sheetData sheetId="14448">
        <row r="7">
          <cell r="AI7">
            <v>10000</v>
          </cell>
        </row>
      </sheetData>
      <sheetData sheetId="14449">
        <row r="7">
          <cell r="AI7">
            <v>10000</v>
          </cell>
        </row>
      </sheetData>
      <sheetData sheetId="14450">
        <row r="7">
          <cell r="AI7">
            <v>10000</v>
          </cell>
        </row>
      </sheetData>
      <sheetData sheetId="14451">
        <row r="7">
          <cell r="AI7">
            <v>10000</v>
          </cell>
        </row>
      </sheetData>
      <sheetData sheetId="14452">
        <row r="7">
          <cell r="AI7">
            <v>10000</v>
          </cell>
        </row>
      </sheetData>
      <sheetData sheetId="14453">
        <row r="7">
          <cell r="AI7">
            <v>10000</v>
          </cell>
        </row>
      </sheetData>
      <sheetData sheetId="14454">
        <row r="7">
          <cell r="AI7">
            <v>10000</v>
          </cell>
        </row>
      </sheetData>
      <sheetData sheetId="14455">
        <row r="7">
          <cell r="AI7">
            <v>10000</v>
          </cell>
        </row>
      </sheetData>
      <sheetData sheetId="14456">
        <row r="7">
          <cell r="AI7">
            <v>10000</v>
          </cell>
        </row>
      </sheetData>
      <sheetData sheetId="14457">
        <row r="7">
          <cell r="AI7">
            <v>10000</v>
          </cell>
        </row>
      </sheetData>
      <sheetData sheetId="14458">
        <row r="7">
          <cell r="AI7">
            <v>10000</v>
          </cell>
        </row>
      </sheetData>
      <sheetData sheetId="14459">
        <row r="7">
          <cell r="AI7">
            <v>10000</v>
          </cell>
        </row>
      </sheetData>
      <sheetData sheetId="14460">
        <row r="7">
          <cell r="AI7">
            <v>10000</v>
          </cell>
        </row>
      </sheetData>
      <sheetData sheetId="14461">
        <row r="7">
          <cell r="AI7">
            <v>10000</v>
          </cell>
        </row>
      </sheetData>
      <sheetData sheetId="14462">
        <row r="7">
          <cell r="AI7">
            <v>10000</v>
          </cell>
        </row>
      </sheetData>
      <sheetData sheetId="14463">
        <row r="7">
          <cell r="AI7">
            <v>10000</v>
          </cell>
        </row>
      </sheetData>
      <sheetData sheetId="14464">
        <row r="7">
          <cell r="AI7">
            <v>10000</v>
          </cell>
        </row>
      </sheetData>
      <sheetData sheetId="14465">
        <row r="7">
          <cell r="AI7">
            <v>10000</v>
          </cell>
        </row>
      </sheetData>
      <sheetData sheetId="14466">
        <row r="7">
          <cell r="AI7">
            <v>10000</v>
          </cell>
        </row>
      </sheetData>
      <sheetData sheetId="14467">
        <row r="7">
          <cell r="AI7">
            <v>10000</v>
          </cell>
        </row>
      </sheetData>
      <sheetData sheetId="14468">
        <row r="7">
          <cell r="AI7">
            <v>10000</v>
          </cell>
        </row>
      </sheetData>
      <sheetData sheetId="14469">
        <row r="7">
          <cell r="AI7">
            <v>10000</v>
          </cell>
        </row>
      </sheetData>
      <sheetData sheetId="14470">
        <row r="7">
          <cell r="AI7">
            <v>10000</v>
          </cell>
        </row>
      </sheetData>
      <sheetData sheetId="14471">
        <row r="7">
          <cell r="AI7">
            <v>10000</v>
          </cell>
        </row>
      </sheetData>
      <sheetData sheetId="14472">
        <row r="7">
          <cell r="AI7">
            <v>10000</v>
          </cell>
        </row>
      </sheetData>
      <sheetData sheetId="14473">
        <row r="7">
          <cell r="AI7">
            <v>10000</v>
          </cell>
        </row>
      </sheetData>
      <sheetData sheetId="14474">
        <row r="7">
          <cell r="AI7">
            <v>10000</v>
          </cell>
        </row>
      </sheetData>
      <sheetData sheetId="14475">
        <row r="7">
          <cell r="AI7">
            <v>10000</v>
          </cell>
        </row>
      </sheetData>
      <sheetData sheetId="14476">
        <row r="7">
          <cell r="AI7">
            <v>10000</v>
          </cell>
        </row>
      </sheetData>
      <sheetData sheetId="14477">
        <row r="7">
          <cell r="AI7">
            <v>10000</v>
          </cell>
        </row>
      </sheetData>
      <sheetData sheetId="14478">
        <row r="7">
          <cell r="AI7">
            <v>10000</v>
          </cell>
        </row>
      </sheetData>
      <sheetData sheetId="14479">
        <row r="7">
          <cell r="AI7">
            <v>10000</v>
          </cell>
        </row>
      </sheetData>
      <sheetData sheetId="14480">
        <row r="7">
          <cell r="AI7">
            <v>10000</v>
          </cell>
        </row>
      </sheetData>
      <sheetData sheetId="14481">
        <row r="7">
          <cell r="AI7">
            <v>10000</v>
          </cell>
        </row>
      </sheetData>
      <sheetData sheetId="14482">
        <row r="7">
          <cell r="AI7">
            <v>10000</v>
          </cell>
        </row>
      </sheetData>
      <sheetData sheetId="14483">
        <row r="7">
          <cell r="AI7">
            <v>10000</v>
          </cell>
        </row>
      </sheetData>
      <sheetData sheetId="14484">
        <row r="7">
          <cell r="AI7">
            <v>10000</v>
          </cell>
        </row>
      </sheetData>
      <sheetData sheetId="14485">
        <row r="7">
          <cell r="AI7">
            <v>10000</v>
          </cell>
        </row>
      </sheetData>
      <sheetData sheetId="14486">
        <row r="7">
          <cell r="AI7">
            <v>10000</v>
          </cell>
        </row>
      </sheetData>
      <sheetData sheetId="14487">
        <row r="7">
          <cell r="AI7">
            <v>10000</v>
          </cell>
        </row>
      </sheetData>
      <sheetData sheetId="14488">
        <row r="7">
          <cell r="AI7">
            <v>10000</v>
          </cell>
        </row>
      </sheetData>
      <sheetData sheetId="14489">
        <row r="7">
          <cell r="AI7">
            <v>10000</v>
          </cell>
        </row>
      </sheetData>
      <sheetData sheetId="14490">
        <row r="7">
          <cell r="AI7">
            <v>10000</v>
          </cell>
        </row>
      </sheetData>
      <sheetData sheetId="14491">
        <row r="7">
          <cell r="AI7">
            <v>10000</v>
          </cell>
        </row>
      </sheetData>
      <sheetData sheetId="14492">
        <row r="7">
          <cell r="AI7">
            <v>10000</v>
          </cell>
        </row>
      </sheetData>
      <sheetData sheetId="14493">
        <row r="7">
          <cell r="AI7">
            <v>10000</v>
          </cell>
        </row>
      </sheetData>
      <sheetData sheetId="14494">
        <row r="7">
          <cell r="AI7">
            <v>10000</v>
          </cell>
        </row>
      </sheetData>
      <sheetData sheetId="14495">
        <row r="7">
          <cell r="AI7">
            <v>10000</v>
          </cell>
        </row>
      </sheetData>
      <sheetData sheetId="14496">
        <row r="7">
          <cell r="AI7">
            <v>10000</v>
          </cell>
        </row>
      </sheetData>
      <sheetData sheetId="14497">
        <row r="7">
          <cell r="AI7">
            <v>10000</v>
          </cell>
        </row>
      </sheetData>
      <sheetData sheetId="14498">
        <row r="7">
          <cell r="AI7">
            <v>10000</v>
          </cell>
        </row>
      </sheetData>
      <sheetData sheetId="14499">
        <row r="7">
          <cell r="AI7">
            <v>10000</v>
          </cell>
        </row>
      </sheetData>
      <sheetData sheetId="14500">
        <row r="7">
          <cell r="AI7">
            <v>10000</v>
          </cell>
        </row>
      </sheetData>
      <sheetData sheetId="14501">
        <row r="7">
          <cell r="AI7">
            <v>10000</v>
          </cell>
        </row>
      </sheetData>
      <sheetData sheetId="14502">
        <row r="7">
          <cell r="AI7">
            <v>10000</v>
          </cell>
        </row>
      </sheetData>
      <sheetData sheetId="14503">
        <row r="7">
          <cell r="AI7">
            <v>10000</v>
          </cell>
        </row>
      </sheetData>
      <sheetData sheetId="14504">
        <row r="7">
          <cell r="AI7">
            <v>10000</v>
          </cell>
        </row>
      </sheetData>
      <sheetData sheetId="14505">
        <row r="7">
          <cell r="AI7">
            <v>10000</v>
          </cell>
        </row>
      </sheetData>
      <sheetData sheetId="14506">
        <row r="7">
          <cell r="AI7">
            <v>10000</v>
          </cell>
        </row>
      </sheetData>
      <sheetData sheetId="14507">
        <row r="7">
          <cell r="AI7">
            <v>10000</v>
          </cell>
        </row>
      </sheetData>
      <sheetData sheetId="14508">
        <row r="7">
          <cell r="AI7">
            <v>10000</v>
          </cell>
        </row>
      </sheetData>
      <sheetData sheetId="14509">
        <row r="7">
          <cell r="AI7">
            <v>10000</v>
          </cell>
        </row>
      </sheetData>
      <sheetData sheetId="14510">
        <row r="7">
          <cell r="AI7">
            <v>10000</v>
          </cell>
        </row>
      </sheetData>
      <sheetData sheetId="14511">
        <row r="7">
          <cell r="AI7">
            <v>10000</v>
          </cell>
        </row>
      </sheetData>
      <sheetData sheetId="14512">
        <row r="7">
          <cell r="AI7">
            <v>10000</v>
          </cell>
        </row>
      </sheetData>
      <sheetData sheetId="14513">
        <row r="7">
          <cell r="AI7">
            <v>10000</v>
          </cell>
        </row>
      </sheetData>
      <sheetData sheetId="14514">
        <row r="7">
          <cell r="AI7">
            <v>10000</v>
          </cell>
        </row>
      </sheetData>
      <sheetData sheetId="14515">
        <row r="7">
          <cell r="AI7">
            <v>10000</v>
          </cell>
        </row>
      </sheetData>
      <sheetData sheetId="14516">
        <row r="7">
          <cell r="AI7">
            <v>10000</v>
          </cell>
        </row>
      </sheetData>
      <sheetData sheetId="14517">
        <row r="7">
          <cell r="AI7">
            <v>10000</v>
          </cell>
        </row>
      </sheetData>
      <sheetData sheetId="14518">
        <row r="7">
          <cell r="AI7">
            <v>10000</v>
          </cell>
        </row>
      </sheetData>
      <sheetData sheetId="14519">
        <row r="7">
          <cell r="AI7">
            <v>10000</v>
          </cell>
        </row>
      </sheetData>
      <sheetData sheetId="14520">
        <row r="7">
          <cell r="AI7">
            <v>10000</v>
          </cell>
        </row>
      </sheetData>
      <sheetData sheetId="14521">
        <row r="7">
          <cell r="AI7">
            <v>10000</v>
          </cell>
        </row>
      </sheetData>
      <sheetData sheetId="14522">
        <row r="7">
          <cell r="AI7">
            <v>10000</v>
          </cell>
        </row>
      </sheetData>
      <sheetData sheetId="14523">
        <row r="7">
          <cell r="AI7">
            <v>10000</v>
          </cell>
        </row>
      </sheetData>
      <sheetData sheetId="14524">
        <row r="7">
          <cell r="AI7">
            <v>10000</v>
          </cell>
        </row>
      </sheetData>
      <sheetData sheetId="14525">
        <row r="7">
          <cell r="AI7">
            <v>10000</v>
          </cell>
        </row>
      </sheetData>
      <sheetData sheetId="14526">
        <row r="7">
          <cell r="AI7">
            <v>10000</v>
          </cell>
        </row>
      </sheetData>
      <sheetData sheetId="14527">
        <row r="7">
          <cell r="AI7">
            <v>10000</v>
          </cell>
        </row>
      </sheetData>
      <sheetData sheetId="14528">
        <row r="7">
          <cell r="AI7">
            <v>10000</v>
          </cell>
        </row>
      </sheetData>
      <sheetData sheetId="14529">
        <row r="7">
          <cell r="AI7">
            <v>10000</v>
          </cell>
        </row>
      </sheetData>
      <sheetData sheetId="14530">
        <row r="7">
          <cell r="AI7">
            <v>10000</v>
          </cell>
        </row>
      </sheetData>
      <sheetData sheetId="14531">
        <row r="7">
          <cell r="AI7">
            <v>10000</v>
          </cell>
        </row>
      </sheetData>
      <sheetData sheetId="14532">
        <row r="7">
          <cell r="AI7">
            <v>10000</v>
          </cell>
        </row>
      </sheetData>
      <sheetData sheetId="14533">
        <row r="7">
          <cell r="AI7">
            <v>10000</v>
          </cell>
        </row>
      </sheetData>
      <sheetData sheetId="14534">
        <row r="7">
          <cell r="AI7">
            <v>10000</v>
          </cell>
        </row>
      </sheetData>
      <sheetData sheetId="14535">
        <row r="7">
          <cell r="AI7">
            <v>10000</v>
          </cell>
        </row>
      </sheetData>
      <sheetData sheetId="14536">
        <row r="7">
          <cell r="AI7">
            <v>10000</v>
          </cell>
        </row>
      </sheetData>
      <sheetData sheetId="14537">
        <row r="7">
          <cell r="AI7">
            <v>10000</v>
          </cell>
        </row>
      </sheetData>
      <sheetData sheetId="14538">
        <row r="7">
          <cell r="AI7">
            <v>10000</v>
          </cell>
        </row>
      </sheetData>
      <sheetData sheetId="14539">
        <row r="7">
          <cell r="AI7">
            <v>10000</v>
          </cell>
        </row>
      </sheetData>
      <sheetData sheetId="14540">
        <row r="7">
          <cell r="AI7">
            <v>10000</v>
          </cell>
        </row>
      </sheetData>
      <sheetData sheetId="14541">
        <row r="7">
          <cell r="AI7">
            <v>10000</v>
          </cell>
        </row>
      </sheetData>
      <sheetData sheetId="14542">
        <row r="7">
          <cell r="AI7">
            <v>10000</v>
          </cell>
        </row>
      </sheetData>
      <sheetData sheetId="14543">
        <row r="7">
          <cell r="AI7">
            <v>10000</v>
          </cell>
        </row>
      </sheetData>
      <sheetData sheetId="14544">
        <row r="7">
          <cell r="AI7">
            <v>10000</v>
          </cell>
        </row>
      </sheetData>
      <sheetData sheetId="14545">
        <row r="7">
          <cell r="AI7">
            <v>10000</v>
          </cell>
        </row>
      </sheetData>
      <sheetData sheetId="14546">
        <row r="7">
          <cell r="AI7">
            <v>10000</v>
          </cell>
        </row>
      </sheetData>
      <sheetData sheetId="14547">
        <row r="7">
          <cell r="AI7">
            <v>10000</v>
          </cell>
        </row>
      </sheetData>
      <sheetData sheetId="14548">
        <row r="7">
          <cell r="AI7">
            <v>10000</v>
          </cell>
        </row>
      </sheetData>
      <sheetData sheetId="14549">
        <row r="7">
          <cell r="AI7">
            <v>10000</v>
          </cell>
        </row>
      </sheetData>
      <sheetData sheetId="14550">
        <row r="7">
          <cell r="AI7">
            <v>10000</v>
          </cell>
        </row>
      </sheetData>
      <sheetData sheetId="14551">
        <row r="7">
          <cell r="AI7">
            <v>10000</v>
          </cell>
        </row>
      </sheetData>
      <sheetData sheetId="14552">
        <row r="7">
          <cell r="AI7">
            <v>10000</v>
          </cell>
        </row>
      </sheetData>
      <sheetData sheetId="14553">
        <row r="7">
          <cell r="AI7">
            <v>10000</v>
          </cell>
        </row>
      </sheetData>
      <sheetData sheetId="14554">
        <row r="7">
          <cell r="AI7">
            <v>10000</v>
          </cell>
        </row>
      </sheetData>
      <sheetData sheetId="14555">
        <row r="7">
          <cell r="AI7">
            <v>10000</v>
          </cell>
        </row>
      </sheetData>
      <sheetData sheetId="14556">
        <row r="7">
          <cell r="AI7">
            <v>10000</v>
          </cell>
        </row>
      </sheetData>
      <sheetData sheetId="14557">
        <row r="7">
          <cell r="AI7">
            <v>10000</v>
          </cell>
        </row>
      </sheetData>
      <sheetData sheetId="14558">
        <row r="7">
          <cell r="AI7">
            <v>10000</v>
          </cell>
        </row>
      </sheetData>
      <sheetData sheetId="14559">
        <row r="7">
          <cell r="AI7">
            <v>10000</v>
          </cell>
        </row>
      </sheetData>
      <sheetData sheetId="14560">
        <row r="7">
          <cell r="AI7">
            <v>10000</v>
          </cell>
        </row>
      </sheetData>
      <sheetData sheetId="14561">
        <row r="7">
          <cell r="AI7">
            <v>10000</v>
          </cell>
        </row>
      </sheetData>
      <sheetData sheetId="14562">
        <row r="7">
          <cell r="AI7">
            <v>10000</v>
          </cell>
        </row>
      </sheetData>
      <sheetData sheetId="14563">
        <row r="7">
          <cell r="AI7">
            <v>10000</v>
          </cell>
        </row>
      </sheetData>
      <sheetData sheetId="14564">
        <row r="7">
          <cell r="AI7">
            <v>10000</v>
          </cell>
        </row>
      </sheetData>
      <sheetData sheetId="14565">
        <row r="7">
          <cell r="AI7">
            <v>10000</v>
          </cell>
        </row>
      </sheetData>
      <sheetData sheetId="14566">
        <row r="7">
          <cell r="AI7">
            <v>10000</v>
          </cell>
        </row>
      </sheetData>
      <sheetData sheetId="14567">
        <row r="7">
          <cell r="AI7">
            <v>10000</v>
          </cell>
        </row>
      </sheetData>
      <sheetData sheetId="14568">
        <row r="7">
          <cell r="AI7">
            <v>10000</v>
          </cell>
        </row>
      </sheetData>
      <sheetData sheetId="14569">
        <row r="7">
          <cell r="AI7">
            <v>10000</v>
          </cell>
        </row>
      </sheetData>
      <sheetData sheetId="14570">
        <row r="7">
          <cell r="AI7">
            <v>10000</v>
          </cell>
        </row>
      </sheetData>
      <sheetData sheetId="14571">
        <row r="7">
          <cell r="AI7">
            <v>10000</v>
          </cell>
        </row>
      </sheetData>
      <sheetData sheetId="14572">
        <row r="7">
          <cell r="AI7">
            <v>10000</v>
          </cell>
        </row>
      </sheetData>
      <sheetData sheetId="14573">
        <row r="7">
          <cell r="AI7">
            <v>10000</v>
          </cell>
        </row>
      </sheetData>
      <sheetData sheetId="14574">
        <row r="7">
          <cell r="AI7">
            <v>10000</v>
          </cell>
        </row>
      </sheetData>
      <sheetData sheetId="14575">
        <row r="7">
          <cell r="AI7">
            <v>10000</v>
          </cell>
        </row>
      </sheetData>
      <sheetData sheetId="14576">
        <row r="7">
          <cell r="AI7">
            <v>10000</v>
          </cell>
        </row>
      </sheetData>
      <sheetData sheetId="14577">
        <row r="7">
          <cell r="AI7">
            <v>10000</v>
          </cell>
        </row>
      </sheetData>
      <sheetData sheetId="14578">
        <row r="7">
          <cell r="AI7">
            <v>10000</v>
          </cell>
        </row>
      </sheetData>
      <sheetData sheetId="14579">
        <row r="7">
          <cell r="AI7">
            <v>10000</v>
          </cell>
        </row>
      </sheetData>
      <sheetData sheetId="14580">
        <row r="7">
          <cell r="AI7">
            <v>10000</v>
          </cell>
        </row>
      </sheetData>
      <sheetData sheetId="14581">
        <row r="7">
          <cell r="AI7">
            <v>10000</v>
          </cell>
        </row>
      </sheetData>
      <sheetData sheetId="14582">
        <row r="7">
          <cell r="AI7">
            <v>10000</v>
          </cell>
        </row>
      </sheetData>
      <sheetData sheetId="14583">
        <row r="7">
          <cell r="AI7">
            <v>10000</v>
          </cell>
        </row>
      </sheetData>
      <sheetData sheetId="14584">
        <row r="7">
          <cell r="AI7">
            <v>10000</v>
          </cell>
        </row>
      </sheetData>
      <sheetData sheetId="14585">
        <row r="7">
          <cell r="AI7">
            <v>10000</v>
          </cell>
        </row>
      </sheetData>
      <sheetData sheetId="14586">
        <row r="7">
          <cell r="AI7">
            <v>10000</v>
          </cell>
        </row>
      </sheetData>
      <sheetData sheetId="14587">
        <row r="7">
          <cell r="AI7">
            <v>10000</v>
          </cell>
        </row>
      </sheetData>
      <sheetData sheetId="14588">
        <row r="7">
          <cell r="AI7">
            <v>10000</v>
          </cell>
        </row>
      </sheetData>
      <sheetData sheetId="14589">
        <row r="7">
          <cell r="AI7">
            <v>10000</v>
          </cell>
        </row>
      </sheetData>
      <sheetData sheetId="14590">
        <row r="7">
          <cell r="AI7">
            <v>10000</v>
          </cell>
        </row>
      </sheetData>
      <sheetData sheetId="14591">
        <row r="7">
          <cell r="AI7">
            <v>10000</v>
          </cell>
        </row>
      </sheetData>
      <sheetData sheetId="14592">
        <row r="7">
          <cell r="AI7">
            <v>10000</v>
          </cell>
        </row>
      </sheetData>
      <sheetData sheetId="14593">
        <row r="7">
          <cell r="AI7">
            <v>10000</v>
          </cell>
        </row>
      </sheetData>
      <sheetData sheetId="14594">
        <row r="7">
          <cell r="AI7">
            <v>10000</v>
          </cell>
        </row>
      </sheetData>
      <sheetData sheetId="14595">
        <row r="7">
          <cell r="AI7">
            <v>10000</v>
          </cell>
        </row>
      </sheetData>
      <sheetData sheetId="14596">
        <row r="7">
          <cell r="AI7">
            <v>10000</v>
          </cell>
        </row>
      </sheetData>
      <sheetData sheetId="14597">
        <row r="7">
          <cell r="AI7">
            <v>10000</v>
          </cell>
        </row>
      </sheetData>
      <sheetData sheetId="14598">
        <row r="7">
          <cell r="AI7">
            <v>10000</v>
          </cell>
        </row>
      </sheetData>
      <sheetData sheetId="14599">
        <row r="7">
          <cell r="AI7">
            <v>10000</v>
          </cell>
        </row>
      </sheetData>
      <sheetData sheetId="14600">
        <row r="7">
          <cell r="AI7">
            <v>10000</v>
          </cell>
        </row>
      </sheetData>
      <sheetData sheetId="14601">
        <row r="7">
          <cell r="AI7">
            <v>10000</v>
          </cell>
        </row>
      </sheetData>
      <sheetData sheetId="14602">
        <row r="7">
          <cell r="AI7">
            <v>10000</v>
          </cell>
        </row>
      </sheetData>
      <sheetData sheetId="14603">
        <row r="7">
          <cell r="AI7">
            <v>10000</v>
          </cell>
        </row>
      </sheetData>
      <sheetData sheetId="14604">
        <row r="7">
          <cell r="AI7">
            <v>10000</v>
          </cell>
        </row>
      </sheetData>
      <sheetData sheetId="14605">
        <row r="7">
          <cell r="AI7">
            <v>10000</v>
          </cell>
        </row>
      </sheetData>
      <sheetData sheetId="14606">
        <row r="7">
          <cell r="AI7">
            <v>10000</v>
          </cell>
        </row>
      </sheetData>
      <sheetData sheetId="14607">
        <row r="7">
          <cell r="AI7">
            <v>10000</v>
          </cell>
        </row>
      </sheetData>
      <sheetData sheetId="14608">
        <row r="7">
          <cell r="AI7">
            <v>10000</v>
          </cell>
        </row>
      </sheetData>
      <sheetData sheetId="14609">
        <row r="7">
          <cell r="AI7">
            <v>10000</v>
          </cell>
        </row>
      </sheetData>
      <sheetData sheetId="14610">
        <row r="7">
          <cell r="AI7">
            <v>10000</v>
          </cell>
        </row>
      </sheetData>
      <sheetData sheetId="14611">
        <row r="7">
          <cell r="AI7">
            <v>10000</v>
          </cell>
        </row>
      </sheetData>
      <sheetData sheetId="14612">
        <row r="7">
          <cell r="AI7">
            <v>10000</v>
          </cell>
        </row>
      </sheetData>
      <sheetData sheetId="14613">
        <row r="7">
          <cell r="AI7">
            <v>10000</v>
          </cell>
        </row>
      </sheetData>
      <sheetData sheetId="14614">
        <row r="7">
          <cell r="AI7">
            <v>10000</v>
          </cell>
        </row>
      </sheetData>
      <sheetData sheetId="14615">
        <row r="7">
          <cell r="AI7">
            <v>10000</v>
          </cell>
        </row>
      </sheetData>
      <sheetData sheetId="14616">
        <row r="7">
          <cell r="AI7">
            <v>10000</v>
          </cell>
        </row>
      </sheetData>
      <sheetData sheetId="14617">
        <row r="7">
          <cell r="AI7">
            <v>10000</v>
          </cell>
        </row>
      </sheetData>
      <sheetData sheetId="14618">
        <row r="7">
          <cell r="AI7">
            <v>10000</v>
          </cell>
        </row>
      </sheetData>
      <sheetData sheetId="14619">
        <row r="7">
          <cell r="AI7">
            <v>10000</v>
          </cell>
        </row>
      </sheetData>
      <sheetData sheetId="14620">
        <row r="7">
          <cell r="AI7">
            <v>10000</v>
          </cell>
        </row>
      </sheetData>
      <sheetData sheetId="14621">
        <row r="7">
          <cell r="AI7">
            <v>10000</v>
          </cell>
        </row>
      </sheetData>
      <sheetData sheetId="14622">
        <row r="7">
          <cell r="AI7">
            <v>10000</v>
          </cell>
        </row>
      </sheetData>
      <sheetData sheetId="14623">
        <row r="7">
          <cell r="AI7">
            <v>10000</v>
          </cell>
        </row>
      </sheetData>
      <sheetData sheetId="14624">
        <row r="7">
          <cell r="AI7">
            <v>10000</v>
          </cell>
        </row>
      </sheetData>
      <sheetData sheetId="14625">
        <row r="7">
          <cell r="AI7">
            <v>10000</v>
          </cell>
        </row>
      </sheetData>
      <sheetData sheetId="14626">
        <row r="7">
          <cell r="AI7">
            <v>10000</v>
          </cell>
        </row>
      </sheetData>
      <sheetData sheetId="14627">
        <row r="7">
          <cell r="AI7">
            <v>10000</v>
          </cell>
        </row>
      </sheetData>
      <sheetData sheetId="14628">
        <row r="7">
          <cell r="AI7">
            <v>10000</v>
          </cell>
        </row>
      </sheetData>
      <sheetData sheetId="14629">
        <row r="7">
          <cell r="AI7">
            <v>10000</v>
          </cell>
        </row>
      </sheetData>
      <sheetData sheetId="14630">
        <row r="7">
          <cell r="AI7">
            <v>10000</v>
          </cell>
        </row>
      </sheetData>
      <sheetData sheetId="14631">
        <row r="7">
          <cell r="AI7">
            <v>10000</v>
          </cell>
        </row>
      </sheetData>
      <sheetData sheetId="14632">
        <row r="7">
          <cell r="AI7">
            <v>10000</v>
          </cell>
        </row>
      </sheetData>
      <sheetData sheetId="14633">
        <row r="7">
          <cell r="AI7">
            <v>10000</v>
          </cell>
        </row>
      </sheetData>
      <sheetData sheetId="14634">
        <row r="7">
          <cell r="AI7">
            <v>10000</v>
          </cell>
        </row>
      </sheetData>
      <sheetData sheetId="14635">
        <row r="7">
          <cell r="AI7">
            <v>10000</v>
          </cell>
        </row>
      </sheetData>
      <sheetData sheetId="14636">
        <row r="7">
          <cell r="AI7">
            <v>10000</v>
          </cell>
        </row>
      </sheetData>
      <sheetData sheetId="14637">
        <row r="7">
          <cell r="AI7">
            <v>10000</v>
          </cell>
        </row>
      </sheetData>
      <sheetData sheetId="14638">
        <row r="7">
          <cell r="AI7">
            <v>10000</v>
          </cell>
        </row>
      </sheetData>
      <sheetData sheetId="14639">
        <row r="7">
          <cell r="AI7">
            <v>10000</v>
          </cell>
        </row>
      </sheetData>
      <sheetData sheetId="14640">
        <row r="7">
          <cell r="AI7">
            <v>10000</v>
          </cell>
        </row>
      </sheetData>
      <sheetData sheetId="14641">
        <row r="7">
          <cell r="AI7">
            <v>10000</v>
          </cell>
        </row>
      </sheetData>
      <sheetData sheetId="14642">
        <row r="7">
          <cell r="AI7">
            <v>10000</v>
          </cell>
        </row>
      </sheetData>
      <sheetData sheetId="14643">
        <row r="7">
          <cell r="AI7">
            <v>10000</v>
          </cell>
        </row>
      </sheetData>
      <sheetData sheetId="14644">
        <row r="7">
          <cell r="AI7">
            <v>10000</v>
          </cell>
        </row>
      </sheetData>
      <sheetData sheetId="14645">
        <row r="7">
          <cell r="AI7">
            <v>10000</v>
          </cell>
        </row>
      </sheetData>
      <sheetData sheetId="14646">
        <row r="7">
          <cell r="AI7">
            <v>10000</v>
          </cell>
        </row>
      </sheetData>
      <sheetData sheetId="14647">
        <row r="7">
          <cell r="AI7">
            <v>10000</v>
          </cell>
        </row>
      </sheetData>
      <sheetData sheetId="14648">
        <row r="7">
          <cell r="AI7">
            <v>10000</v>
          </cell>
        </row>
      </sheetData>
      <sheetData sheetId="14649">
        <row r="7">
          <cell r="AI7">
            <v>10000</v>
          </cell>
        </row>
      </sheetData>
      <sheetData sheetId="14650">
        <row r="7">
          <cell r="AI7">
            <v>10000</v>
          </cell>
        </row>
      </sheetData>
      <sheetData sheetId="14651">
        <row r="7">
          <cell r="AI7">
            <v>10000</v>
          </cell>
        </row>
      </sheetData>
      <sheetData sheetId="14652">
        <row r="7">
          <cell r="AI7">
            <v>10000</v>
          </cell>
        </row>
      </sheetData>
      <sheetData sheetId="14653">
        <row r="7">
          <cell r="AI7">
            <v>10000</v>
          </cell>
        </row>
      </sheetData>
      <sheetData sheetId="14654">
        <row r="7">
          <cell r="AI7">
            <v>10000</v>
          </cell>
        </row>
      </sheetData>
      <sheetData sheetId="14655">
        <row r="7">
          <cell r="AI7">
            <v>10000</v>
          </cell>
        </row>
      </sheetData>
      <sheetData sheetId="14656">
        <row r="7">
          <cell r="AI7">
            <v>10000</v>
          </cell>
        </row>
      </sheetData>
      <sheetData sheetId="14657">
        <row r="7">
          <cell r="AI7">
            <v>10000</v>
          </cell>
        </row>
      </sheetData>
      <sheetData sheetId="14658">
        <row r="7">
          <cell r="AI7">
            <v>10000</v>
          </cell>
        </row>
      </sheetData>
      <sheetData sheetId="14659">
        <row r="7">
          <cell r="AI7">
            <v>10000</v>
          </cell>
        </row>
      </sheetData>
      <sheetData sheetId="14660">
        <row r="7">
          <cell r="AI7">
            <v>10000</v>
          </cell>
        </row>
      </sheetData>
      <sheetData sheetId="14661">
        <row r="7">
          <cell r="AI7">
            <v>10000</v>
          </cell>
        </row>
      </sheetData>
      <sheetData sheetId="14662">
        <row r="7">
          <cell r="AI7">
            <v>10000</v>
          </cell>
        </row>
      </sheetData>
      <sheetData sheetId="14663">
        <row r="7">
          <cell r="AI7">
            <v>10000</v>
          </cell>
        </row>
      </sheetData>
      <sheetData sheetId="14664">
        <row r="7">
          <cell r="AI7">
            <v>10000</v>
          </cell>
        </row>
      </sheetData>
      <sheetData sheetId="14665">
        <row r="7">
          <cell r="AI7">
            <v>10000</v>
          </cell>
        </row>
      </sheetData>
      <sheetData sheetId="14666">
        <row r="7">
          <cell r="AI7">
            <v>10000</v>
          </cell>
        </row>
      </sheetData>
      <sheetData sheetId="14667">
        <row r="7">
          <cell r="AI7">
            <v>10000</v>
          </cell>
        </row>
      </sheetData>
      <sheetData sheetId="14668">
        <row r="7">
          <cell r="AI7">
            <v>10000</v>
          </cell>
        </row>
      </sheetData>
      <sheetData sheetId="14669">
        <row r="7">
          <cell r="AI7">
            <v>10000</v>
          </cell>
        </row>
      </sheetData>
      <sheetData sheetId="14670">
        <row r="7">
          <cell r="AI7">
            <v>10000</v>
          </cell>
        </row>
      </sheetData>
      <sheetData sheetId="14671">
        <row r="7">
          <cell r="AI7">
            <v>10000</v>
          </cell>
        </row>
      </sheetData>
      <sheetData sheetId="14672">
        <row r="7">
          <cell r="AI7">
            <v>10000</v>
          </cell>
        </row>
      </sheetData>
      <sheetData sheetId="14673">
        <row r="7">
          <cell r="AI7">
            <v>10000</v>
          </cell>
        </row>
      </sheetData>
      <sheetData sheetId="14674">
        <row r="7">
          <cell r="AI7">
            <v>10000</v>
          </cell>
        </row>
      </sheetData>
      <sheetData sheetId="14675">
        <row r="7">
          <cell r="AI7">
            <v>10000</v>
          </cell>
        </row>
      </sheetData>
      <sheetData sheetId="14676">
        <row r="7">
          <cell r="AI7">
            <v>10000</v>
          </cell>
        </row>
      </sheetData>
      <sheetData sheetId="14677">
        <row r="7">
          <cell r="AI7">
            <v>10000</v>
          </cell>
        </row>
      </sheetData>
      <sheetData sheetId="14678">
        <row r="7">
          <cell r="AI7">
            <v>10000</v>
          </cell>
        </row>
      </sheetData>
      <sheetData sheetId="14679">
        <row r="7">
          <cell r="AI7">
            <v>10000</v>
          </cell>
        </row>
      </sheetData>
      <sheetData sheetId="14680">
        <row r="7">
          <cell r="AI7">
            <v>10000</v>
          </cell>
        </row>
      </sheetData>
      <sheetData sheetId="14681">
        <row r="7">
          <cell r="AI7">
            <v>10000</v>
          </cell>
        </row>
      </sheetData>
      <sheetData sheetId="14682">
        <row r="7">
          <cell r="AI7">
            <v>10000</v>
          </cell>
        </row>
      </sheetData>
      <sheetData sheetId="14683">
        <row r="7">
          <cell r="AI7">
            <v>10000</v>
          </cell>
        </row>
      </sheetData>
      <sheetData sheetId="14684">
        <row r="7">
          <cell r="AI7">
            <v>10000</v>
          </cell>
        </row>
      </sheetData>
      <sheetData sheetId="14685">
        <row r="7">
          <cell r="AI7">
            <v>10000</v>
          </cell>
        </row>
      </sheetData>
      <sheetData sheetId="14686">
        <row r="7">
          <cell r="AI7">
            <v>10000</v>
          </cell>
        </row>
      </sheetData>
      <sheetData sheetId="14687">
        <row r="7">
          <cell r="AI7">
            <v>10000</v>
          </cell>
        </row>
      </sheetData>
      <sheetData sheetId="14688">
        <row r="7">
          <cell r="AI7">
            <v>10000</v>
          </cell>
        </row>
      </sheetData>
      <sheetData sheetId="14689">
        <row r="7">
          <cell r="AI7">
            <v>10000</v>
          </cell>
        </row>
      </sheetData>
      <sheetData sheetId="14690">
        <row r="7">
          <cell r="AI7">
            <v>10000</v>
          </cell>
        </row>
      </sheetData>
      <sheetData sheetId="14691">
        <row r="7">
          <cell r="AI7">
            <v>10000</v>
          </cell>
        </row>
      </sheetData>
      <sheetData sheetId="14692">
        <row r="7">
          <cell r="AI7">
            <v>10000</v>
          </cell>
        </row>
      </sheetData>
      <sheetData sheetId="14693">
        <row r="7">
          <cell r="AI7">
            <v>10000</v>
          </cell>
        </row>
      </sheetData>
      <sheetData sheetId="14694">
        <row r="7">
          <cell r="AI7">
            <v>10000</v>
          </cell>
        </row>
      </sheetData>
      <sheetData sheetId="14695">
        <row r="7">
          <cell r="AI7">
            <v>10000</v>
          </cell>
        </row>
      </sheetData>
      <sheetData sheetId="14696">
        <row r="7">
          <cell r="AI7">
            <v>10000</v>
          </cell>
        </row>
      </sheetData>
      <sheetData sheetId="14697">
        <row r="7">
          <cell r="AI7">
            <v>10000</v>
          </cell>
        </row>
      </sheetData>
      <sheetData sheetId="14698">
        <row r="7">
          <cell r="AI7">
            <v>10000</v>
          </cell>
        </row>
      </sheetData>
      <sheetData sheetId="14699">
        <row r="7">
          <cell r="AI7">
            <v>10000</v>
          </cell>
        </row>
      </sheetData>
      <sheetData sheetId="14700">
        <row r="7">
          <cell r="AI7">
            <v>10000</v>
          </cell>
        </row>
      </sheetData>
      <sheetData sheetId="14701">
        <row r="7">
          <cell r="AI7">
            <v>10000</v>
          </cell>
        </row>
      </sheetData>
      <sheetData sheetId="14702">
        <row r="7">
          <cell r="AI7">
            <v>10000</v>
          </cell>
        </row>
      </sheetData>
      <sheetData sheetId="14703">
        <row r="7">
          <cell r="AI7">
            <v>10000</v>
          </cell>
        </row>
      </sheetData>
      <sheetData sheetId="14704">
        <row r="7">
          <cell r="AI7">
            <v>10000</v>
          </cell>
        </row>
      </sheetData>
      <sheetData sheetId="14705">
        <row r="7">
          <cell r="AI7">
            <v>10000</v>
          </cell>
        </row>
      </sheetData>
      <sheetData sheetId="14706">
        <row r="7">
          <cell r="AI7">
            <v>10000</v>
          </cell>
        </row>
      </sheetData>
      <sheetData sheetId="14707">
        <row r="7">
          <cell r="AI7">
            <v>10000</v>
          </cell>
        </row>
      </sheetData>
      <sheetData sheetId="14708">
        <row r="7">
          <cell r="AI7">
            <v>10000</v>
          </cell>
        </row>
      </sheetData>
      <sheetData sheetId="14709">
        <row r="7">
          <cell r="AI7">
            <v>10000</v>
          </cell>
        </row>
      </sheetData>
      <sheetData sheetId="14710">
        <row r="7">
          <cell r="AI7">
            <v>10000</v>
          </cell>
        </row>
      </sheetData>
      <sheetData sheetId="14711">
        <row r="7">
          <cell r="AI7">
            <v>10000</v>
          </cell>
        </row>
      </sheetData>
      <sheetData sheetId="14712">
        <row r="7">
          <cell r="AI7">
            <v>10000</v>
          </cell>
        </row>
      </sheetData>
      <sheetData sheetId="14713">
        <row r="7">
          <cell r="AI7">
            <v>10000</v>
          </cell>
        </row>
      </sheetData>
      <sheetData sheetId="14714">
        <row r="7">
          <cell r="AI7">
            <v>10000</v>
          </cell>
        </row>
      </sheetData>
      <sheetData sheetId="14715">
        <row r="7">
          <cell r="AI7">
            <v>10000</v>
          </cell>
        </row>
      </sheetData>
      <sheetData sheetId="14716">
        <row r="7">
          <cell r="AI7">
            <v>10000</v>
          </cell>
        </row>
      </sheetData>
      <sheetData sheetId="14717">
        <row r="7">
          <cell r="AI7">
            <v>10000</v>
          </cell>
        </row>
      </sheetData>
      <sheetData sheetId="14718">
        <row r="7">
          <cell r="AI7">
            <v>10000</v>
          </cell>
        </row>
      </sheetData>
      <sheetData sheetId="14719">
        <row r="7">
          <cell r="AI7">
            <v>10000</v>
          </cell>
        </row>
      </sheetData>
      <sheetData sheetId="14720">
        <row r="7">
          <cell r="AI7">
            <v>10000</v>
          </cell>
        </row>
      </sheetData>
      <sheetData sheetId="14721">
        <row r="7">
          <cell r="AI7">
            <v>10000</v>
          </cell>
        </row>
      </sheetData>
      <sheetData sheetId="14722">
        <row r="7">
          <cell r="AI7">
            <v>10000</v>
          </cell>
        </row>
      </sheetData>
      <sheetData sheetId="14723">
        <row r="7">
          <cell r="AI7">
            <v>10000</v>
          </cell>
        </row>
      </sheetData>
      <sheetData sheetId="14724">
        <row r="7">
          <cell r="AI7">
            <v>10000</v>
          </cell>
        </row>
      </sheetData>
      <sheetData sheetId="14725">
        <row r="7">
          <cell r="AI7">
            <v>10000</v>
          </cell>
        </row>
      </sheetData>
      <sheetData sheetId="14726">
        <row r="7">
          <cell r="AI7">
            <v>10000</v>
          </cell>
        </row>
      </sheetData>
      <sheetData sheetId="14727">
        <row r="7">
          <cell r="AI7">
            <v>10000</v>
          </cell>
        </row>
      </sheetData>
      <sheetData sheetId="14728">
        <row r="7">
          <cell r="AI7">
            <v>10000</v>
          </cell>
        </row>
      </sheetData>
      <sheetData sheetId="14729">
        <row r="7">
          <cell r="AI7">
            <v>10000</v>
          </cell>
        </row>
      </sheetData>
      <sheetData sheetId="14730">
        <row r="7">
          <cell r="AI7">
            <v>10000</v>
          </cell>
        </row>
      </sheetData>
      <sheetData sheetId="14731">
        <row r="7">
          <cell r="AI7">
            <v>10000</v>
          </cell>
        </row>
      </sheetData>
      <sheetData sheetId="14732">
        <row r="7">
          <cell r="AI7">
            <v>10000</v>
          </cell>
        </row>
      </sheetData>
      <sheetData sheetId="14733">
        <row r="7">
          <cell r="AI7">
            <v>10000</v>
          </cell>
        </row>
      </sheetData>
      <sheetData sheetId="14734">
        <row r="7">
          <cell r="AI7">
            <v>10000</v>
          </cell>
        </row>
      </sheetData>
      <sheetData sheetId="14735">
        <row r="7">
          <cell r="AI7">
            <v>10000</v>
          </cell>
        </row>
      </sheetData>
      <sheetData sheetId="14736">
        <row r="7">
          <cell r="AI7">
            <v>10000</v>
          </cell>
        </row>
      </sheetData>
      <sheetData sheetId="14737">
        <row r="7">
          <cell r="AI7">
            <v>10000</v>
          </cell>
        </row>
      </sheetData>
      <sheetData sheetId="14738">
        <row r="7">
          <cell r="AI7">
            <v>10000</v>
          </cell>
        </row>
      </sheetData>
      <sheetData sheetId="14739">
        <row r="7">
          <cell r="AI7">
            <v>10000</v>
          </cell>
        </row>
      </sheetData>
      <sheetData sheetId="14740">
        <row r="7">
          <cell r="AI7">
            <v>10000</v>
          </cell>
        </row>
      </sheetData>
      <sheetData sheetId="14741">
        <row r="7">
          <cell r="AI7">
            <v>10000</v>
          </cell>
        </row>
      </sheetData>
      <sheetData sheetId="14742">
        <row r="7">
          <cell r="AI7">
            <v>10000</v>
          </cell>
        </row>
      </sheetData>
      <sheetData sheetId="14743">
        <row r="7">
          <cell r="AI7">
            <v>10000</v>
          </cell>
        </row>
      </sheetData>
      <sheetData sheetId="14744">
        <row r="7">
          <cell r="AI7">
            <v>10000</v>
          </cell>
        </row>
      </sheetData>
      <sheetData sheetId="14745">
        <row r="7">
          <cell r="AI7">
            <v>10000</v>
          </cell>
        </row>
      </sheetData>
      <sheetData sheetId="14746">
        <row r="7">
          <cell r="AI7">
            <v>10000</v>
          </cell>
        </row>
      </sheetData>
      <sheetData sheetId="14747">
        <row r="7">
          <cell r="AI7">
            <v>10000</v>
          </cell>
        </row>
      </sheetData>
      <sheetData sheetId="14748">
        <row r="7">
          <cell r="AI7">
            <v>10000</v>
          </cell>
        </row>
      </sheetData>
      <sheetData sheetId="14749">
        <row r="7">
          <cell r="AI7">
            <v>10000</v>
          </cell>
        </row>
      </sheetData>
      <sheetData sheetId="14750">
        <row r="7">
          <cell r="AI7">
            <v>10000</v>
          </cell>
        </row>
      </sheetData>
      <sheetData sheetId="14751">
        <row r="7">
          <cell r="AI7">
            <v>10000</v>
          </cell>
        </row>
      </sheetData>
      <sheetData sheetId="14752">
        <row r="7">
          <cell r="AI7">
            <v>10000</v>
          </cell>
        </row>
      </sheetData>
      <sheetData sheetId="14753">
        <row r="7">
          <cell r="AI7">
            <v>10000</v>
          </cell>
        </row>
      </sheetData>
      <sheetData sheetId="14754">
        <row r="7">
          <cell r="AI7">
            <v>10000</v>
          </cell>
        </row>
      </sheetData>
      <sheetData sheetId="14755">
        <row r="7">
          <cell r="AI7">
            <v>10000</v>
          </cell>
        </row>
      </sheetData>
      <sheetData sheetId="14756">
        <row r="7">
          <cell r="AI7">
            <v>10000</v>
          </cell>
        </row>
      </sheetData>
      <sheetData sheetId="14757">
        <row r="7">
          <cell r="AI7">
            <v>10000</v>
          </cell>
        </row>
      </sheetData>
      <sheetData sheetId="14758">
        <row r="7">
          <cell r="AI7">
            <v>10000</v>
          </cell>
        </row>
      </sheetData>
      <sheetData sheetId="14759">
        <row r="7">
          <cell r="AI7">
            <v>10000</v>
          </cell>
        </row>
      </sheetData>
      <sheetData sheetId="14760">
        <row r="7">
          <cell r="AI7">
            <v>10000</v>
          </cell>
        </row>
      </sheetData>
      <sheetData sheetId="14761">
        <row r="7">
          <cell r="AI7">
            <v>10000</v>
          </cell>
        </row>
      </sheetData>
      <sheetData sheetId="14762">
        <row r="7">
          <cell r="AI7">
            <v>10000</v>
          </cell>
        </row>
      </sheetData>
      <sheetData sheetId="14763">
        <row r="7">
          <cell r="AI7">
            <v>10000</v>
          </cell>
        </row>
      </sheetData>
      <sheetData sheetId="14764">
        <row r="7">
          <cell r="AI7">
            <v>10000</v>
          </cell>
        </row>
      </sheetData>
      <sheetData sheetId="14765">
        <row r="7">
          <cell r="AI7">
            <v>10000</v>
          </cell>
        </row>
      </sheetData>
      <sheetData sheetId="14766">
        <row r="7">
          <cell r="AI7">
            <v>10000</v>
          </cell>
        </row>
      </sheetData>
      <sheetData sheetId="14767">
        <row r="7">
          <cell r="AI7">
            <v>10000</v>
          </cell>
        </row>
      </sheetData>
      <sheetData sheetId="14768">
        <row r="7">
          <cell r="AI7">
            <v>10000</v>
          </cell>
        </row>
      </sheetData>
      <sheetData sheetId="14769">
        <row r="7">
          <cell r="AI7">
            <v>10000</v>
          </cell>
        </row>
      </sheetData>
      <sheetData sheetId="14770">
        <row r="7">
          <cell r="AI7">
            <v>10000</v>
          </cell>
        </row>
      </sheetData>
      <sheetData sheetId="14771">
        <row r="7">
          <cell r="AI7">
            <v>10000</v>
          </cell>
        </row>
      </sheetData>
      <sheetData sheetId="14772">
        <row r="7">
          <cell r="AI7">
            <v>10000</v>
          </cell>
        </row>
      </sheetData>
      <sheetData sheetId="14773">
        <row r="7">
          <cell r="AI7">
            <v>10000</v>
          </cell>
        </row>
      </sheetData>
      <sheetData sheetId="14774">
        <row r="7">
          <cell r="AI7">
            <v>10000</v>
          </cell>
        </row>
      </sheetData>
      <sheetData sheetId="14775">
        <row r="7">
          <cell r="AI7">
            <v>10000</v>
          </cell>
        </row>
      </sheetData>
      <sheetData sheetId="14776">
        <row r="7">
          <cell r="AI7">
            <v>10000</v>
          </cell>
        </row>
      </sheetData>
      <sheetData sheetId="14777">
        <row r="7">
          <cell r="AI7">
            <v>10000</v>
          </cell>
        </row>
      </sheetData>
      <sheetData sheetId="14778">
        <row r="7">
          <cell r="AI7">
            <v>10000</v>
          </cell>
        </row>
      </sheetData>
      <sheetData sheetId="14779">
        <row r="7">
          <cell r="AI7">
            <v>10000</v>
          </cell>
        </row>
      </sheetData>
      <sheetData sheetId="14780">
        <row r="7">
          <cell r="AI7">
            <v>10000</v>
          </cell>
        </row>
      </sheetData>
      <sheetData sheetId="14781">
        <row r="7">
          <cell r="AI7">
            <v>10000</v>
          </cell>
        </row>
      </sheetData>
      <sheetData sheetId="14782">
        <row r="7">
          <cell r="AI7">
            <v>10000</v>
          </cell>
        </row>
      </sheetData>
      <sheetData sheetId="14783">
        <row r="7">
          <cell r="AI7">
            <v>10000</v>
          </cell>
        </row>
      </sheetData>
      <sheetData sheetId="14784">
        <row r="7">
          <cell r="AI7">
            <v>10000</v>
          </cell>
        </row>
      </sheetData>
      <sheetData sheetId="14785">
        <row r="7">
          <cell r="AI7">
            <v>10000</v>
          </cell>
        </row>
      </sheetData>
      <sheetData sheetId="14786">
        <row r="7">
          <cell r="AI7">
            <v>10000</v>
          </cell>
        </row>
      </sheetData>
      <sheetData sheetId="14787">
        <row r="7">
          <cell r="AI7">
            <v>10000</v>
          </cell>
        </row>
      </sheetData>
      <sheetData sheetId="14788">
        <row r="7">
          <cell r="AI7">
            <v>10000</v>
          </cell>
        </row>
      </sheetData>
      <sheetData sheetId="14789">
        <row r="7">
          <cell r="AI7">
            <v>10000</v>
          </cell>
        </row>
      </sheetData>
      <sheetData sheetId="14790">
        <row r="7">
          <cell r="AI7">
            <v>10000</v>
          </cell>
        </row>
      </sheetData>
      <sheetData sheetId="14791">
        <row r="7">
          <cell r="AI7">
            <v>10000</v>
          </cell>
        </row>
      </sheetData>
      <sheetData sheetId="14792">
        <row r="7">
          <cell r="AI7">
            <v>10000</v>
          </cell>
        </row>
      </sheetData>
      <sheetData sheetId="14793">
        <row r="7">
          <cell r="AI7">
            <v>10000</v>
          </cell>
        </row>
      </sheetData>
      <sheetData sheetId="14794">
        <row r="7">
          <cell r="AI7">
            <v>10000</v>
          </cell>
        </row>
      </sheetData>
      <sheetData sheetId="14795">
        <row r="7">
          <cell r="AI7">
            <v>10000</v>
          </cell>
        </row>
      </sheetData>
      <sheetData sheetId="14796">
        <row r="7">
          <cell r="AI7">
            <v>10000</v>
          </cell>
        </row>
      </sheetData>
      <sheetData sheetId="14797">
        <row r="7">
          <cell r="AI7">
            <v>10000</v>
          </cell>
        </row>
      </sheetData>
      <sheetData sheetId="14798">
        <row r="7">
          <cell r="AI7">
            <v>10000</v>
          </cell>
        </row>
      </sheetData>
      <sheetData sheetId="14799">
        <row r="7">
          <cell r="AI7">
            <v>10000</v>
          </cell>
        </row>
      </sheetData>
      <sheetData sheetId="14800">
        <row r="7">
          <cell r="AI7">
            <v>10000</v>
          </cell>
        </row>
      </sheetData>
      <sheetData sheetId="14801">
        <row r="7">
          <cell r="AI7">
            <v>10000</v>
          </cell>
        </row>
      </sheetData>
      <sheetData sheetId="14802">
        <row r="7">
          <cell r="AI7">
            <v>10000</v>
          </cell>
        </row>
      </sheetData>
      <sheetData sheetId="14803">
        <row r="7">
          <cell r="AI7">
            <v>10000</v>
          </cell>
        </row>
      </sheetData>
      <sheetData sheetId="14804">
        <row r="7">
          <cell r="AI7">
            <v>10000</v>
          </cell>
        </row>
      </sheetData>
      <sheetData sheetId="14805">
        <row r="7">
          <cell r="AI7">
            <v>10000</v>
          </cell>
        </row>
      </sheetData>
      <sheetData sheetId="14806">
        <row r="7">
          <cell r="AI7">
            <v>10000</v>
          </cell>
        </row>
      </sheetData>
      <sheetData sheetId="14807">
        <row r="7">
          <cell r="AI7">
            <v>10000</v>
          </cell>
        </row>
      </sheetData>
      <sheetData sheetId="14808">
        <row r="7">
          <cell r="AI7">
            <v>10000</v>
          </cell>
        </row>
      </sheetData>
      <sheetData sheetId="14809">
        <row r="7">
          <cell r="AI7">
            <v>10000</v>
          </cell>
        </row>
      </sheetData>
      <sheetData sheetId="14810">
        <row r="7">
          <cell r="AI7">
            <v>10000</v>
          </cell>
        </row>
      </sheetData>
      <sheetData sheetId="14811">
        <row r="7">
          <cell r="AI7">
            <v>10000</v>
          </cell>
        </row>
      </sheetData>
      <sheetData sheetId="14812">
        <row r="7">
          <cell r="AI7">
            <v>10000</v>
          </cell>
        </row>
      </sheetData>
      <sheetData sheetId="14813">
        <row r="7">
          <cell r="AI7">
            <v>10000</v>
          </cell>
        </row>
      </sheetData>
      <sheetData sheetId="14814">
        <row r="7">
          <cell r="AI7">
            <v>10000</v>
          </cell>
        </row>
      </sheetData>
      <sheetData sheetId="14815">
        <row r="7">
          <cell r="AI7">
            <v>10000</v>
          </cell>
        </row>
      </sheetData>
      <sheetData sheetId="14816">
        <row r="7">
          <cell r="AI7">
            <v>10000</v>
          </cell>
        </row>
      </sheetData>
      <sheetData sheetId="14817">
        <row r="7">
          <cell r="AI7">
            <v>10000</v>
          </cell>
        </row>
      </sheetData>
      <sheetData sheetId="14818">
        <row r="7">
          <cell r="AI7">
            <v>10000</v>
          </cell>
        </row>
      </sheetData>
      <sheetData sheetId="14819">
        <row r="7">
          <cell r="AI7">
            <v>10000</v>
          </cell>
        </row>
      </sheetData>
      <sheetData sheetId="14820">
        <row r="7">
          <cell r="AI7">
            <v>10000</v>
          </cell>
        </row>
      </sheetData>
      <sheetData sheetId="14821">
        <row r="7">
          <cell r="AI7">
            <v>10000</v>
          </cell>
        </row>
      </sheetData>
      <sheetData sheetId="14822">
        <row r="7">
          <cell r="AI7">
            <v>10000</v>
          </cell>
        </row>
      </sheetData>
      <sheetData sheetId="14823">
        <row r="7">
          <cell r="AI7">
            <v>10000</v>
          </cell>
        </row>
      </sheetData>
      <sheetData sheetId="14824">
        <row r="7">
          <cell r="AI7">
            <v>10000</v>
          </cell>
        </row>
      </sheetData>
      <sheetData sheetId="14825">
        <row r="7">
          <cell r="AI7">
            <v>10000</v>
          </cell>
        </row>
      </sheetData>
      <sheetData sheetId="14826">
        <row r="7">
          <cell r="AI7">
            <v>10000</v>
          </cell>
        </row>
      </sheetData>
      <sheetData sheetId="14827">
        <row r="7">
          <cell r="AI7">
            <v>10000</v>
          </cell>
        </row>
      </sheetData>
      <sheetData sheetId="14828">
        <row r="7">
          <cell r="AI7">
            <v>10000</v>
          </cell>
        </row>
      </sheetData>
      <sheetData sheetId="14829">
        <row r="7">
          <cell r="AI7">
            <v>10000</v>
          </cell>
        </row>
      </sheetData>
      <sheetData sheetId="14830">
        <row r="7">
          <cell r="AI7">
            <v>10000</v>
          </cell>
        </row>
      </sheetData>
      <sheetData sheetId="14831">
        <row r="7">
          <cell r="AI7">
            <v>10000</v>
          </cell>
        </row>
      </sheetData>
      <sheetData sheetId="14832">
        <row r="7">
          <cell r="AI7">
            <v>10000</v>
          </cell>
        </row>
      </sheetData>
      <sheetData sheetId="14833">
        <row r="7">
          <cell r="AI7">
            <v>10000</v>
          </cell>
        </row>
      </sheetData>
      <sheetData sheetId="14834">
        <row r="7">
          <cell r="AI7">
            <v>10000</v>
          </cell>
        </row>
      </sheetData>
      <sheetData sheetId="14835">
        <row r="7">
          <cell r="AI7">
            <v>10000</v>
          </cell>
        </row>
      </sheetData>
      <sheetData sheetId="14836">
        <row r="7">
          <cell r="AI7">
            <v>10000</v>
          </cell>
        </row>
      </sheetData>
      <sheetData sheetId="14837">
        <row r="7">
          <cell r="AI7">
            <v>10000</v>
          </cell>
        </row>
      </sheetData>
      <sheetData sheetId="14838">
        <row r="7">
          <cell r="AI7">
            <v>10000</v>
          </cell>
        </row>
      </sheetData>
      <sheetData sheetId="14839">
        <row r="7">
          <cell r="AI7">
            <v>10000</v>
          </cell>
        </row>
      </sheetData>
      <sheetData sheetId="14840">
        <row r="7">
          <cell r="AI7">
            <v>10000</v>
          </cell>
        </row>
      </sheetData>
      <sheetData sheetId="14841">
        <row r="7">
          <cell r="AI7">
            <v>10000</v>
          </cell>
        </row>
      </sheetData>
      <sheetData sheetId="14842">
        <row r="7">
          <cell r="AI7">
            <v>10000</v>
          </cell>
        </row>
      </sheetData>
      <sheetData sheetId="14843">
        <row r="7">
          <cell r="AI7">
            <v>10000</v>
          </cell>
        </row>
      </sheetData>
      <sheetData sheetId="14844">
        <row r="7">
          <cell r="AI7">
            <v>10000</v>
          </cell>
        </row>
      </sheetData>
      <sheetData sheetId="14845">
        <row r="7">
          <cell r="AI7">
            <v>10000</v>
          </cell>
        </row>
      </sheetData>
      <sheetData sheetId="14846">
        <row r="7">
          <cell r="AI7">
            <v>10000</v>
          </cell>
        </row>
      </sheetData>
      <sheetData sheetId="14847">
        <row r="7">
          <cell r="AI7">
            <v>10000</v>
          </cell>
        </row>
      </sheetData>
      <sheetData sheetId="14848">
        <row r="7">
          <cell r="AI7">
            <v>10000</v>
          </cell>
        </row>
      </sheetData>
      <sheetData sheetId="14849">
        <row r="7">
          <cell r="AI7">
            <v>10000</v>
          </cell>
        </row>
      </sheetData>
      <sheetData sheetId="14850">
        <row r="7">
          <cell r="AI7">
            <v>10000</v>
          </cell>
        </row>
      </sheetData>
      <sheetData sheetId="14851">
        <row r="7">
          <cell r="AI7">
            <v>10000</v>
          </cell>
        </row>
      </sheetData>
      <sheetData sheetId="14852">
        <row r="7">
          <cell r="AI7">
            <v>10000</v>
          </cell>
        </row>
      </sheetData>
      <sheetData sheetId="14853">
        <row r="7">
          <cell r="AI7">
            <v>10000</v>
          </cell>
        </row>
      </sheetData>
      <sheetData sheetId="14854">
        <row r="7">
          <cell r="AI7">
            <v>10000</v>
          </cell>
        </row>
      </sheetData>
      <sheetData sheetId="14855">
        <row r="7">
          <cell r="AI7">
            <v>10000</v>
          </cell>
        </row>
      </sheetData>
      <sheetData sheetId="14856">
        <row r="7">
          <cell r="AI7">
            <v>10000</v>
          </cell>
        </row>
      </sheetData>
      <sheetData sheetId="14857">
        <row r="7">
          <cell r="AI7">
            <v>10000</v>
          </cell>
        </row>
      </sheetData>
      <sheetData sheetId="14858">
        <row r="7">
          <cell r="AI7">
            <v>10000</v>
          </cell>
        </row>
      </sheetData>
      <sheetData sheetId="14859">
        <row r="7">
          <cell r="AI7">
            <v>10000</v>
          </cell>
        </row>
      </sheetData>
      <sheetData sheetId="14860">
        <row r="7">
          <cell r="AI7">
            <v>10000</v>
          </cell>
        </row>
      </sheetData>
      <sheetData sheetId="14861">
        <row r="7">
          <cell r="AI7">
            <v>10000</v>
          </cell>
        </row>
      </sheetData>
      <sheetData sheetId="14862">
        <row r="7">
          <cell r="AI7">
            <v>10000</v>
          </cell>
        </row>
      </sheetData>
      <sheetData sheetId="14863">
        <row r="7">
          <cell r="AI7">
            <v>10000</v>
          </cell>
        </row>
      </sheetData>
      <sheetData sheetId="14864">
        <row r="7">
          <cell r="AI7">
            <v>10000</v>
          </cell>
        </row>
      </sheetData>
      <sheetData sheetId="14865">
        <row r="7">
          <cell r="AI7">
            <v>10000</v>
          </cell>
        </row>
      </sheetData>
      <sheetData sheetId="14866">
        <row r="7">
          <cell r="AI7">
            <v>10000</v>
          </cell>
        </row>
      </sheetData>
      <sheetData sheetId="14867">
        <row r="7">
          <cell r="AI7">
            <v>10000</v>
          </cell>
        </row>
      </sheetData>
      <sheetData sheetId="14868">
        <row r="7">
          <cell r="AI7">
            <v>10000</v>
          </cell>
        </row>
      </sheetData>
      <sheetData sheetId="14869">
        <row r="7">
          <cell r="AI7">
            <v>10000</v>
          </cell>
        </row>
      </sheetData>
      <sheetData sheetId="14870">
        <row r="7">
          <cell r="AI7">
            <v>10000</v>
          </cell>
        </row>
      </sheetData>
      <sheetData sheetId="14871">
        <row r="7">
          <cell r="AI7">
            <v>10000</v>
          </cell>
        </row>
      </sheetData>
      <sheetData sheetId="14872">
        <row r="7">
          <cell r="AI7">
            <v>10000</v>
          </cell>
        </row>
      </sheetData>
      <sheetData sheetId="14873">
        <row r="7">
          <cell r="AI7">
            <v>10000</v>
          </cell>
        </row>
      </sheetData>
      <sheetData sheetId="14874">
        <row r="7">
          <cell r="AI7">
            <v>10000</v>
          </cell>
        </row>
      </sheetData>
      <sheetData sheetId="14875">
        <row r="7">
          <cell r="AI7">
            <v>10000</v>
          </cell>
        </row>
      </sheetData>
      <sheetData sheetId="14876">
        <row r="7">
          <cell r="AI7">
            <v>10000</v>
          </cell>
        </row>
      </sheetData>
      <sheetData sheetId="14877">
        <row r="7">
          <cell r="AI7">
            <v>10000</v>
          </cell>
        </row>
      </sheetData>
      <sheetData sheetId="14878">
        <row r="7">
          <cell r="AI7">
            <v>10000</v>
          </cell>
        </row>
      </sheetData>
      <sheetData sheetId="14879">
        <row r="7">
          <cell r="AI7">
            <v>10000</v>
          </cell>
        </row>
      </sheetData>
      <sheetData sheetId="14880">
        <row r="7">
          <cell r="AI7">
            <v>10000</v>
          </cell>
        </row>
      </sheetData>
      <sheetData sheetId="14881">
        <row r="7">
          <cell r="AI7">
            <v>10000</v>
          </cell>
        </row>
      </sheetData>
      <sheetData sheetId="14882">
        <row r="7">
          <cell r="AI7">
            <v>10000</v>
          </cell>
        </row>
      </sheetData>
      <sheetData sheetId="14883">
        <row r="7">
          <cell r="AI7">
            <v>10000</v>
          </cell>
        </row>
      </sheetData>
      <sheetData sheetId="14884">
        <row r="7">
          <cell r="AI7">
            <v>10000</v>
          </cell>
        </row>
      </sheetData>
      <sheetData sheetId="14885">
        <row r="7">
          <cell r="AI7">
            <v>10000</v>
          </cell>
        </row>
      </sheetData>
      <sheetData sheetId="14886">
        <row r="7">
          <cell r="AI7">
            <v>10000</v>
          </cell>
        </row>
      </sheetData>
      <sheetData sheetId="14887">
        <row r="7">
          <cell r="AI7">
            <v>10000</v>
          </cell>
        </row>
      </sheetData>
      <sheetData sheetId="14888">
        <row r="7">
          <cell r="AI7">
            <v>10000</v>
          </cell>
        </row>
      </sheetData>
      <sheetData sheetId="14889">
        <row r="7">
          <cell r="AI7">
            <v>10000</v>
          </cell>
        </row>
      </sheetData>
      <sheetData sheetId="14890">
        <row r="7">
          <cell r="AI7">
            <v>10000</v>
          </cell>
        </row>
      </sheetData>
      <sheetData sheetId="14891">
        <row r="7">
          <cell r="AI7">
            <v>10000</v>
          </cell>
        </row>
      </sheetData>
      <sheetData sheetId="14892">
        <row r="7">
          <cell r="AI7">
            <v>10000</v>
          </cell>
        </row>
      </sheetData>
      <sheetData sheetId="14893">
        <row r="7">
          <cell r="AI7">
            <v>10000</v>
          </cell>
        </row>
      </sheetData>
      <sheetData sheetId="14894">
        <row r="7">
          <cell r="AI7">
            <v>10000</v>
          </cell>
        </row>
      </sheetData>
      <sheetData sheetId="14895">
        <row r="7">
          <cell r="AI7">
            <v>10000</v>
          </cell>
        </row>
      </sheetData>
      <sheetData sheetId="14896">
        <row r="7">
          <cell r="AI7">
            <v>10000</v>
          </cell>
        </row>
      </sheetData>
      <sheetData sheetId="14897">
        <row r="7">
          <cell r="AI7">
            <v>10000</v>
          </cell>
        </row>
      </sheetData>
      <sheetData sheetId="14898">
        <row r="7">
          <cell r="AI7">
            <v>10000</v>
          </cell>
        </row>
      </sheetData>
      <sheetData sheetId="14899">
        <row r="7">
          <cell r="AI7">
            <v>10000</v>
          </cell>
        </row>
      </sheetData>
      <sheetData sheetId="14900">
        <row r="7">
          <cell r="AI7">
            <v>10000</v>
          </cell>
        </row>
      </sheetData>
      <sheetData sheetId="14901">
        <row r="7">
          <cell r="AI7">
            <v>10000</v>
          </cell>
        </row>
      </sheetData>
      <sheetData sheetId="14902">
        <row r="7">
          <cell r="AI7">
            <v>10000</v>
          </cell>
        </row>
      </sheetData>
      <sheetData sheetId="14903">
        <row r="7">
          <cell r="AI7">
            <v>10000</v>
          </cell>
        </row>
      </sheetData>
      <sheetData sheetId="14904">
        <row r="7">
          <cell r="AI7">
            <v>10000</v>
          </cell>
        </row>
      </sheetData>
      <sheetData sheetId="14905">
        <row r="7">
          <cell r="AI7">
            <v>10000</v>
          </cell>
        </row>
      </sheetData>
      <sheetData sheetId="14906">
        <row r="7">
          <cell r="AI7">
            <v>10000</v>
          </cell>
        </row>
      </sheetData>
      <sheetData sheetId="14907">
        <row r="7">
          <cell r="AI7">
            <v>10000</v>
          </cell>
        </row>
      </sheetData>
      <sheetData sheetId="14908">
        <row r="7">
          <cell r="AI7">
            <v>10000</v>
          </cell>
        </row>
      </sheetData>
      <sheetData sheetId="14909">
        <row r="7">
          <cell r="AI7">
            <v>10000</v>
          </cell>
        </row>
      </sheetData>
      <sheetData sheetId="14910">
        <row r="7">
          <cell r="AI7">
            <v>10000</v>
          </cell>
        </row>
      </sheetData>
      <sheetData sheetId="14911">
        <row r="7">
          <cell r="AI7">
            <v>10000</v>
          </cell>
        </row>
      </sheetData>
      <sheetData sheetId="14912">
        <row r="7">
          <cell r="AI7">
            <v>10000</v>
          </cell>
        </row>
      </sheetData>
      <sheetData sheetId="14913">
        <row r="7">
          <cell r="AI7">
            <v>10000</v>
          </cell>
        </row>
      </sheetData>
      <sheetData sheetId="14914">
        <row r="7">
          <cell r="AI7">
            <v>10000</v>
          </cell>
        </row>
      </sheetData>
      <sheetData sheetId="14915">
        <row r="7">
          <cell r="AI7">
            <v>10000</v>
          </cell>
        </row>
      </sheetData>
      <sheetData sheetId="14916">
        <row r="7">
          <cell r="AI7">
            <v>10000</v>
          </cell>
        </row>
      </sheetData>
      <sheetData sheetId="14917">
        <row r="7">
          <cell r="AI7">
            <v>10000</v>
          </cell>
        </row>
      </sheetData>
      <sheetData sheetId="14918">
        <row r="7">
          <cell r="AI7">
            <v>10000</v>
          </cell>
        </row>
      </sheetData>
      <sheetData sheetId="14919">
        <row r="7">
          <cell r="AI7">
            <v>10000</v>
          </cell>
        </row>
      </sheetData>
      <sheetData sheetId="14920">
        <row r="7">
          <cell r="AI7">
            <v>10000</v>
          </cell>
        </row>
      </sheetData>
      <sheetData sheetId="14921">
        <row r="7">
          <cell r="AI7">
            <v>10000</v>
          </cell>
        </row>
      </sheetData>
      <sheetData sheetId="14922">
        <row r="7">
          <cell r="AI7">
            <v>10000</v>
          </cell>
        </row>
      </sheetData>
      <sheetData sheetId="14923">
        <row r="7">
          <cell r="AI7">
            <v>10000</v>
          </cell>
        </row>
      </sheetData>
      <sheetData sheetId="14924">
        <row r="7">
          <cell r="AI7">
            <v>10000</v>
          </cell>
        </row>
      </sheetData>
      <sheetData sheetId="14925">
        <row r="7">
          <cell r="AI7">
            <v>10000</v>
          </cell>
        </row>
      </sheetData>
      <sheetData sheetId="14926">
        <row r="7">
          <cell r="AI7">
            <v>10000</v>
          </cell>
        </row>
      </sheetData>
      <sheetData sheetId="14927">
        <row r="7">
          <cell r="AI7">
            <v>10000</v>
          </cell>
        </row>
      </sheetData>
      <sheetData sheetId="14928">
        <row r="7">
          <cell r="AI7">
            <v>10000</v>
          </cell>
        </row>
      </sheetData>
      <sheetData sheetId="14929">
        <row r="7">
          <cell r="AI7">
            <v>10000</v>
          </cell>
        </row>
      </sheetData>
      <sheetData sheetId="14930">
        <row r="7">
          <cell r="AI7">
            <v>10000</v>
          </cell>
        </row>
      </sheetData>
      <sheetData sheetId="14931">
        <row r="7">
          <cell r="AI7">
            <v>10000</v>
          </cell>
        </row>
      </sheetData>
      <sheetData sheetId="14932">
        <row r="7">
          <cell r="AI7">
            <v>10000</v>
          </cell>
        </row>
      </sheetData>
      <sheetData sheetId="14933">
        <row r="7">
          <cell r="AI7">
            <v>10000</v>
          </cell>
        </row>
      </sheetData>
      <sheetData sheetId="14934">
        <row r="7">
          <cell r="AI7">
            <v>10000</v>
          </cell>
        </row>
      </sheetData>
      <sheetData sheetId="14935">
        <row r="7">
          <cell r="AI7">
            <v>10000</v>
          </cell>
        </row>
      </sheetData>
      <sheetData sheetId="14936">
        <row r="7">
          <cell r="AI7">
            <v>10000</v>
          </cell>
        </row>
      </sheetData>
      <sheetData sheetId="14937">
        <row r="7">
          <cell r="AI7">
            <v>10000</v>
          </cell>
        </row>
      </sheetData>
      <sheetData sheetId="14938">
        <row r="7">
          <cell r="AI7">
            <v>10000</v>
          </cell>
        </row>
      </sheetData>
      <sheetData sheetId="14939">
        <row r="7">
          <cell r="AI7">
            <v>10000</v>
          </cell>
        </row>
      </sheetData>
      <sheetData sheetId="14940">
        <row r="7">
          <cell r="AI7">
            <v>10000</v>
          </cell>
        </row>
      </sheetData>
      <sheetData sheetId="14941">
        <row r="7">
          <cell r="AI7">
            <v>10000</v>
          </cell>
        </row>
      </sheetData>
      <sheetData sheetId="14942">
        <row r="7">
          <cell r="AI7">
            <v>10000</v>
          </cell>
        </row>
      </sheetData>
      <sheetData sheetId="14943">
        <row r="7">
          <cell r="AI7">
            <v>10000</v>
          </cell>
        </row>
      </sheetData>
      <sheetData sheetId="14944">
        <row r="7">
          <cell r="AI7">
            <v>10000</v>
          </cell>
        </row>
      </sheetData>
      <sheetData sheetId="14945">
        <row r="7">
          <cell r="AI7">
            <v>10000</v>
          </cell>
        </row>
      </sheetData>
      <sheetData sheetId="14946">
        <row r="7">
          <cell r="AI7">
            <v>10000</v>
          </cell>
        </row>
      </sheetData>
      <sheetData sheetId="14947">
        <row r="7">
          <cell r="AI7">
            <v>10000</v>
          </cell>
        </row>
      </sheetData>
      <sheetData sheetId="14948">
        <row r="7">
          <cell r="AI7">
            <v>10000</v>
          </cell>
        </row>
      </sheetData>
      <sheetData sheetId="14949">
        <row r="7">
          <cell r="AI7">
            <v>10000</v>
          </cell>
        </row>
      </sheetData>
      <sheetData sheetId="14950">
        <row r="7">
          <cell r="AI7">
            <v>10000</v>
          </cell>
        </row>
      </sheetData>
      <sheetData sheetId="14951">
        <row r="7">
          <cell r="AI7">
            <v>10000</v>
          </cell>
        </row>
      </sheetData>
      <sheetData sheetId="14952">
        <row r="7">
          <cell r="AI7">
            <v>10000</v>
          </cell>
        </row>
      </sheetData>
      <sheetData sheetId="14953">
        <row r="7">
          <cell r="AI7">
            <v>10000</v>
          </cell>
        </row>
      </sheetData>
      <sheetData sheetId="14954">
        <row r="7">
          <cell r="AI7">
            <v>10000</v>
          </cell>
        </row>
      </sheetData>
      <sheetData sheetId="14955">
        <row r="7">
          <cell r="AI7">
            <v>10000</v>
          </cell>
        </row>
      </sheetData>
      <sheetData sheetId="14956">
        <row r="7">
          <cell r="AI7">
            <v>10000</v>
          </cell>
        </row>
      </sheetData>
      <sheetData sheetId="14957">
        <row r="7">
          <cell r="AI7">
            <v>10000</v>
          </cell>
        </row>
      </sheetData>
      <sheetData sheetId="14958">
        <row r="7">
          <cell r="AI7">
            <v>10000</v>
          </cell>
        </row>
      </sheetData>
      <sheetData sheetId="14959">
        <row r="7">
          <cell r="AI7">
            <v>10000</v>
          </cell>
        </row>
      </sheetData>
      <sheetData sheetId="14960">
        <row r="7">
          <cell r="AI7">
            <v>10000</v>
          </cell>
        </row>
      </sheetData>
      <sheetData sheetId="14961">
        <row r="7">
          <cell r="AI7">
            <v>10000</v>
          </cell>
        </row>
      </sheetData>
      <sheetData sheetId="14962">
        <row r="7">
          <cell r="AI7">
            <v>10000</v>
          </cell>
        </row>
      </sheetData>
      <sheetData sheetId="14963">
        <row r="7">
          <cell r="AI7">
            <v>10000</v>
          </cell>
        </row>
      </sheetData>
      <sheetData sheetId="14964">
        <row r="7">
          <cell r="AI7">
            <v>10000</v>
          </cell>
        </row>
      </sheetData>
      <sheetData sheetId="14965">
        <row r="7">
          <cell r="AI7">
            <v>10000</v>
          </cell>
        </row>
      </sheetData>
      <sheetData sheetId="14966">
        <row r="7">
          <cell r="AI7">
            <v>10000</v>
          </cell>
        </row>
      </sheetData>
      <sheetData sheetId="14967">
        <row r="7">
          <cell r="AI7">
            <v>10000</v>
          </cell>
        </row>
      </sheetData>
      <sheetData sheetId="14968">
        <row r="7">
          <cell r="AI7">
            <v>10000</v>
          </cell>
        </row>
      </sheetData>
      <sheetData sheetId="14969">
        <row r="7">
          <cell r="AI7">
            <v>10000</v>
          </cell>
        </row>
      </sheetData>
      <sheetData sheetId="14970">
        <row r="7">
          <cell r="AI7">
            <v>10000</v>
          </cell>
        </row>
      </sheetData>
      <sheetData sheetId="14971">
        <row r="7">
          <cell r="AI7">
            <v>10000</v>
          </cell>
        </row>
      </sheetData>
      <sheetData sheetId="14972">
        <row r="7">
          <cell r="AI7">
            <v>10000</v>
          </cell>
        </row>
      </sheetData>
      <sheetData sheetId="14973">
        <row r="7">
          <cell r="AI7">
            <v>10000</v>
          </cell>
        </row>
      </sheetData>
      <sheetData sheetId="14974">
        <row r="7">
          <cell r="AI7">
            <v>10000</v>
          </cell>
        </row>
      </sheetData>
      <sheetData sheetId="14975">
        <row r="7">
          <cell r="AI7">
            <v>10000</v>
          </cell>
        </row>
      </sheetData>
      <sheetData sheetId="14976">
        <row r="7">
          <cell r="AI7">
            <v>10000</v>
          </cell>
        </row>
      </sheetData>
      <sheetData sheetId="14977">
        <row r="7">
          <cell r="AI7">
            <v>10000</v>
          </cell>
        </row>
      </sheetData>
      <sheetData sheetId="14978">
        <row r="7">
          <cell r="AI7">
            <v>10000</v>
          </cell>
        </row>
      </sheetData>
      <sheetData sheetId="14979">
        <row r="7">
          <cell r="AI7">
            <v>10000</v>
          </cell>
        </row>
      </sheetData>
      <sheetData sheetId="14980">
        <row r="7">
          <cell r="AI7">
            <v>10000</v>
          </cell>
        </row>
      </sheetData>
      <sheetData sheetId="14981">
        <row r="7">
          <cell r="AI7">
            <v>10000</v>
          </cell>
        </row>
      </sheetData>
      <sheetData sheetId="14982">
        <row r="7">
          <cell r="AI7">
            <v>10000</v>
          </cell>
        </row>
      </sheetData>
      <sheetData sheetId="14983">
        <row r="7">
          <cell r="AI7">
            <v>10000</v>
          </cell>
        </row>
      </sheetData>
      <sheetData sheetId="14984">
        <row r="7">
          <cell r="AI7">
            <v>10000</v>
          </cell>
        </row>
      </sheetData>
      <sheetData sheetId="14985">
        <row r="7">
          <cell r="AI7">
            <v>10000</v>
          </cell>
        </row>
      </sheetData>
      <sheetData sheetId="14986">
        <row r="7">
          <cell r="AI7">
            <v>10000</v>
          </cell>
        </row>
      </sheetData>
      <sheetData sheetId="14987">
        <row r="7">
          <cell r="AI7">
            <v>10000</v>
          </cell>
        </row>
      </sheetData>
      <sheetData sheetId="14988">
        <row r="7">
          <cell r="AI7">
            <v>10000</v>
          </cell>
        </row>
      </sheetData>
      <sheetData sheetId="14989">
        <row r="7">
          <cell r="AI7">
            <v>10000</v>
          </cell>
        </row>
      </sheetData>
      <sheetData sheetId="14990">
        <row r="7">
          <cell r="AI7">
            <v>10000</v>
          </cell>
        </row>
      </sheetData>
      <sheetData sheetId="14991">
        <row r="7">
          <cell r="AI7">
            <v>10000</v>
          </cell>
        </row>
      </sheetData>
      <sheetData sheetId="14992">
        <row r="7">
          <cell r="AI7">
            <v>10000</v>
          </cell>
        </row>
      </sheetData>
      <sheetData sheetId="14993">
        <row r="7">
          <cell r="AI7">
            <v>10000</v>
          </cell>
        </row>
      </sheetData>
      <sheetData sheetId="14994">
        <row r="7">
          <cell r="AI7">
            <v>10000</v>
          </cell>
        </row>
      </sheetData>
      <sheetData sheetId="14995">
        <row r="7">
          <cell r="AI7">
            <v>10000</v>
          </cell>
        </row>
      </sheetData>
      <sheetData sheetId="14996">
        <row r="7">
          <cell r="AI7">
            <v>10000</v>
          </cell>
        </row>
      </sheetData>
      <sheetData sheetId="14997">
        <row r="7">
          <cell r="AI7">
            <v>10000</v>
          </cell>
        </row>
      </sheetData>
      <sheetData sheetId="14998">
        <row r="7">
          <cell r="AI7">
            <v>10000</v>
          </cell>
        </row>
      </sheetData>
      <sheetData sheetId="14999">
        <row r="7">
          <cell r="AI7">
            <v>10000</v>
          </cell>
        </row>
      </sheetData>
      <sheetData sheetId="15000">
        <row r="7">
          <cell r="AI7">
            <v>10000</v>
          </cell>
        </row>
      </sheetData>
      <sheetData sheetId="15001">
        <row r="7">
          <cell r="AI7">
            <v>10000</v>
          </cell>
        </row>
      </sheetData>
      <sheetData sheetId="15002">
        <row r="7">
          <cell r="AI7">
            <v>10000</v>
          </cell>
        </row>
      </sheetData>
      <sheetData sheetId="15003">
        <row r="7">
          <cell r="AI7">
            <v>10000</v>
          </cell>
        </row>
      </sheetData>
      <sheetData sheetId="15004">
        <row r="7">
          <cell r="AI7">
            <v>10000</v>
          </cell>
        </row>
      </sheetData>
      <sheetData sheetId="15005">
        <row r="7">
          <cell r="AI7">
            <v>10000</v>
          </cell>
        </row>
      </sheetData>
      <sheetData sheetId="15006">
        <row r="7">
          <cell r="AI7">
            <v>10000</v>
          </cell>
        </row>
      </sheetData>
      <sheetData sheetId="15007">
        <row r="7">
          <cell r="AI7">
            <v>10000</v>
          </cell>
        </row>
      </sheetData>
      <sheetData sheetId="15008">
        <row r="7">
          <cell r="AI7">
            <v>10000</v>
          </cell>
        </row>
      </sheetData>
      <sheetData sheetId="15009">
        <row r="7">
          <cell r="AI7">
            <v>10000</v>
          </cell>
        </row>
      </sheetData>
      <sheetData sheetId="15010">
        <row r="7">
          <cell r="AI7">
            <v>10000</v>
          </cell>
        </row>
      </sheetData>
      <sheetData sheetId="15011">
        <row r="7">
          <cell r="AI7">
            <v>10000</v>
          </cell>
        </row>
      </sheetData>
      <sheetData sheetId="15012">
        <row r="7">
          <cell r="AI7">
            <v>10000</v>
          </cell>
        </row>
      </sheetData>
      <sheetData sheetId="15013">
        <row r="7">
          <cell r="AI7">
            <v>10000</v>
          </cell>
        </row>
      </sheetData>
      <sheetData sheetId="15014">
        <row r="7">
          <cell r="AI7">
            <v>10000</v>
          </cell>
        </row>
      </sheetData>
      <sheetData sheetId="15015">
        <row r="7">
          <cell r="AI7">
            <v>10000</v>
          </cell>
        </row>
      </sheetData>
      <sheetData sheetId="15016">
        <row r="7">
          <cell r="AI7">
            <v>10000</v>
          </cell>
        </row>
      </sheetData>
      <sheetData sheetId="15017">
        <row r="7">
          <cell r="AI7">
            <v>10000</v>
          </cell>
        </row>
      </sheetData>
      <sheetData sheetId="15018">
        <row r="7">
          <cell r="AI7">
            <v>10000</v>
          </cell>
        </row>
      </sheetData>
      <sheetData sheetId="15019">
        <row r="7">
          <cell r="AI7">
            <v>10000</v>
          </cell>
        </row>
      </sheetData>
      <sheetData sheetId="15020">
        <row r="7">
          <cell r="AI7">
            <v>10000</v>
          </cell>
        </row>
      </sheetData>
      <sheetData sheetId="15021">
        <row r="7">
          <cell r="AI7">
            <v>10000</v>
          </cell>
        </row>
      </sheetData>
      <sheetData sheetId="15022">
        <row r="7">
          <cell r="AI7">
            <v>10000</v>
          </cell>
        </row>
      </sheetData>
      <sheetData sheetId="15023">
        <row r="7">
          <cell r="AI7">
            <v>10000</v>
          </cell>
        </row>
      </sheetData>
      <sheetData sheetId="15024">
        <row r="7">
          <cell r="AI7">
            <v>10000</v>
          </cell>
        </row>
      </sheetData>
      <sheetData sheetId="15025">
        <row r="7">
          <cell r="AI7">
            <v>10000</v>
          </cell>
        </row>
      </sheetData>
      <sheetData sheetId="15026">
        <row r="7">
          <cell r="AI7">
            <v>10000</v>
          </cell>
        </row>
      </sheetData>
      <sheetData sheetId="15027">
        <row r="7">
          <cell r="AI7">
            <v>10000</v>
          </cell>
        </row>
      </sheetData>
      <sheetData sheetId="15028">
        <row r="7">
          <cell r="AI7">
            <v>10000</v>
          </cell>
        </row>
      </sheetData>
      <sheetData sheetId="15029">
        <row r="7">
          <cell r="AI7">
            <v>10000</v>
          </cell>
        </row>
      </sheetData>
      <sheetData sheetId="15030">
        <row r="7">
          <cell r="AI7">
            <v>10000</v>
          </cell>
        </row>
      </sheetData>
      <sheetData sheetId="15031">
        <row r="7">
          <cell r="AI7">
            <v>10000</v>
          </cell>
        </row>
      </sheetData>
      <sheetData sheetId="15032">
        <row r="7">
          <cell r="AI7">
            <v>10000</v>
          </cell>
        </row>
      </sheetData>
      <sheetData sheetId="15033">
        <row r="7">
          <cell r="AI7">
            <v>10000</v>
          </cell>
        </row>
      </sheetData>
      <sheetData sheetId="15034">
        <row r="7">
          <cell r="AI7">
            <v>10000</v>
          </cell>
        </row>
      </sheetData>
      <sheetData sheetId="15035">
        <row r="7">
          <cell r="AI7">
            <v>10000</v>
          </cell>
        </row>
      </sheetData>
      <sheetData sheetId="15036">
        <row r="7">
          <cell r="AI7">
            <v>10000</v>
          </cell>
        </row>
      </sheetData>
      <sheetData sheetId="15037">
        <row r="7">
          <cell r="AI7">
            <v>10000</v>
          </cell>
        </row>
      </sheetData>
      <sheetData sheetId="15038">
        <row r="7">
          <cell r="AI7">
            <v>10000</v>
          </cell>
        </row>
      </sheetData>
      <sheetData sheetId="15039">
        <row r="7">
          <cell r="AI7">
            <v>10000</v>
          </cell>
        </row>
      </sheetData>
      <sheetData sheetId="15040">
        <row r="7">
          <cell r="AI7">
            <v>10000</v>
          </cell>
        </row>
      </sheetData>
      <sheetData sheetId="15041">
        <row r="7">
          <cell r="AI7">
            <v>10000</v>
          </cell>
        </row>
      </sheetData>
      <sheetData sheetId="15042">
        <row r="7">
          <cell r="AI7">
            <v>10000</v>
          </cell>
        </row>
      </sheetData>
      <sheetData sheetId="15043">
        <row r="7">
          <cell r="AI7">
            <v>10000</v>
          </cell>
        </row>
      </sheetData>
      <sheetData sheetId="15044">
        <row r="7">
          <cell r="AI7">
            <v>10000</v>
          </cell>
        </row>
      </sheetData>
      <sheetData sheetId="15045">
        <row r="7">
          <cell r="AI7">
            <v>10000</v>
          </cell>
        </row>
      </sheetData>
      <sheetData sheetId="15046">
        <row r="7">
          <cell r="AI7">
            <v>10000</v>
          </cell>
        </row>
      </sheetData>
      <sheetData sheetId="15047">
        <row r="7">
          <cell r="AI7">
            <v>10000</v>
          </cell>
        </row>
      </sheetData>
      <sheetData sheetId="15048">
        <row r="7">
          <cell r="AI7">
            <v>10000</v>
          </cell>
        </row>
      </sheetData>
      <sheetData sheetId="15049">
        <row r="7">
          <cell r="AI7">
            <v>10000</v>
          </cell>
        </row>
      </sheetData>
      <sheetData sheetId="15050">
        <row r="7">
          <cell r="AI7">
            <v>10000</v>
          </cell>
        </row>
      </sheetData>
      <sheetData sheetId="15051">
        <row r="7">
          <cell r="AI7">
            <v>10000</v>
          </cell>
        </row>
      </sheetData>
      <sheetData sheetId="15052">
        <row r="7">
          <cell r="AI7">
            <v>10000</v>
          </cell>
        </row>
      </sheetData>
      <sheetData sheetId="15053">
        <row r="7">
          <cell r="AI7">
            <v>10000</v>
          </cell>
        </row>
      </sheetData>
      <sheetData sheetId="15054">
        <row r="7">
          <cell r="AI7">
            <v>10000</v>
          </cell>
        </row>
      </sheetData>
      <sheetData sheetId="15055">
        <row r="7">
          <cell r="AI7">
            <v>10000</v>
          </cell>
        </row>
      </sheetData>
      <sheetData sheetId="15056">
        <row r="7">
          <cell r="AI7">
            <v>10000</v>
          </cell>
        </row>
      </sheetData>
      <sheetData sheetId="15057">
        <row r="7">
          <cell r="AI7">
            <v>10000</v>
          </cell>
        </row>
      </sheetData>
      <sheetData sheetId="15058">
        <row r="7">
          <cell r="AI7">
            <v>10000</v>
          </cell>
        </row>
      </sheetData>
      <sheetData sheetId="15059">
        <row r="7">
          <cell r="AI7">
            <v>10000</v>
          </cell>
        </row>
      </sheetData>
      <sheetData sheetId="15060">
        <row r="7">
          <cell r="AI7">
            <v>10000</v>
          </cell>
        </row>
      </sheetData>
      <sheetData sheetId="15061">
        <row r="7">
          <cell r="AI7">
            <v>10000</v>
          </cell>
        </row>
      </sheetData>
      <sheetData sheetId="15062">
        <row r="7">
          <cell r="AI7">
            <v>10000</v>
          </cell>
        </row>
      </sheetData>
      <sheetData sheetId="15063">
        <row r="7">
          <cell r="AI7">
            <v>10000</v>
          </cell>
        </row>
      </sheetData>
      <sheetData sheetId="15064">
        <row r="7">
          <cell r="AI7">
            <v>10000</v>
          </cell>
        </row>
      </sheetData>
      <sheetData sheetId="15065">
        <row r="7">
          <cell r="AI7">
            <v>10000</v>
          </cell>
        </row>
      </sheetData>
      <sheetData sheetId="15066">
        <row r="7">
          <cell r="AI7">
            <v>10000</v>
          </cell>
        </row>
      </sheetData>
      <sheetData sheetId="15067">
        <row r="7">
          <cell r="AI7">
            <v>10000</v>
          </cell>
        </row>
      </sheetData>
      <sheetData sheetId="15068">
        <row r="7">
          <cell r="AI7">
            <v>10000</v>
          </cell>
        </row>
      </sheetData>
      <sheetData sheetId="15069">
        <row r="7">
          <cell r="AI7">
            <v>10000</v>
          </cell>
        </row>
      </sheetData>
      <sheetData sheetId="15070">
        <row r="7">
          <cell r="AI7">
            <v>10000</v>
          </cell>
        </row>
      </sheetData>
      <sheetData sheetId="15071">
        <row r="7">
          <cell r="AI7">
            <v>10000</v>
          </cell>
        </row>
      </sheetData>
      <sheetData sheetId="15072">
        <row r="7">
          <cell r="AI7">
            <v>10000</v>
          </cell>
        </row>
      </sheetData>
      <sheetData sheetId="15073">
        <row r="7">
          <cell r="AI7">
            <v>10000</v>
          </cell>
        </row>
      </sheetData>
      <sheetData sheetId="15074">
        <row r="7">
          <cell r="AI7">
            <v>10000</v>
          </cell>
        </row>
      </sheetData>
      <sheetData sheetId="15075">
        <row r="7">
          <cell r="AI7">
            <v>10000</v>
          </cell>
        </row>
      </sheetData>
      <sheetData sheetId="15076">
        <row r="7">
          <cell r="AI7">
            <v>10000</v>
          </cell>
        </row>
      </sheetData>
      <sheetData sheetId="15077">
        <row r="7">
          <cell r="AI7">
            <v>10000</v>
          </cell>
        </row>
      </sheetData>
      <sheetData sheetId="15078">
        <row r="7">
          <cell r="AI7">
            <v>10000</v>
          </cell>
        </row>
      </sheetData>
      <sheetData sheetId="15079">
        <row r="7">
          <cell r="AI7">
            <v>10000</v>
          </cell>
        </row>
      </sheetData>
      <sheetData sheetId="15080">
        <row r="7">
          <cell r="AI7">
            <v>10000</v>
          </cell>
        </row>
      </sheetData>
      <sheetData sheetId="15081">
        <row r="7">
          <cell r="AI7">
            <v>10000</v>
          </cell>
        </row>
      </sheetData>
      <sheetData sheetId="15082">
        <row r="7">
          <cell r="AI7">
            <v>10000</v>
          </cell>
        </row>
      </sheetData>
      <sheetData sheetId="15083">
        <row r="7">
          <cell r="AI7">
            <v>10000</v>
          </cell>
        </row>
      </sheetData>
      <sheetData sheetId="15084">
        <row r="7">
          <cell r="AI7">
            <v>10000</v>
          </cell>
        </row>
      </sheetData>
      <sheetData sheetId="15085">
        <row r="7">
          <cell r="AI7">
            <v>10000</v>
          </cell>
        </row>
      </sheetData>
      <sheetData sheetId="15086">
        <row r="7">
          <cell r="AI7">
            <v>10000</v>
          </cell>
        </row>
      </sheetData>
      <sheetData sheetId="15087">
        <row r="7">
          <cell r="AI7">
            <v>10000</v>
          </cell>
        </row>
      </sheetData>
      <sheetData sheetId="15088">
        <row r="7">
          <cell r="AI7">
            <v>10000</v>
          </cell>
        </row>
      </sheetData>
      <sheetData sheetId="15089">
        <row r="7">
          <cell r="AI7">
            <v>10000</v>
          </cell>
        </row>
      </sheetData>
      <sheetData sheetId="15090">
        <row r="7">
          <cell r="AI7">
            <v>10000</v>
          </cell>
        </row>
      </sheetData>
      <sheetData sheetId="15091">
        <row r="7">
          <cell r="AI7">
            <v>10000</v>
          </cell>
        </row>
      </sheetData>
      <sheetData sheetId="15092">
        <row r="7">
          <cell r="AI7">
            <v>10000</v>
          </cell>
        </row>
      </sheetData>
      <sheetData sheetId="15093">
        <row r="7">
          <cell r="AI7">
            <v>10000</v>
          </cell>
        </row>
      </sheetData>
      <sheetData sheetId="15094">
        <row r="7">
          <cell r="AI7">
            <v>10000</v>
          </cell>
        </row>
      </sheetData>
      <sheetData sheetId="15095">
        <row r="7">
          <cell r="AI7">
            <v>10000</v>
          </cell>
        </row>
      </sheetData>
      <sheetData sheetId="15096">
        <row r="7">
          <cell r="AI7">
            <v>10000</v>
          </cell>
        </row>
      </sheetData>
      <sheetData sheetId="15097">
        <row r="7">
          <cell r="AI7">
            <v>10000</v>
          </cell>
        </row>
      </sheetData>
      <sheetData sheetId="15098">
        <row r="7">
          <cell r="AI7">
            <v>10000</v>
          </cell>
        </row>
      </sheetData>
      <sheetData sheetId="15099">
        <row r="7">
          <cell r="AI7">
            <v>10000</v>
          </cell>
        </row>
      </sheetData>
      <sheetData sheetId="15100">
        <row r="7">
          <cell r="AI7">
            <v>10000</v>
          </cell>
        </row>
      </sheetData>
      <sheetData sheetId="15101">
        <row r="7">
          <cell r="AI7">
            <v>10000</v>
          </cell>
        </row>
      </sheetData>
      <sheetData sheetId="15102">
        <row r="7">
          <cell r="AI7">
            <v>10000</v>
          </cell>
        </row>
      </sheetData>
      <sheetData sheetId="15103">
        <row r="7">
          <cell r="AI7">
            <v>10000</v>
          </cell>
        </row>
      </sheetData>
      <sheetData sheetId="15104">
        <row r="7">
          <cell r="AI7">
            <v>10000</v>
          </cell>
        </row>
      </sheetData>
      <sheetData sheetId="15105">
        <row r="7">
          <cell r="AI7">
            <v>10000</v>
          </cell>
        </row>
      </sheetData>
      <sheetData sheetId="15106">
        <row r="7">
          <cell r="AI7">
            <v>10000</v>
          </cell>
        </row>
      </sheetData>
      <sheetData sheetId="15107">
        <row r="7">
          <cell r="AI7">
            <v>10000</v>
          </cell>
        </row>
      </sheetData>
      <sheetData sheetId="15108">
        <row r="7">
          <cell r="AI7">
            <v>10000</v>
          </cell>
        </row>
      </sheetData>
      <sheetData sheetId="15109">
        <row r="7">
          <cell r="AI7">
            <v>10000</v>
          </cell>
        </row>
      </sheetData>
      <sheetData sheetId="15110">
        <row r="7">
          <cell r="AI7">
            <v>10000</v>
          </cell>
        </row>
      </sheetData>
      <sheetData sheetId="15111">
        <row r="7">
          <cell r="AI7">
            <v>10000</v>
          </cell>
        </row>
      </sheetData>
      <sheetData sheetId="15112">
        <row r="7">
          <cell r="AI7">
            <v>10000</v>
          </cell>
        </row>
      </sheetData>
      <sheetData sheetId="15113">
        <row r="7">
          <cell r="AI7">
            <v>10000</v>
          </cell>
        </row>
      </sheetData>
      <sheetData sheetId="15114">
        <row r="7">
          <cell r="AI7">
            <v>10000</v>
          </cell>
        </row>
      </sheetData>
      <sheetData sheetId="15115">
        <row r="7">
          <cell r="AI7">
            <v>10000</v>
          </cell>
        </row>
      </sheetData>
      <sheetData sheetId="15116">
        <row r="7">
          <cell r="AI7">
            <v>10000</v>
          </cell>
        </row>
      </sheetData>
      <sheetData sheetId="15117">
        <row r="7">
          <cell r="AI7">
            <v>10000</v>
          </cell>
        </row>
      </sheetData>
      <sheetData sheetId="15118">
        <row r="7">
          <cell r="AI7">
            <v>10000</v>
          </cell>
        </row>
      </sheetData>
      <sheetData sheetId="15119">
        <row r="7">
          <cell r="AI7">
            <v>10000</v>
          </cell>
        </row>
      </sheetData>
      <sheetData sheetId="15120">
        <row r="7">
          <cell r="AI7">
            <v>10000</v>
          </cell>
        </row>
      </sheetData>
      <sheetData sheetId="15121">
        <row r="7">
          <cell r="AI7">
            <v>10000</v>
          </cell>
        </row>
      </sheetData>
      <sheetData sheetId="15122">
        <row r="7">
          <cell r="AI7">
            <v>10000</v>
          </cell>
        </row>
      </sheetData>
      <sheetData sheetId="15123">
        <row r="7">
          <cell r="AI7">
            <v>10000</v>
          </cell>
        </row>
      </sheetData>
      <sheetData sheetId="15124">
        <row r="7">
          <cell r="AI7">
            <v>10000</v>
          </cell>
        </row>
      </sheetData>
      <sheetData sheetId="15125">
        <row r="7">
          <cell r="AI7">
            <v>10000</v>
          </cell>
        </row>
      </sheetData>
      <sheetData sheetId="15126">
        <row r="7">
          <cell r="AI7">
            <v>10000</v>
          </cell>
        </row>
      </sheetData>
      <sheetData sheetId="15127">
        <row r="7">
          <cell r="AI7">
            <v>10000</v>
          </cell>
        </row>
      </sheetData>
      <sheetData sheetId="15128">
        <row r="7">
          <cell r="AI7">
            <v>10000</v>
          </cell>
        </row>
      </sheetData>
      <sheetData sheetId="15129">
        <row r="7">
          <cell r="AI7">
            <v>10000</v>
          </cell>
        </row>
      </sheetData>
      <sheetData sheetId="15130">
        <row r="7">
          <cell r="AI7">
            <v>10000</v>
          </cell>
        </row>
      </sheetData>
      <sheetData sheetId="15131">
        <row r="7">
          <cell r="AI7">
            <v>10000</v>
          </cell>
        </row>
      </sheetData>
      <sheetData sheetId="15132">
        <row r="7">
          <cell r="AI7">
            <v>10000</v>
          </cell>
        </row>
      </sheetData>
      <sheetData sheetId="15133">
        <row r="7">
          <cell r="AI7">
            <v>10000</v>
          </cell>
        </row>
      </sheetData>
      <sheetData sheetId="15134">
        <row r="7">
          <cell r="AI7">
            <v>10000</v>
          </cell>
        </row>
      </sheetData>
      <sheetData sheetId="15135">
        <row r="7">
          <cell r="AI7">
            <v>10000</v>
          </cell>
        </row>
      </sheetData>
      <sheetData sheetId="15136">
        <row r="7">
          <cell r="AI7">
            <v>10000</v>
          </cell>
        </row>
      </sheetData>
      <sheetData sheetId="15137">
        <row r="7">
          <cell r="AI7">
            <v>10000</v>
          </cell>
        </row>
      </sheetData>
      <sheetData sheetId="15138">
        <row r="7">
          <cell r="AI7">
            <v>10000</v>
          </cell>
        </row>
      </sheetData>
      <sheetData sheetId="15139">
        <row r="7">
          <cell r="AI7">
            <v>10000</v>
          </cell>
        </row>
      </sheetData>
      <sheetData sheetId="15140">
        <row r="7">
          <cell r="AI7">
            <v>10000</v>
          </cell>
        </row>
      </sheetData>
      <sheetData sheetId="15141">
        <row r="7">
          <cell r="AI7">
            <v>10000</v>
          </cell>
        </row>
      </sheetData>
      <sheetData sheetId="15142">
        <row r="7">
          <cell r="AI7">
            <v>10000</v>
          </cell>
        </row>
      </sheetData>
      <sheetData sheetId="15143">
        <row r="7">
          <cell r="AI7">
            <v>10000</v>
          </cell>
        </row>
      </sheetData>
      <sheetData sheetId="15144">
        <row r="7">
          <cell r="AI7">
            <v>10000</v>
          </cell>
        </row>
      </sheetData>
      <sheetData sheetId="15145">
        <row r="7">
          <cell r="AI7">
            <v>10000</v>
          </cell>
        </row>
      </sheetData>
      <sheetData sheetId="15146">
        <row r="7">
          <cell r="AI7">
            <v>10000</v>
          </cell>
        </row>
      </sheetData>
      <sheetData sheetId="15147">
        <row r="7">
          <cell r="AI7">
            <v>10000</v>
          </cell>
        </row>
      </sheetData>
      <sheetData sheetId="15148">
        <row r="7">
          <cell r="AI7">
            <v>10000</v>
          </cell>
        </row>
      </sheetData>
      <sheetData sheetId="15149">
        <row r="7">
          <cell r="AI7">
            <v>10000</v>
          </cell>
        </row>
      </sheetData>
      <sheetData sheetId="15150">
        <row r="7">
          <cell r="AI7">
            <v>10000</v>
          </cell>
        </row>
      </sheetData>
      <sheetData sheetId="15151">
        <row r="7">
          <cell r="AI7">
            <v>10000</v>
          </cell>
        </row>
      </sheetData>
      <sheetData sheetId="15152">
        <row r="7">
          <cell r="AI7">
            <v>10000</v>
          </cell>
        </row>
      </sheetData>
      <sheetData sheetId="15153">
        <row r="7">
          <cell r="AI7">
            <v>10000</v>
          </cell>
        </row>
      </sheetData>
      <sheetData sheetId="15154">
        <row r="7">
          <cell r="AI7">
            <v>10000</v>
          </cell>
        </row>
      </sheetData>
      <sheetData sheetId="15155">
        <row r="7">
          <cell r="AI7">
            <v>10000</v>
          </cell>
        </row>
      </sheetData>
      <sheetData sheetId="15156">
        <row r="7">
          <cell r="AI7">
            <v>10000</v>
          </cell>
        </row>
      </sheetData>
      <sheetData sheetId="15157">
        <row r="7">
          <cell r="AI7">
            <v>10000</v>
          </cell>
        </row>
      </sheetData>
      <sheetData sheetId="15158">
        <row r="7">
          <cell r="AI7">
            <v>10000</v>
          </cell>
        </row>
      </sheetData>
      <sheetData sheetId="15159">
        <row r="7">
          <cell r="AI7">
            <v>10000</v>
          </cell>
        </row>
      </sheetData>
      <sheetData sheetId="15160">
        <row r="7">
          <cell r="AI7">
            <v>10000</v>
          </cell>
        </row>
      </sheetData>
      <sheetData sheetId="15161">
        <row r="7">
          <cell r="AI7">
            <v>10000</v>
          </cell>
        </row>
      </sheetData>
      <sheetData sheetId="15162">
        <row r="7">
          <cell r="AI7">
            <v>10000</v>
          </cell>
        </row>
      </sheetData>
      <sheetData sheetId="15163">
        <row r="7">
          <cell r="AI7">
            <v>10000</v>
          </cell>
        </row>
      </sheetData>
      <sheetData sheetId="15164">
        <row r="7">
          <cell r="AI7">
            <v>10000</v>
          </cell>
        </row>
      </sheetData>
      <sheetData sheetId="15165">
        <row r="7">
          <cell r="AI7">
            <v>10000</v>
          </cell>
        </row>
      </sheetData>
      <sheetData sheetId="15166">
        <row r="7">
          <cell r="AI7">
            <v>10000</v>
          </cell>
        </row>
      </sheetData>
      <sheetData sheetId="15167">
        <row r="7">
          <cell r="AI7">
            <v>10000</v>
          </cell>
        </row>
      </sheetData>
      <sheetData sheetId="15168">
        <row r="7">
          <cell r="AI7">
            <v>10000</v>
          </cell>
        </row>
      </sheetData>
      <sheetData sheetId="15169">
        <row r="7">
          <cell r="AI7">
            <v>10000</v>
          </cell>
        </row>
      </sheetData>
      <sheetData sheetId="15170">
        <row r="7">
          <cell r="AI7">
            <v>10000</v>
          </cell>
        </row>
      </sheetData>
      <sheetData sheetId="15171">
        <row r="7">
          <cell r="AI7">
            <v>10000</v>
          </cell>
        </row>
      </sheetData>
      <sheetData sheetId="15172">
        <row r="7">
          <cell r="AI7">
            <v>10000</v>
          </cell>
        </row>
      </sheetData>
      <sheetData sheetId="15173">
        <row r="7">
          <cell r="AI7">
            <v>10000</v>
          </cell>
        </row>
      </sheetData>
      <sheetData sheetId="15174">
        <row r="7">
          <cell r="AI7">
            <v>10000</v>
          </cell>
        </row>
      </sheetData>
      <sheetData sheetId="15175">
        <row r="7">
          <cell r="AI7">
            <v>10000</v>
          </cell>
        </row>
      </sheetData>
      <sheetData sheetId="15176">
        <row r="7">
          <cell r="AI7">
            <v>10000</v>
          </cell>
        </row>
      </sheetData>
      <sheetData sheetId="15177">
        <row r="7">
          <cell r="AI7">
            <v>10000</v>
          </cell>
        </row>
      </sheetData>
      <sheetData sheetId="15178">
        <row r="7">
          <cell r="AI7">
            <v>10000</v>
          </cell>
        </row>
      </sheetData>
      <sheetData sheetId="15179">
        <row r="7">
          <cell r="AI7">
            <v>10000</v>
          </cell>
        </row>
      </sheetData>
      <sheetData sheetId="15180">
        <row r="7">
          <cell r="AI7">
            <v>10000</v>
          </cell>
        </row>
      </sheetData>
      <sheetData sheetId="15181">
        <row r="7">
          <cell r="AI7">
            <v>10000</v>
          </cell>
        </row>
      </sheetData>
      <sheetData sheetId="15182">
        <row r="7">
          <cell r="AI7">
            <v>10000</v>
          </cell>
        </row>
      </sheetData>
      <sheetData sheetId="15183">
        <row r="7">
          <cell r="AI7">
            <v>10000</v>
          </cell>
        </row>
      </sheetData>
      <sheetData sheetId="15184">
        <row r="7">
          <cell r="AI7">
            <v>10000</v>
          </cell>
        </row>
      </sheetData>
      <sheetData sheetId="15185">
        <row r="7">
          <cell r="AI7">
            <v>10000</v>
          </cell>
        </row>
      </sheetData>
      <sheetData sheetId="15186">
        <row r="7">
          <cell r="AI7">
            <v>10000</v>
          </cell>
        </row>
      </sheetData>
      <sheetData sheetId="15187">
        <row r="7">
          <cell r="AI7">
            <v>10000</v>
          </cell>
        </row>
      </sheetData>
      <sheetData sheetId="15188">
        <row r="7">
          <cell r="AI7">
            <v>10000</v>
          </cell>
        </row>
      </sheetData>
      <sheetData sheetId="15189">
        <row r="7">
          <cell r="AI7">
            <v>10000</v>
          </cell>
        </row>
      </sheetData>
      <sheetData sheetId="15190">
        <row r="7">
          <cell r="AI7">
            <v>10000</v>
          </cell>
        </row>
      </sheetData>
      <sheetData sheetId="15191">
        <row r="7">
          <cell r="AI7">
            <v>10000</v>
          </cell>
        </row>
      </sheetData>
      <sheetData sheetId="15192">
        <row r="7">
          <cell r="AI7">
            <v>10000</v>
          </cell>
        </row>
      </sheetData>
      <sheetData sheetId="15193">
        <row r="7">
          <cell r="AI7">
            <v>10000</v>
          </cell>
        </row>
      </sheetData>
      <sheetData sheetId="15194">
        <row r="7">
          <cell r="AI7">
            <v>10000</v>
          </cell>
        </row>
      </sheetData>
      <sheetData sheetId="15195">
        <row r="7">
          <cell r="AI7">
            <v>10000</v>
          </cell>
        </row>
      </sheetData>
      <sheetData sheetId="15196">
        <row r="7">
          <cell r="AI7">
            <v>10000</v>
          </cell>
        </row>
      </sheetData>
      <sheetData sheetId="15197">
        <row r="7">
          <cell r="AI7">
            <v>10000</v>
          </cell>
        </row>
      </sheetData>
      <sheetData sheetId="15198">
        <row r="7">
          <cell r="AI7">
            <v>10000</v>
          </cell>
        </row>
      </sheetData>
      <sheetData sheetId="15199">
        <row r="7">
          <cell r="AI7">
            <v>10000</v>
          </cell>
        </row>
      </sheetData>
      <sheetData sheetId="15200">
        <row r="7">
          <cell r="AI7">
            <v>10000</v>
          </cell>
        </row>
      </sheetData>
      <sheetData sheetId="15201">
        <row r="7">
          <cell r="AI7">
            <v>10000</v>
          </cell>
        </row>
      </sheetData>
      <sheetData sheetId="15202">
        <row r="7">
          <cell r="AI7">
            <v>10000</v>
          </cell>
        </row>
      </sheetData>
      <sheetData sheetId="15203">
        <row r="7">
          <cell r="AI7">
            <v>10000</v>
          </cell>
        </row>
      </sheetData>
      <sheetData sheetId="15204">
        <row r="7">
          <cell r="AI7">
            <v>10000</v>
          </cell>
        </row>
      </sheetData>
      <sheetData sheetId="15205">
        <row r="7">
          <cell r="AI7">
            <v>10000</v>
          </cell>
        </row>
      </sheetData>
      <sheetData sheetId="15206">
        <row r="7">
          <cell r="AI7">
            <v>10000</v>
          </cell>
        </row>
      </sheetData>
      <sheetData sheetId="15207">
        <row r="7">
          <cell r="AI7">
            <v>10000</v>
          </cell>
        </row>
      </sheetData>
      <sheetData sheetId="15208">
        <row r="7">
          <cell r="AI7">
            <v>10000</v>
          </cell>
        </row>
      </sheetData>
      <sheetData sheetId="15209">
        <row r="7">
          <cell r="AI7">
            <v>10000</v>
          </cell>
        </row>
      </sheetData>
      <sheetData sheetId="15210">
        <row r="7">
          <cell r="AI7">
            <v>10000</v>
          </cell>
        </row>
      </sheetData>
      <sheetData sheetId="15211">
        <row r="7">
          <cell r="AI7">
            <v>10000</v>
          </cell>
        </row>
      </sheetData>
      <sheetData sheetId="15212">
        <row r="7">
          <cell r="AI7">
            <v>10000</v>
          </cell>
        </row>
      </sheetData>
      <sheetData sheetId="15213">
        <row r="7">
          <cell r="AI7">
            <v>10000</v>
          </cell>
        </row>
      </sheetData>
      <sheetData sheetId="15214">
        <row r="7">
          <cell r="AI7">
            <v>10000</v>
          </cell>
        </row>
      </sheetData>
      <sheetData sheetId="15215">
        <row r="7">
          <cell r="AI7">
            <v>10000</v>
          </cell>
        </row>
      </sheetData>
      <sheetData sheetId="15216">
        <row r="7">
          <cell r="AI7">
            <v>10000</v>
          </cell>
        </row>
      </sheetData>
      <sheetData sheetId="15217">
        <row r="7">
          <cell r="AI7">
            <v>10000</v>
          </cell>
        </row>
      </sheetData>
      <sheetData sheetId="15218">
        <row r="7">
          <cell r="AI7">
            <v>10000</v>
          </cell>
        </row>
      </sheetData>
      <sheetData sheetId="15219">
        <row r="7">
          <cell r="AI7">
            <v>10000</v>
          </cell>
        </row>
      </sheetData>
      <sheetData sheetId="15220">
        <row r="7">
          <cell r="AI7">
            <v>10000</v>
          </cell>
        </row>
      </sheetData>
      <sheetData sheetId="15221">
        <row r="7">
          <cell r="AI7">
            <v>10000</v>
          </cell>
        </row>
      </sheetData>
      <sheetData sheetId="15222">
        <row r="7">
          <cell r="AI7">
            <v>10000</v>
          </cell>
        </row>
      </sheetData>
      <sheetData sheetId="15223">
        <row r="7">
          <cell r="AI7">
            <v>10000</v>
          </cell>
        </row>
      </sheetData>
      <sheetData sheetId="15224">
        <row r="7">
          <cell r="AI7">
            <v>10000</v>
          </cell>
        </row>
      </sheetData>
      <sheetData sheetId="15225">
        <row r="7">
          <cell r="AI7">
            <v>10000</v>
          </cell>
        </row>
      </sheetData>
      <sheetData sheetId="15226">
        <row r="7">
          <cell r="AI7">
            <v>10000</v>
          </cell>
        </row>
      </sheetData>
      <sheetData sheetId="15227">
        <row r="7">
          <cell r="AI7">
            <v>10000</v>
          </cell>
        </row>
      </sheetData>
      <sheetData sheetId="15228">
        <row r="7">
          <cell r="AI7">
            <v>10000</v>
          </cell>
        </row>
      </sheetData>
      <sheetData sheetId="15229">
        <row r="7">
          <cell r="AI7">
            <v>10000</v>
          </cell>
        </row>
      </sheetData>
      <sheetData sheetId="15230">
        <row r="7">
          <cell r="AI7">
            <v>10000</v>
          </cell>
        </row>
      </sheetData>
      <sheetData sheetId="15231">
        <row r="7">
          <cell r="AI7">
            <v>10000</v>
          </cell>
        </row>
      </sheetData>
      <sheetData sheetId="15232">
        <row r="7">
          <cell r="AI7">
            <v>10000</v>
          </cell>
        </row>
      </sheetData>
      <sheetData sheetId="15233">
        <row r="7">
          <cell r="AI7">
            <v>10000</v>
          </cell>
        </row>
      </sheetData>
      <sheetData sheetId="15234">
        <row r="7">
          <cell r="AI7">
            <v>10000</v>
          </cell>
        </row>
      </sheetData>
      <sheetData sheetId="15235">
        <row r="7">
          <cell r="AI7">
            <v>10000</v>
          </cell>
        </row>
      </sheetData>
      <sheetData sheetId="15236">
        <row r="7">
          <cell r="AI7">
            <v>10000</v>
          </cell>
        </row>
      </sheetData>
      <sheetData sheetId="15237">
        <row r="7">
          <cell r="AI7">
            <v>10000</v>
          </cell>
        </row>
      </sheetData>
      <sheetData sheetId="15238">
        <row r="7">
          <cell r="AI7">
            <v>10000</v>
          </cell>
        </row>
      </sheetData>
      <sheetData sheetId="15239">
        <row r="7">
          <cell r="AI7">
            <v>10000</v>
          </cell>
        </row>
      </sheetData>
      <sheetData sheetId="15240">
        <row r="7">
          <cell r="AI7">
            <v>10000</v>
          </cell>
        </row>
      </sheetData>
      <sheetData sheetId="15241">
        <row r="7">
          <cell r="AI7">
            <v>10000</v>
          </cell>
        </row>
      </sheetData>
      <sheetData sheetId="15242">
        <row r="7">
          <cell r="AI7">
            <v>10000</v>
          </cell>
        </row>
      </sheetData>
      <sheetData sheetId="15243">
        <row r="7">
          <cell r="AI7">
            <v>10000</v>
          </cell>
        </row>
      </sheetData>
      <sheetData sheetId="15244">
        <row r="7">
          <cell r="AI7">
            <v>10000</v>
          </cell>
        </row>
      </sheetData>
      <sheetData sheetId="15245">
        <row r="7">
          <cell r="AI7">
            <v>10000</v>
          </cell>
        </row>
      </sheetData>
      <sheetData sheetId="15246">
        <row r="7">
          <cell r="AI7">
            <v>10000</v>
          </cell>
        </row>
      </sheetData>
      <sheetData sheetId="15247">
        <row r="7">
          <cell r="AI7">
            <v>10000</v>
          </cell>
        </row>
      </sheetData>
      <sheetData sheetId="15248">
        <row r="7">
          <cell r="AI7">
            <v>10000</v>
          </cell>
        </row>
      </sheetData>
      <sheetData sheetId="15249">
        <row r="7">
          <cell r="AI7">
            <v>10000</v>
          </cell>
        </row>
      </sheetData>
      <sheetData sheetId="15250">
        <row r="7">
          <cell r="AI7">
            <v>10000</v>
          </cell>
        </row>
      </sheetData>
      <sheetData sheetId="15251">
        <row r="7">
          <cell r="AI7">
            <v>10000</v>
          </cell>
        </row>
      </sheetData>
      <sheetData sheetId="15252">
        <row r="7">
          <cell r="AI7">
            <v>10000</v>
          </cell>
        </row>
      </sheetData>
      <sheetData sheetId="15253">
        <row r="7">
          <cell r="AI7">
            <v>10000</v>
          </cell>
        </row>
      </sheetData>
      <sheetData sheetId="15254">
        <row r="7">
          <cell r="AI7">
            <v>10000</v>
          </cell>
        </row>
      </sheetData>
      <sheetData sheetId="15255">
        <row r="7">
          <cell r="AI7">
            <v>10000</v>
          </cell>
        </row>
      </sheetData>
      <sheetData sheetId="15256">
        <row r="7">
          <cell r="AI7">
            <v>10000</v>
          </cell>
        </row>
      </sheetData>
      <sheetData sheetId="15257">
        <row r="7">
          <cell r="AI7">
            <v>10000</v>
          </cell>
        </row>
      </sheetData>
      <sheetData sheetId="15258">
        <row r="7">
          <cell r="AI7">
            <v>10000</v>
          </cell>
        </row>
      </sheetData>
      <sheetData sheetId="15259">
        <row r="7">
          <cell r="AI7">
            <v>10000</v>
          </cell>
        </row>
      </sheetData>
      <sheetData sheetId="15260">
        <row r="7">
          <cell r="AI7">
            <v>10000</v>
          </cell>
        </row>
      </sheetData>
      <sheetData sheetId="15261">
        <row r="7">
          <cell r="AI7">
            <v>10000</v>
          </cell>
        </row>
      </sheetData>
      <sheetData sheetId="15262">
        <row r="7">
          <cell r="AI7">
            <v>10000</v>
          </cell>
        </row>
      </sheetData>
      <sheetData sheetId="15263">
        <row r="7">
          <cell r="AI7">
            <v>10000</v>
          </cell>
        </row>
      </sheetData>
      <sheetData sheetId="15264">
        <row r="7">
          <cell r="AI7">
            <v>10000</v>
          </cell>
        </row>
      </sheetData>
      <sheetData sheetId="15265">
        <row r="7">
          <cell r="AI7">
            <v>10000</v>
          </cell>
        </row>
      </sheetData>
      <sheetData sheetId="15266">
        <row r="7">
          <cell r="AI7">
            <v>10000</v>
          </cell>
        </row>
      </sheetData>
      <sheetData sheetId="15267">
        <row r="7">
          <cell r="AI7">
            <v>10000</v>
          </cell>
        </row>
      </sheetData>
      <sheetData sheetId="15268">
        <row r="7">
          <cell r="AI7">
            <v>10000</v>
          </cell>
        </row>
      </sheetData>
      <sheetData sheetId="15269">
        <row r="7">
          <cell r="AI7">
            <v>10000</v>
          </cell>
        </row>
      </sheetData>
      <sheetData sheetId="15270">
        <row r="7">
          <cell r="AI7">
            <v>10000</v>
          </cell>
        </row>
      </sheetData>
      <sheetData sheetId="15271">
        <row r="7">
          <cell r="AI7">
            <v>10000</v>
          </cell>
        </row>
      </sheetData>
      <sheetData sheetId="15272">
        <row r="7">
          <cell r="AI7">
            <v>10000</v>
          </cell>
        </row>
      </sheetData>
      <sheetData sheetId="15273">
        <row r="7">
          <cell r="AI7">
            <v>10000</v>
          </cell>
        </row>
      </sheetData>
      <sheetData sheetId="15274">
        <row r="7">
          <cell r="AI7">
            <v>10000</v>
          </cell>
        </row>
      </sheetData>
      <sheetData sheetId="15275">
        <row r="7">
          <cell r="AI7">
            <v>10000</v>
          </cell>
        </row>
      </sheetData>
      <sheetData sheetId="15276">
        <row r="7">
          <cell r="AI7">
            <v>10000</v>
          </cell>
        </row>
      </sheetData>
      <sheetData sheetId="15277">
        <row r="7">
          <cell r="AI7">
            <v>10000</v>
          </cell>
        </row>
      </sheetData>
      <sheetData sheetId="15278">
        <row r="7">
          <cell r="AI7">
            <v>10000</v>
          </cell>
        </row>
      </sheetData>
      <sheetData sheetId="15279">
        <row r="7">
          <cell r="AI7">
            <v>10000</v>
          </cell>
        </row>
      </sheetData>
      <sheetData sheetId="15280">
        <row r="7">
          <cell r="AI7">
            <v>10000</v>
          </cell>
        </row>
      </sheetData>
      <sheetData sheetId="15281">
        <row r="7">
          <cell r="AI7">
            <v>10000</v>
          </cell>
        </row>
      </sheetData>
      <sheetData sheetId="15282">
        <row r="7">
          <cell r="AI7">
            <v>10000</v>
          </cell>
        </row>
      </sheetData>
      <sheetData sheetId="15283">
        <row r="7">
          <cell r="AI7">
            <v>10000</v>
          </cell>
        </row>
      </sheetData>
      <sheetData sheetId="15284">
        <row r="7">
          <cell r="AI7">
            <v>10000</v>
          </cell>
        </row>
      </sheetData>
      <sheetData sheetId="15285">
        <row r="7">
          <cell r="AI7">
            <v>10000</v>
          </cell>
        </row>
      </sheetData>
      <sheetData sheetId="15286">
        <row r="7">
          <cell r="AI7">
            <v>10000</v>
          </cell>
        </row>
      </sheetData>
      <sheetData sheetId="15287">
        <row r="7">
          <cell r="AI7">
            <v>10000</v>
          </cell>
        </row>
      </sheetData>
      <sheetData sheetId="15288">
        <row r="7">
          <cell r="AI7">
            <v>10000</v>
          </cell>
        </row>
      </sheetData>
      <sheetData sheetId="15289">
        <row r="7">
          <cell r="AI7">
            <v>10000</v>
          </cell>
        </row>
      </sheetData>
      <sheetData sheetId="15290">
        <row r="7">
          <cell r="AI7">
            <v>10000</v>
          </cell>
        </row>
      </sheetData>
      <sheetData sheetId="15291">
        <row r="7">
          <cell r="AI7">
            <v>10000</v>
          </cell>
        </row>
      </sheetData>
      <sheetData sheetId="15292">
        <row r="7">
          <cell r="AI7">
            <v>10000</v>
          </cell>
        </row>
      </sheetData>
      <sheetData sheetId="15293">
        <row r="7">
          <cell r="AI7">
            <v>10000</v>
          </cell>
        </row>
      </sheetData>
      <sheetData sheetId="15294">
        <row r="7">
          <cell r="AI7">
            <v>10000</v>
          </cell>
        </row>
      </sheetData>
      <sheetData sheetId="15295">
        <row r="7">
          <cell r="AI7">
            <v>10000</v>
          </cell>
        </row>
      </sheetData>
      <sheetData sheetId="15296">
        <row r="7">
          <cell r="AI7">
            <v>10000</v>
          </cell>
        </row>
      </sheetData>
      <sheetData sheetId="15297">
        <row r="7">
          <cell r="AI7">
            <v>10000</v>
          </cell>
        </row>
      </sheetData>
      <sheetData sheetId="15298">
        <row r="7">
          <cell r="AI7">
            <v>10000</v>
          </cell>
        </row>
      </sheetData>
      <sheetData sheetId="15299">
        <row r="7">
          <cell r="AI7">
            <v>10000</v>
          </cell>
        </row>
      </sheetData>
      <sheetData sheetId="15300">
        <row r="7">
          <cell r="AI7">
            <v>10000</v>
          </cell>
        </row>
      </sheetData>
      <sheetData sheetId="15301">
        <row r="7">
          <cell r="AI7">
            <v>10000</v>
          </cell>
        </row>
      </sheetData>
      <sheetData sheetId="15302">
        <row r="7">
          <cell r="AI7">
            <v>10000</v>
          </cell>
        </row>
      </sheetData>
      <sheetData sheetId="15303">
        <row r="7">
          <cell r="AI7">
            <v>10000</v>
          </cell>
        </row>
      </sheetData>
      <sheetData sheetId="15304">
        <row r="7">
          <cell r="AI7">
            <v>10000</v>
          </cell>
        </row>
      </sheetData>
      <sheetData sheetId="15305">
        <row r="7">
          <cell r="AI7">
            <v>10000</v>
          </cell>
        </row>
      </sheetData>
      <sheetData sheetId="15306">
        <row r="7">
          <cell r="AI7">
            <v>10000</v>
          </cell>
        </row>
      </sheetData>
      <sheetData sheetId="15307">
        <row r="7">
          <cell r="AI7">
            <v>10000</v>
          </cell>
        </row>
      </sheetData>
      <sheetData sheetId="15308">
        <row r="7">
          <cell r="AI7">
            <v>10000</v>
          </cell>
        </row>
      </sheetData>
      <sheetData sheetId="15309">
        <row r="7">
          <cell r="AI7">
            <v>10000</v>
          </cell>
        </row>
      </sheetData>
      <sheetData sheetId="15310">
        <row r="7">
          <cell r="AI7">
            <v>10000</v>
          </cell>
        </row>
      </sheetData>
      <sheetData sheetId="15311">
        <row r="7">
          <cell r="AI7">
            <v>10000</v>
          </cell>
        </row>
      </sheetData>
      <sheetData sheetId="15312">
        <row r="7">
          <cell r="AI7">
            <v>10000</v>
          </cell>
        </row>
      </sheetData>
      <sheetData sheetId="15313">
        <row r="7">
          <cell r="AI7">
            <v>10000</v>
          </cell>
        </row>
      </sheetData>
      <sheetData sheetId="15314">
        <row r="7">
          <cell r="AI7">
            <v>10000</v>
          </cell>
        </row>
      </sheetData>
      <sheetData sheetId="15315">
        <row r="7">
          <cell r="AI7">
            <v>10000</v>
          </cell>
        </row>
      </sheetData>
      <sheetData sheetId="15316">
        <row r="7">
          <cell r="AI7">
            <v>10000</v>
          </cell>
        </row>
      </sheetData>
      <sheetData sheetId="15317">
        <row r="7">
          <cell r="AI7">
            <v>10000</v>
          </cell>
        </row>
      </sheetData>
      <sheetData sheetId="15318">
        <row r="7">
          <cell r="AI7">
            <v>10000</v>
          </cell>
        </row>
      </sheetData>
      <sheetData sheetId="15319">
        <row r="7">
          <cell r="AI7">
            <v>10000</v>
          </cell>
        </row>
      </sheetData>
      <sheetData sheetId="15320">
        <row r="7">
          <cell r="AI7">
            <v>10000</v>
          </cell>
        </row>
      </sheetData>
      <sheetData sheetId="15321">
        <row r="7">
          <cell r="AI7">
            <v>10000</v>
          </cell>
        </row>
      </sheetData>
      <sheetData sheetId="15322">
        <row r="7">
          <cell r="AI7">
            <v>10000</v>
          </cell>
        </row>
      </sheetData>
      <sheetData sheetId="15323">
        <row r="7">
          <cell r="AI7">
            <v>10000</v>
          </cell>
        </row>
      </sheetData>
      <sheetData sheetId="15324">
        <row r="7">
          <cell r="AI7">
            <v>10000</v>
          </cell>
        </row>
      </sheetData>
      <sheetData sheetId="15325">
        <row r="7">
          <cell r="AI7">
            <v>10000</v>
          </cell>
        </row>
      </sheetData>
      <sheetData sheetId="15326">
        <row r="7">
          <cell r="AI7">
            <v>10000</v>
          </cell>
        </row>
      </sheetData>
      <sheetData sheetId="15327">
        <row r="7">
          <cell r="AI7">
            <v>10000</v>
          </cell>
        </row>
      </sheetData>
      <sheetData sheetId="15328">
        <row r="7">
          <cell r="AI7">
            <v>10000</v>
          </cell>
        </row>
      </sheetData>
      <sheetData sheetId="15329">
        <row r="7">
          <cell r="AI7">
            <v>10000</v>
          </cell>
        </row>
      </sheetData>
      <sheetData sheetId="15330">
        <row r="7">
          <cell r="AI7">
            <v>10000</v>
          </cell>
        </row>
      </sheetData>
      <sheetData sheetId="15331">
        <row r="7">
          <cell r="AI7">
            <v>10000</v>
          </cell>
        </row>
      </sheetData>
      <sheetData sheetId="15332">
        <row r="7">
          <cell r="AI7">
            <v>10000</v>
          </cell>
        </row>
      </sheetData>
      <sheetData sheetId="15333">
        <row r="7">
          <cell r="AI7">
            <v>10000</v>
          </cell>
        </row>
      </sheetData>
      <sheetData sheetId="15334">
        <row r="7">
          <cell r="AI7">
            <v>10000</v>
          </cell>
        </row>
      </sheetData>
      <sheetData sheetId="15335">
        <row r="7">
          <cell r="AI7">
            <v>10000</v>
          </cell>
        </row>
      </sheetData>
      <sheetData sheetId="15336">
        <row r="7">
          <cell r="AI7">
            <v>10000</v>
          </cell>
        </row>
      </sheetData>
      <sheetData sheetId="15337">
        <row r="7">
          <cell r="AI7">
            <v>10000</v>
          </cell>
        </row>
      </sheetData>
      <sheetData sheetId="15338">
        <row r="7">
          <cell r="AI7">
            <v>10000</v>
          </cell>
        </row>
      </sheetData>
      <sheetData sheetId="15339">
        <row r="7">
          <cell r="AI7">
            <v>10000</v>
          </cell>
        </row>
      </sheetData>
      <sheetData sheetId="15340">
        <row r="7">
          <cell r="AI7">
            <v>10000</v>
          </cell>
        </row>
      </sheetData>
      <sheetData sheetId="15341">
        <row r="7">
          <cell r="AI7">
            <v>10000</v>
          </cell>
        </row>
      </sheetData>
      <sheetData sheetId="15342">
        <row r="7">
          <cell r="AI7">
            <v>10000</v>
          </cell>
        </row>
      </sheetData>
      <sheetData sheetId="15343">
        <row r="7">
          <cell r="AI7">
            <v>10000</v>
          </cell>
        </row>
      </sheetData>
      <sheetData sheetId="15344">
        <row r="7">
          <cell r="AI7">
            <v>10000</v>
          </cell>
        </row>
      </sheetData>
      <sheetData sheetId="15345">
        <row r="7">
          <cell r="AI7">
            <v>10000</v>
          </cell>
        </row>
      </sheetData>
      <sheetData sheetId="15346">
        <row r="7">
          <cell r="AI7">
            <v>10000</v>
          </cell>
        </row>
      </sheetData>
      <sheetData sheetId="15347">
        <row r="7">
          <cell r="AI7">
            <v>10000</v>
          </cell>
        </row>
      </sheetData>
      <sheetData sheetId="15348">
        <row r="7">
          <cell r="AI7">
            <v>10000</v>
          </cell>
        </row>
      </sheetData>
      <sheetData sheetId="15349">
        <row r="7">
          <cell r="AI7">
            <v>10000</v>
          </cell>
        </row>
      </sheetData>
      <sheetData sheetId="15350">
        <row r="7">
          <cell r="AI7">
            <v>10000</v>
          </cell>
        </row>
      </sheetData>
      <sheetData sheetId="15351">
        <row r="7">
          <cell r="AI7">
            <v>10000</v>
          </cell>
        </row>
      </sheetData>
      <sheetData sheetId="15352">
        <row r="7">
          <cell r="AI7">
            <v>10000</v>
          </cell>
        </row>
      </sheetData>
      <sheetData sheetId="15353">
        <row r="7">
          <cell r="AI7">
            <v>10000</v>
          </cell>
        </row>
      </sheetData>
      <sheetData sheetId="15354">
        <row r="7">
          <cell r="AI7">
            <v>10000</v>
          </cell>
        </row>
      </sheetData>
      <sheetData sheetId="15355">
        <row r="7">
          <cell r="AI7">
            <v>10000</v>
          </cell>
        </row>
      </sheetData>
      <sheetData sheetId="15356">
        <row r="7">
          <cell r="AI7">
            <v>10000</v>
          </cell>
        </row>
      </sheetData>
      <sheetData sheetId="15357">
        <row r="7">
          <cell r="AI7">
            <v>10000</v>
          </cell>
        </row>
      </sheetData>
      <sheetData sheetId="15358">
        <row r="7">
          <cell r="AI7">
            <v>10000</v>
          </cell>
        </row>
      </sheetData>
      <sheetData sheetId="15359">
        <row r="7">
          <cell r="AI7">
            <v>10000</v>
          </cell>
        </row>
      </sheetData>
      <sheetData sheetId="15360">
        <row r="7">
          <cell r="AI7">
            <v>10000</v>
          </cell>
        </row>
      </sheetData>
      <sheetData sheetId="15361">
        <row r="7">
          <cell r="AI7">
            <v>10000</v>
          </cell>
        </row>
      </sheetData>
      <sheetData sheetId="15362">
        <row r="7">
          <cell r="AI7">
            <v>10000</v>
          </cell>
        </row>
      </sheetData>
      <sheetData sheetId="15363">
        <row r="7">
          <cell r="AI7">
            <v>10000</v>
          </cell>
        </row>
      </sheetData>
      <sheetData sheetId="15364">
        <row r="7">
          <cell r="AI7">
            <v>10000</v>
          </cell>
        </row>
      </sheetData>
      <sheetData sheetId="15365">
        <row r="7">
          <cell r="AI7">
            <v>10000</v>
          </cell>
        </row>
      </sheetData>
      <sheetData sheetId="15366">
        <row r="7">
          <cell r="AI7">
            <v>10000</v>
          </cell>
        </row>
      </sheetData>
      <sheetData sheetId="15367">
        <row r="7">
          <cell r="AI7">
            <v>10000</v>
          </cell>
        </row>
      </sheetData>
      <sheetData sheetId="15368">
        <row r="7">
          <cell r="AI7">
            <v>10000</v>
          </cell>
        </row>
      </sheetData>
      <sheetData sheetId="15369">
        <row r="7">
          <cell r="AI7">
            <v>10000</v>
          </cell>
        </row>
      </sheetData>
      <sheetData sheetId="15370">
        <row r="7">
          <cell r="AI7">
            <v>10000</v>
          </cell>
        </row>
      </sheetData>
      <sheetData sheetId="15371">
        <row r="7">
          <cell r="AI7">
            <v>10000</v>
          </cell>
        </row>
      </sheetData>
      <sheetData sheetId="15372">
        <row r="7">
          <cell r="AI7">
            <v>10000</v>
          </cell>
        </row>
      </sheetData>
      <sheetData sheetId="15373">
        <row r="7">
          <cell r="AI7">
            <v>10000</v>
          </cell>
        </row>
      </sheetData>
      <sheetData sheetId="15374">
        <row r="7">
          <cell r="AI7">
            <v>10000</v>
          </cell>
        </row>
      </sheetData>
      <sheetData sheetId="15375">
        <row r="7">
          <cell r="AI7">
            <v>10000</v>
          </cell>
        </row>
      </sheetData>
      <sheetData sheetId="15376">
        <row r="7">
          <cell r="AI7">
            <v>10000</v>
          </cell>
        </row>
      </sheetData>
      <sheetData sheetId="15377">
        <row r="7">
          <cell r="AI7">
            <v>10000</v>
          </cell>
        </row>
      </sheetData>
      <sheetData sheetId="15378">
        <row r="7">
          <cell r="AI7">
            <v>10000</v>
          </cell>
        </row>
      </sheetData>
      <sheetData sheetId="15379">
        <row r="7">
          <cell r="AI7">
            <v>10000</v>
          </cell>
        </row>
      </sheetData>
      <sheetData sheetId="15380">
        <row r="7">
          <cell r="AI7">
            <v>10000</v>
          </cell>
        </row>
      </sheetData>
      <sheetData sheetId="15381">
        <row r="7">
          <cell r="AI7">
            <v>10000</v>
          </cell>
        </row>
      </sheetData>
      <sheetData sheetId="15382">
        <row r="7">
          <cell r="AI7">
            <v>10000</v>
          </cell>
        </row>
      </sheetData>
      <sheetData sheetId="15383">
        <row r="7">
          <cell r="AI7">
            <v>10000</v>
          </cell>
        </row>
      </sheetData>
      <sheetData sheetId="15384">
        <row r="7">
          <cell r="AI7">
            <v>10000</v>
          </cell>
        </row>
      </sheetData>
      <sheetData sheetId="15385">
        <row r="7">
          <cell r="AI7">
            <v>10000</v>
          </cell>
        </row>
      </sheetData>
      <sheetData sheetId="15386">
        <row r="7">
          <cell r="AI7">
            <v>10000</v>
          </cell>
        </row>
      </sheetData>
      <sheetData sheetId="15387">
        <row r="7">
          <cell r="AI7">
            <v>10000</v>
          </cell>
        </row>
      </sheetData>
      <sheetData sheetId="15388">
        <row r="7">
          <cell r="AI7">
            <v>10000</v>
          </cell>
        </row>
      </sheetData>
      <sheetData sheetId="15389">
        <row r="7">
          <cell r="AI7">
            <v>10000</v>
          </cell>
        </row>
      </sheetData>
      <sheetData sheetId="15390">
        <row r="7">
          <cell r="AI7">
            <v>10000</v>
          </cell>
        </row>
      </sheetData>
      <sheetData sheetId="15391">
        <row r="7">
          <cell r="AI7">
            <v>10000</v>
          </cell>
        </row>
      </sheetData>
      <sheetData sheetId="15392">
        <row r="7">
          <cell r="AI7">
            <v>10000</v>
          </cell>
        </row>
      </sheetData>
      <sheetData sheetId="15393">
        <row r="7">
          <cell r="AI7">
            <v>10000</v>
          </cell>
        </row>
      </sheetData>
      <sheetData sheetId="15394">
        <row r="7">
          <cell r="AI7">
            <v>10000</v>
          </cell>
        </row>
      </sheetData>
      <sheetData sheetId="15395">
        <row r="7">
          <cell r="AI7">
            <v>10000</v>
          </cell>
        </row>
      </sheetData>
      <sheetData sheetId="15396">
        <row r="7">
          <cell r="AI7">
            <v>10000</v>
          </cell>
        </row>
      </sheetData>
      <sheetData sheetId="15397">
        <row r="7">
          <cell r="AI7">
            <v>10000</v>
          </cell>
        </row>
      </sheetData>
      <sheetData sheetId="15398">
        <row r="7">
          <cell r="AI7">
            <v>10000</v>
          </cell>
        </row>
      </sheetData>
      <sheetData sheetId="15399">
        <row r="7">
          <cell r="AI7">
            <v>10000</v>
          </cell>
        </row>
      </sheetData>
      <sheetData sheetId="15400">
        <row r="7">
          <cell r="AI7">
            <v>10000</v>
          </cell>
        </row>
      </sheetData>
      <sheetData sheetId="15401">
        <row r="7">
          <cell r="AI7">
            <v>10000</v>
          </cell>
        </row>
      </sheetData>
      <sheetData sheetId="15402">
        <row r="7">
          <cell r="AI7">
            <v>10000</v>
          </cell>
        </row>
      </sheetData>
      <sheetData sheetId="15403">
        <row r="7">
          <cell r="AI7">
            <v>10000</v>
          </cell>
        </row>
      </sheetData>
      <sheetData sheetId="15404">
        <row r="7">
          <cell r="AI7">
            <v>10000</v>
          </cell>
        </row>
      </sheetData>
      <sheetData sheetId="15405">
        <row r="7">
          <cell r="AI7">
            <v>10000</v>
          </cell>
        </row>
      </sheetData>
      <sheetData sheetId="15406">
        <row r="7">
          <cell r="AI7">
            <v>10000</v>
          </cell>
        </row>
      </sheetData>
      <sheetData sheetId="15407">
        <row r="7">
          <cell r="AI7">
            <v>10000</v>
          </cell>
        </row>
      </sheetData>
      <sheetData sheetId="15408">
        <row r="7">
          <cell r="AI7">
            <v>10000</v>
          </cell>
        </row>
      </sheetData>
      <sheetData sheetId="15409">
        <row r="7">
          <cell r="AI7">
            <v>10000</v>
          </cell>
        </row>
      </sheetData>
      <sheetData sheetId="15410">
        <row r="7">
          <cell r="AI7">
            <v>10000</v>
          </cell>
        </row>
      </sheetData>
      <sheetData sheetId="15411">
        <row r="7">
          <cell r="AI7">
            <v>10000</v>
          </cell>
        </row>
      </sheetData>
      <sheetData sheetId="15412">
        <row r="7">
          <cell r="AI7">
            <v>10000</v>
          </cell>
        </row>
      </sheetData>
      <sheetData sheetId="15413">
        <row r="7">
          <cell r="AI7">
            <v>10000</v>
          </cell>
        </row>
      </sheetData>
      <sheetData sheetId="15414">
        <row r="7">
          <cell r="AI7">
            <v>10000</v>
          </cell>
        </row>
      </sheetData>
      <sheetData sheetId="15415">
        <row r="7">
          <cell r="AI7">
            <v>10000</v>
          </cell>
        </row>
      </sheetData>
      <sheetData sheetId="15416">
        <row r="7">
          <cell r="AI7">
            <v>10000</v>
          </cell>
        </row>
      </sheetData>
      <sheetData sheetId="15417">
        <row r="7">
          <cell r="AI7">
            <v>10000</v>
          </cell>
        </row>
      </sheetData>
      <sheetData sheetId="15418">
        <row r="7">
          <cell r="AI7">
            <v>10000</v>
          </cell>
        </row>
      </sheetData>
      <sheetData sheetId="15419">
        <row r="7">
          <cell r="AI7">
            <v>10000</v>
          </cell>
        </row>
      </sheetData>
      <sheetData sheetId="15420">
        <row r="7">
          <cell r="AI7">
            <v>10000</v>
          </cell>
        </row>
      </sheetData>
      <sheetData sheetId="15421">
        <row r="7">
          <cell r="AI7">
            <v>10000</v>
          </cell>
        </row>
      </sheetData>
      <sheetData sheetId="15422">
        <row r="7">
          <cell r="AI7">
            <v>10000</v>
          </cell>
        </row>
      </sheetData>
      <sheetData sheetId="15423">
        <row r="7">
          <cell r="AI7">
            <v>10000</v>
          </cell>
        </row>
      </sheetData>
      <sheetData sheetId="15424">
        <row r="7">
          <cell r="AI7">
            <v>10000</v>
          </cell>
        </row>
      </sheetData>
      <sheetData sheetId="15425">
        <row r="7">
          <cell r="AI7">
            <v>10000</v>
          </cell>
        </row>
      </sheetData>
      <sheetData sheetId="15426">
        <row r="7">
          <cell r="AI7">
            <v>10000</v>
          </cell>
        </row>
      </sheetData>
      <sheetData sheetId="15427">
        <row r="7">
          <cell r="AI7">
            <v>10000</v>
          </cell>
        </row>
      </sheetData>
      <sheetData sheetId="15428">
        <row r="7">
          <cell r="AI7">
            <v>10000</v>
          </cell>
        </row>
      </sheetData>
      <sheetData sheetId="15429">
        <row r="7">
          <cell r="AI7">
            <v>10000</v>
          </cell>
        </row>
      </sheetData>
      <sheetData sheetId="15430">
        <row r="7">
          <cell r="AI7">
            <v>10000</v>
          </cell>
        </row>
      </sheetData>
      <sheetData sheetId="15431">
        <row r="7">
          <cell r="AI7">
            <v>10000</v>
          </cell>
        </row>
      </sheetData>
      <sheetData sheetId="15432">
        <row r="7">
          <cell r="AI7">
            <v>10000</v>
          </cell>
        </row>
      </sheetData>
      <sheetData sheetId="15433">
        <row r="7">
          <cell r="AI7">
            <v>10000</v>
          </cell>
        </row>
      </sheetData>
      <sheetData sheetId="15434">
        <row r="7">
          <cell r="AI7">
            <v>10000</v>
          </cell>
        </row>
      </sheetData>
      <sheetData sheetId="15435">
        <row r="7">
          <cell r="AI7">
            <v>10000</v>
          </cell>
        </row>
      </sheetData>
      <sheetData sheetId="15436">
        <row r="7">
          <cell r="AI7">
            <v>10000</v>
          </cell>
        </row>
      </sheetData>
      <sheetData sheetId="15437">
        <row r="7">
          <cell r="AI7">
            <v>10000</v>
          </cell>
        </row>
      </sheetData>
      <sheetData sheetId="15438">
        <row r="7">
          <cell r="AI7">
            <v>10000</v>
          </cell>
        </row>
      </sheetData>
      <sheetData sheetId="15439">
        <row r="7">
          <cell r="AI7">
            <v>10000</v>
          </cell>
        </row>
      </sheetData>
      <sheetData sheetId="15440">
        <row r="7">
          <cell r="AI7">
            <v>10000</v>
          </cell>
        </row>
      </sheetData>
      <sheetData sheetId="15441">
        <row r="7">
          <cell r="AI7">
            <v>10000</v>
          </cell>
        </row>
      </sheetData>
      <sheetData sheetId="15442">
        <row r="7">
          <cell r="AI7">
            <v>10000</v>
          </cell>
        </row>
      </sheetData>
      <sheetData sheetId="15443">
        <row r="7">
          <cell r="AI7">
            <v>10000</v>
          </cell>
        </row>
      </sheetData>
      <sheetData sheetId="15444">
        <row r="7">
          <cell r="AI7">
            <v>10000</v>
          </cell>
        </row>
      </sheetData>
      <sheetData sheetId="15445">
        <row r="7">
          <cell r="AI7">
            <v>10000</v>
          </cell>
        </row>
      </sheetData>
      <sheetData sheetId="15446">
        <row r="7">
          <cell r="AI7">
            <v>10000</v>
          </cell>
        </row>
      </sheetData>
      <sheetData sheetId="15447">
        <row r="7">
          <cell r="AI7">
            <v>10000</v>
          </cell>
        </row>
      </sheetData>
      <sheetData sheetId="15448">
        <row r="7">
          <cell r="AI7">
            <v>10000</v>
          </cell>
        </row>
      </sheetData>
      <sheetData sheetId="15449">
        <row r="7">
          <cell r="AI7">
            <v>10000</v>
          </cell>
        </row>
      </sheetData>
      <sheetData sheetId="15450">
        <row r="7">
          <cell r="AI7">
            <v>10000</v>
          </cell>
        </row>
      </sheetData>
      <sheetData sheetId="15451">
        <row r="7">
          <cell r="AI7">
            <v>10000</v>
          </cell>
        </row>
      </sheetData>
      <sheetData sheetId="15452">
        <row r="7">
          <cell r="AI7">
            <v>10000</v>
          </cell>
        </row>
      </sheetData>
      <sheetData sheetId="15453">
        <row r="7">
          <cell r="AI7">
            <v>10000</v>
          </cell>
        </row>
      </sheetData>
      <sheetData sheetId="15454">
        <row r="7">
          <cell r="AI7">
            <v>10000</v>
          </cell>
        </row>
      </sheetData>
      <sheetData sheetId="15455">
        <row r="7">
          <cell r="AI7">
            <v>10000</v>
          </cell>
        </row>
      </sheetData>
      <sheetData sheetId="15456">
        <row r="7">
          <cell r="AI7">
            <v>10000</v>
          </cell>
        </row>
      </sheetData>
      <sheetData sheetId="15457">
        <row r="7">
          <cell r="AI7">
            <v>10000</v>
          </cell>
        </row>
      </sheetData>
      <sheetData sheetId="15458">
        <row r="7">
          <cell r="AI7">
            <v>10000</v>
          </cell>
        </row>
      </sheetData>
      <sheetData sheetId="15459">
        <row r="7">
          <cell r="AI7">
            <v>10000</v>
          </cell>
        </row>
      </sheetData>
      <sheetData sheetId="15460">
        <row r="7">
          <cell r="AI7">
            <v>10000</v>
          </cell>
        </row>
      </sheetData>
      <sheetData sheetId="15461">
        <row r="7">
          <cell r="AI7">
            <v>10000</v>
          </cell>
        </row>
      </sheetData>
      <sheetData sheetId="15462">
        <row r="7">
          <cell r="AI7">
            <v>10000</v>
          </cell>
        </row>
      </sheetData>
      <sheetData sheetId="15463">
        <row r="7">
          <cell r="AI7">
            <v>10000</v>
          </cell>
        </row>
      </sheetData>
      <sheetData sheetId="15464">
        <row r="7">
          <cell r="AI7">
            <v>10000</v>
          </cell>
        </row>
      </sheetData>
      <sheetData sheetId="15465">
        <row r="7">
          <cell r="AI7">
            <v>10000</v>
          </cell>
        </row>
      </sheetData>
      <sheetData sheetId="15466">
        <row r="7">
          <cell r="AI7">
            <v>10000</v>
          </cell>
        </row>
      </sheetData>
      <sheetData sheetId="15467">
        <row r="7">
          <cell r="AI7">
            <v>10000</v>
          </cell>
        </row>
      </sheetData>
      <sheetData sheetId="15468">
        <row r="7">
          <cell r="AI7">
            <v>10000</v>
          </cell>
        </row>
      </sheetData>
      <sheetData sheetId="15469">
        <row r="7">
          <cell r="AI7">
            <v>10000</v>
          </cell>
        </row>
      </sheetData>
      <sheetData sheetId="15470">
        <row r="7">
          <cell r="AI7">
            <v>10000</v>
          </cell>
        </row>
      </sheetData>
      <sheetData sheetId="15471">
        <row r="7">
          <cell r="AI7">
            <v>10000</v>
          </cell>
        </row>
      </sheetData>
      <sheetData sheetId="15472">
        <row r="7">
          <cell r="AI7">
            <v>10000</v>
          </cell>
        </row>
      </sheetData>
      <sheetData sheetId="15473">
        <row r="7">
          <cell r="AI7">
            <v>10000</v>
          </cell>
        </row>
      </sheetData>
      <sheetData sheetId="15474">
        <row r="7">
          <cell r="AI7">
            <v>10000</v>
          </cell>
        </row>
      </sheetData>
      <sheetData sheetId="15475">
        <row r="7">
          <cell r="AI7">
            <v>10000</v>
          </cell>
        </row>
      </sheetData>
      <sheetData sheetId="15476">
        <row r="7">
          <cell r="AI7">
            <v>10000</v>
          </cell>
        </row>
      </sheetData>
      <sheetData sheetId="15477">
        <row r="7">
          <cell r="AI7">
            <v>10000</v>
          </cell>
        </row>
      </sheetData>
      <sheetData sheetId="15478">
        <row r="7">
          <cell r="AI7">
            <v>10000</v>
          </cell>
        </row>
      </sheetData>
      <sheetData sheetId="15479">
        <row r="7">
          <cell r="AI7">
            <v>10000</v>
          </cell>
        </row>
      </sheetData>
      <sheetData sheetId="15480">
        <row r="7">
          <cell r="AI7">
            <v>10000</v>
          </cell>
        </row>
      </sheetData>
      <sheetData sheetId="15481">
        <row r="7">
          <cell r="AI7">
            <v>10000</v>
          </cell>
        </row>
      </sheetData>
      <sheetData sheetId="15482">
        <row r="7">
          <cell r="AI7">
            <v>10000</v>
          </cell>
        </row>
      </sheetData>
      <sheetData sheetId="15483">
        <row r="7">
          <cell r="AI7">
            <v>10000</v>
          </cell>
        </row>
      </sheetData>
      <sheetData sheetId="15484">
        <row r="7">
          <cell r="AI7">
            <v>10000</v>
          </cell>
        </row>
      </sheetData>
      <sheetData sheetId="15485">
        <row r="7">
          <cell r="AI7">
            <v>10000</v>
          </cell>
        </row>
      </sheetData>
      <sheetData sheetId="15486">
        <row r="7">
          <cell r="AI7">
            <v>10000</v>
          </cell>
        </row>
      </sheetData>
      <sheetData sheetId="15487">
        <row r="7">
          <cell r="AI7">
            <v>10000</v>
          </cell>
        </row>
      </sheetData>
      <sheetData sheetId="15488">
        <row r="7">
          <cell r="AI7">
            <v>10000</v>
          </cell>
        </row>
      </sheetData>
      <sheetData sheetId="15489">
        <row r="7">
          <cell r="AI7">
            <v>10000</v>
          </cell>
        </row>
      </sheetData>
      <sheetData sheetId="15490">
        <row r="7">
          <cell r="AI7">
            <v>10000</v>
          </cell>
        </row>
      </sheetData>
      <sheetData sheetId="15491">
        <row r="7">
          <cell r="AI7">
            <v>10000</v>
          </cell>
        </row>
      </sheetData>
      <sheetData sheetId="15492">
        <row r="7">
          <cell r="AI7">
            <v>10000</v>
          </cell>
        </row>
      </sheetData>
      <sheetData sheetId="15493">
        <row r="7">
          <cell r="AI7">
            <v>10000</v>
          </cell>
        </row>
      </sheetData>
      <sheetData sheetId="15494">
        <row r="7">
          <cell r="AI7">
            <v>10000</v>
          </cell>
        </row>
      </sheetData>
      <sheetData sheetId="15495">
        <row r="7">
          <cell r="AI7">
            <v>10000</v>
          </cell>
        </row>
      </sheetData>
      <sheetData sheetId="15496">
        <row r="7">
          <cell r="AI7">
            <v>10000</v>
          </cell>
        </row>
      </sheetData>
      <sheetData sheetId="15497">
        <row r="7">
          <cell r="AI7">
            <v>10000</v>
          </cell>
        </row>
      </sheetData>
      <sheetData sheetId="15498">
        <row r="7">
          <cell r="AI7">
            <v>10000</v>
          </cell>
        </row>
      </sheetData>
      <sheetData sheetId="15499">
        <row r="7">
          <cell r="AI7">
            <v>10000</v>
          </cell>
        </row>
      </sheetData>
      <sheetData sheetId="15500">
        <row r="7">
          <cell r="AI7">
            <v>10000</v>
          </cell>
        </row>
      </sheetData>
      <sheetData sheetId="15501">
        <row r="7">
          <cell r="AI7">
            <v>10000</v>
          </cell>
        </row>
      </sheetData>
      <sheetData sheetId="15502">
        <row r="7">
          <cell r="AI7">
            <v>10000</v>
          </cell>
        </row>
      </sheetData>
      <sheetData sheetId="15503">
        <row r="7">
          <cell r="AI7">
            <v>10000</v>
          </cell>
        </row>
      </sheetData>
      <sheetData sheetId="15504">
        <row r="7">
          <cell r="AI7">
            <v>10000</v>
          </cell>
        </row>
      </sheetData>
      <sheetData sheetId="15505">
        <row r="7">
          <cell r="AI7">
            <v>10000</v>
          </cell>
        </row>
      </sheetData>
      <sheetData sheetId="15506">
        <row r="7">
          <cell r="AI7">
            <v>10000</v>
          </cell>
        </row>
      </sheetData>
      <sheetData sheetId="15507">
        <row r="7">
          <cell r="AI7">
            <v>10000</v>
          </cell>
        </row>
      </sheetData>
      <sheetData sheetId="15508">
        <row r="7">
          <cell r="AI7">
            <v>10000</v>
          </cell>
        </row>
      </sheetData>
      <sheetData sheetId="15509">
        <row r="7">
          <cell r="AI7">
            <v>10000</v>
          </cell>
        </row>
      </sheetData>
      <sheetData sheetId="15510">
        <row r="7">
          <cell r="AI7">
            <v>10000</v>
          </cell>
        </row>
      </sheetData>
      <sheetData sheetId="15511">
        <row r="7">
          <cell r="AI7">
            <v>10000</v>
          </cell>
        </row>
      </sheetData>
      <sheetData sheetId="15512">
        <row r="7">
          <cell r="AI7">
            <v>10000</v>
          </cell>
        </row>
      </sheetData>
      <sheetData sheetId="15513">
        <row r="7">
          <cell r="AI7">
            <v>10000</v>
          </cell>
        </row>
      </sheetData>
      <sheetData sheetId="15514">
        <row r="7">
          <cell r="AI7">
            <v>10000</v>
          </cell>
        </row>
      </sheetData>
      <sheetData sheetId="15515">
        <row r="7">
          <cell r="AI7">
            <v>10000</v>
          </cell>
        </row>
      </sheetData>
      <sheetData sheetId="15516">
        <row r="7">
          <cell r="AI7">
            <v>10000</v>
          </cell>
        </row>
      </sheetData>
      <sheetData sheetId="15517">
        <row r="7">
          <cell r="AI7">
            <v>10000</v>
          </cell>
        </row>
      </sheetData>
      <sheetData sheetId="15518">
        <row r="7">
          <cell r="AI7">
            <v>10000</v>
          </cell>
        </row>
      </sheetData>
      <sheetData sheetId="15519">
        <row r="7">
          <cell r="AI7">
            <v>10000</v>
          </cell>
        </row>
      </sheetData>
      <sheetData sheetId="15520">
        <row r="7">
          <cell r="AI7">
            <v>10000</v>
          </cell>
        </row>
      </sheetData>
      <sheetData sheetId="15521">
        <row r="7">
          <cell r="AI7">
            <v>10000</v>
          </cell>
        </row>
      </sheetData>
      <sheetData sheetId="15522">
        <row r="7">
          <cell r="AI7">
            <v>10000</v>
          </cell>
        </row>
      </sheetData>
      <sheetData sheetId="15523">
        <row r="7">
          <cell r="AI7">
            <v>10000</v>
          </cell>
        </row>
      </sheetData>
      <sheetData sheetId="15524">
        <row r="7">
          <cell r="AI7">
            <v>10000</v>
          </cell>
        </row>
      </sheetData>
      <sheetData sheetId="15525">
        <row r="7">
          <cell r="AI7">
            <v>10000</v>
          </cell>
        </row>
      </sheetData>
      <sheetData sheetId="15526">
        <row r="7">
          <cell r="AI7">
            <v>10000</v>
          </cell>
        </row>
      </sheetData>
      <sheetData sheetId="15527">
        <row r="7">
          <cell r="AI7">
            <v>10000</v>
          </cell>
        </row>
      </sheetData>
      <sheetData sheetId="15528">
        <row r="7">
          <cell r="AI7">
            <v>10000</v>
          </cell>
        </row>
      </sheetData>
      <sheetData sheetId="15529">
        <row r="7">
          <cell r="AI7">
            <v>10000</v>
          </cell>
        </row>
      </sheetData>
      <sheetData sheetId="15530">
        <row r="7">
          <cell r="AI7">
            <v>10000</v>
          </cell>
        </row>
      </sheetData>
      <sheetData sheetId="15531">
        <row r="7">
          <cell r="AI7">
            <v>10000</v>
          </cell>
        </row>
      </sheetData>
      <sheetData sheetId="15532">
        <row r="7">
          <cell r="AI7">
            <v>10000</v>
          </cell>
        </row>
      </sheetData>
      <sheetData sheetId="15533">
        <row r="7">
          <cell r="AI7">
            <v>10000</v>
          </cell>
        </row>
      </sheetData>
      <sheetData sheetId="15534">
        <row r="7">
          <cell r="AI7">
            <v>10000</v>
          </cell>
        </row>
      </sheetData>
      <sheetData sheetId="15535">
        <row r="7">
          <cell r="AI7">
            <v>10000</v>
          </cell>
        </row>
      </sheetData>
      <sheetData sheetId="15536">
        <row r="7">
          <cell r="AI7">
            <v>10000</v>
          </cell>
        </row>
      </sheetData>
      <sheetData sheetId="15537">
        <row r="7">
          <cell r="AI7">
            <v>10000</v>
          </cell>
        </row>
      </sheetData>
      <sheetData sheetId="15538">
        <row r="7">
          <cell r="AI7">
            <v>10000</v>
          </cell>
        </row>
      </sheetData>
      <sheetData sheetId="15539">
        <row r="7">
          <cell r="AI7">
            <v>10000</v>
          </cell>
        </row>
      </sheetData>
      <sheetData sheetId="15540">
        <row r="7">
          <cell r="AI7">
            <v>10000</v>
          </cell>
        </row>
      </sheetData>
      <sheetData sheetId="15541">
        <row r="7">
          <cell r="AI7">
            <v>10000</v>
          </cell>
        </row>
      </sheetData>
      <sheetData sheetId="15542">
        <row r="7">
          <cell r="AI7">
            <v>10000</v>
          </cell>
        </row>
      </sheetData>
      <sheetData sheetId="15543">
        <row r="7">
          <cell r="AI7">
            <v>10000</v>
          </cell>
        </row>
      </sheetData>
      <sheetData sheetId="15544">
        <row r="7">
          <cell r="AI7">
            <v>10000</v>
          </cell>
        </row>
      </sheetData>
      <sheetData sheetId="15545">
        <row r="7">
          <cell r="AI7">
            <v>10000</v>
          </cell>
        </row>
      </sheetData>
      <sheetData sheetId="15546">
        <row r="7">
          <cell r="AI7">
            <v>10000</v>
          </cell>
        </row>
      </sheetData>
      <sheetData sheetId="15547">
        <row r="7">
          <cell r="AI7">
            <v>10000</v>
          </cell>
        </row>
      </sheetData>
      <sheetData sheetId="15548">
        <row r="7">
          <cell r="AI7">
            <v>10000</v>
          </cell>
        </row>
      </sheetData>
      <sheetData sheetId="15549">
        <row r="7">
          <cell r="AI7">
            <v>10000</v>
          </cell>
        </row>
      </sheetData>
      <sheetData sheetId="15550">
        <row r="7">
          <cell r="AI7">
            <v>10000</v>
          </cell>
        </row>
      </sheetData>
      <sheetData sheetId="15551">
        <row r="7">
          <cell r="AI7">
            <v>10000</v>
          </cell>
        </row>
      </sheetData>
      <sheetData sheetId="15552">
        <row r="7">
          <cell r="AI7">
            <v>10000</v>
          </cell>
        </row>
      </sheetData>
      <sheetData sheetId="15553">
        <row r="7">
          <cell r="AI7">
            <v>10000</v>
          </cell>
        </row>
      </sheetData>
      <sheetData sheetId="15554">
        <row r="7">
          <cell r="AI7">
            <v>10000</v>
          </cell>
        </row>
      </sheetData>
      <sheetData sheetId="15555">
        <row r="7">
          <cell r="AI7">
            <v>10000</v>
          </cell>
        </row>
      </sheetData>
      <sheetData sheetId="15556">
        <row r="7">
          <cell r="AI7">
            <v>10000</v>
          </cell>
        </row>
      </sheetData>
      <sheetData sheetId="15557">
        <row r="7">
          <cell r="AI7">
            <v>10000</v>
          </cell>
        </row>
      </sheetData>
      <sheetData sheetId="15558">
        <row r="7">
          <cell r="AI7">
            <v>10000</v>
          </cell>
        </row>
      </sheetData>
      <sheetData sheetId="15559">
        <row r="7">
          <cell r="AI7">
            <v>10000</v>
          </cell>
        </row>
      </sheetData>
      <sheetData sheetId="15560">
        <row r="7">
          <cell r="AI7">
            <v>10000</v>
          </cell>
        </row>
      </sheetData>
      <sheetData sheetId="15561">
        <row r="7">
          <cell r="AI7">
            <v>10000</v>
          </cell>
        </row>
      </sheetData>
      <sheetData sheetId="15562">
        <row r="7">
          <cell r="AI7">
            <v>10000</v>
          </cell>
        </row>
      </sheetData>
      <sheetData sheetId="15563">
        <row r="7">
          <cell r="AI7">
            <v>10000</v>
          </cell>
        </row>
      </sheetData>
      <sheetData sheetId="15564">
        <row r="7">
          <cell r="AI7">
            <v>10000</v>
          </cell>
        </row>
      </sheetData>
      <sheetData sheetId="15565">
        <row r="7">
          <cell r="AI7">
            <v>10000</v>
          </cell>
        </row>
      </sheetData>
      <sheetData sheetId="15566">
        <row r="7">
          <cell r="AI7">
            <v>10000</v>
          </cell>
        </row>
      </sheetData>
      <sheetData sheetId="15567">
        <row r="7">
          <cell r="AI7">
            <v>10000</v>
          </cell>
        </row>
      </sheetData>
      <sheetData sheetId="15568">
        <row r="7">
          <cell r="AI7">
            <v>10000</v>
          </cell>
        </row>
      </sheetData>
      <sheetData sheetId="15569">
        <row r="7">
          <cell r="AI7">
            <v>10000</v>
          </cell>
        </row>
      </sheetData>
      <sheetData sheetId="15570">
        <row r="7">
          <cell r="AI7">
            <v>10000</v>
          </cell>
        </row>
      </sheetData>
      <sheetData sheetId="15571">
        <row r="7">
          <cell r="AI7">
            <v>10000</v>
          </cell>
        </row>
      </sheetData>
      <sheetData sheetId="15572">
        <row r="7">
          <cell r="AI7">
            <v>10000</v>
          </cell>
        </row>
      </sheetData>
      <sheetData sheetId="15573">
        <row r="7">
          <cell r="AI7">
            <v>10000</v>
          </cell>
        </row>
      </sheetData>
      <sheetData sheetId="15574">
        <row r="7">
          <cell r="AI7">
            <v>10000</v>
          </cell>
        </row>
      </sheetData>
      <sheetData sheetId="15575">
        <row r="7">
          <cell r="AI7">
            <v>10000</v>
          </cell>
        </row>
      </sheetData>
      <sheetData sheetId="15576">
        <row r="7">
          <cell r="AI7">
            <v>10000</v>
          </cell>
        </row>
      </sheetData>
      <sheetData sheetId="15577">
        <row r="7">
          <cell r="AI7">
            <v>10000</v>
          </cell>
        </row>
      </sheetData>
      <sheetData sheetId="15578">
        <row r="7">
          <cell r="AI7">
            <v>10000</v>
          </cell>
        </row>
      </sheetData>
      <sheetData sheetId="15579">
        <row r="7">
          <cell r="AI7">
            <v>10000</v>
          </cell>
        </row>
      </sheetData>
      <sheetData sheetId="15580">
        <row r="7">
          <cell r="AI7">
            <v>10000</v>
          </cell>
        </row>
      </sheetData>
      <sheetData sheetId="15581">
        <row r="7">
          <cell r="AI7">
            <v>10000</v>
          </cell>
        </row>
      </sheetData>
      <sheetData sheetId="15582">
        <row r="7">
          <cell r="AI7">
            <v>10000</v>
          </cell>
        </row>
      </sheetData>
      <sheetData sheetId="15583">
        <row r="7">
          <cell r="AI7">
            <v>10000</v>
          </cell>
        </row>
      </sheetData>
      <sheetData sheetId="15584">
        <row r="7">
          <cell r="AI7">
            <v>10000</v>
          </cell>
        </row>
      </sheetData>
      <sheetData sheetId="15585">
        <row r="7">
          <cell r="AI7">
            <v>10000</v>
          </cell>
        </row>
      </sheetData>
      <sheetData sheetId="15586">
        <row r="7">
          <cell r="AI7">
            <v>10000</v>
          </cell>
        </row>
      </sheetData>
      <sheetData sheetId="15587">
        <row r="7">
          <cell r="AI7">
            <v>10000</v>
          </cell>
        </row>
      </sheetData>
      <sheetData sheetId="15588">
        <row r="7">
          <cell r="AI7">
            <v>10000</v>
          </cell>
        </row>
      </sheetData>
      <sheetData sheetId="15589">
        <row r="7">
          <cell r="AI7">
            <v>10000</v>
          </cell>
        </row>
      </sheetData>
      <sheetData sheetId="15590">
        <row r="7">
          <cell r="AI7">
            <v>10000</v>
          </cell>
        </row>
      </sheetData>
      <sheetData sheetId="15591">
        <row r="7">
          <cell r="AI7">
            <v>10000</v>
          </cell>
        </row>
      </sheetData>
      <sheetData sheetId="15592">
        <row r="7">
          <cell r="AI7">
            <v>10000</v>
          </cell>
        </row>
      </sheetData>
      <sheetData sheetId="15593">
        <row r="7">
          <cell r="AI7">
            <v>10000</v>
          </cell>
        </row>
      </sheetData>
      <sheetData sheetId="15594">
        <row r="7">
          <cell r="AI7">
            <v>10000</v>
          </cell>
        </row>
      </sheetData>
      <sheetData sheetId="15595">
        <row r="7">
          <cell r="AI7">
            <v>10000</v>
          </cell>
        </row>
      </sheetData>
      <sheetData sheetId="15596">
        <row r="7">
          <cell r="AI7">
            <v>10000</v>
          </cell>
        </row>
      </sheetData>
      <sheetData sheetId="15597">
        <row r="7">
          <cell r="AI7">
            <v>10000</v>
          </cell>
        </row>
      </sheetData>
      <sheetData sheetId="15598">
        <row r="7">
          <cell r="AI7">
            <v>10000</v>
          </cell>
        </row>
      </sheetData>
      <sheetData sheetId="15599">
        <row r="7">
          <cell r="AI7">
            <v>10000</v>
          </cell>
        </row>
      </sheetData>
      <sheetData sheetId="15600">
        <row r="7">
          <cell r="AI7">
            <v>10000</v>
          </cell>
        </row>
      </sheetData>
      <sheetData sheetId="15601">
        <row r="7">
          <cell r="AI7">
            <v>10000</v>
          </cell>
        </row>
      </sheetData>
      <sheetData sheetId="15602">
        <row r="7">
          <cell r="AI7">
            <v>10000</v>
          </cell>
        </row>
      </sheetData>
      <sheetData sheetId="15603">
        <row r="7">
          <cell r="AI7">
            <v>10000</v>
          </cell>
        </row>
      </sheetData>
      <sheetData sheetId="15604">
        <row r="7">
          <cell r="AI7">
            <v>10000</v>
          </cell>
        </row>
      </sheetData>
      <sheetData sheetId="15605">
        <row r="7">
          <cell r="AI7">
            <v>10000</v>
          </cell>
        </row>
      </sheetData>
      <sheetData sheetId="15606">
        <row r="7">
          <cell r="AI7">
            <v>10000</v>
          </cell>
        </row>
      </sheetData>
      <sheetData sheetId="15607">
        <row r="7">
          <cell r="AI7">
            <v>10000</v>
          </cell>
        </row>
      </sheetData>
      <sheetData sheetId="15608">
        <row r="7">
          <cell r="AI7">
            <v>10000</v>
          </cell>
        </row>
      </sheetData>
      <sheetData sheetId="15609">
        <row r="7">
          <cell r="AI7">
            <v>10000</v>
          </cell>
        </row>
      </sheetData>
      <sheetData sheetId="15610">
        <row r="7">
          <cell r="AI7">
            <v>10000</v>
          </cell>
        </row>
      </sheetData>
      <sheetData sheetId="15611">
        <row r="7">
          <cell r="AI7">
            <v>10000</v>
          </cell>
        </row>
      </sheetData>
      <sheetData sheetId="15612">
        <row r="7">
          <cell r="AI7">
            <v>10000</v>
          </cell>
        </row>
      </sheetData>
      <sheetData sheetId="15613">
        <row r="7">
          <cell r="AI7">
            <v>10000</v>
          </cell>
        </row>
      </sheetData>
      <sheetData sheetId="15614">
        <row r="7">
          <cell r="AI7">
            <v>10000</v>
          </cell>
        </row>
      </sheetData>
      <sheetData sheetId="15615">
        <row r="7">
          <cell r="AI7">
            <v>10000</v>
          </cell>
        </row>
      </sheetData>
      <sheetData sheetId="15616">
        <row r="7">
          <cell r="AI7">
            <v>10000</v>
          </cell>
        </row>
      </sheetData>
      <sheetData sheetId="15617">
        <row r="7">
          <cell r="AI7">
            <v>10000</v>
          </cell>
        </row>
      </sheetData>
      <sheetData sheetId="15618">
        <row r="7">
          <cell r="AI7">
            <v>10000</v>
          </cell>
        </row>
      </sheetData>
      <sheetData sheetId="15619">
        <row r="7">
          <cell r="AI7">
            <v>10000</v>
          </cell>
        </row>
      </sheetData>
      <sheetData sheetId="15620">
        <row r="7">
          <cell r="AI7">
            <v>10000</v>
          </cell>
        </row>
      </sheetData>
      <sheetData sheetId="15621">
        <row r="7">
          <cell r="AI7">
            <v>10000</v>
          </cell>
        </row>
      </sheetData>
      <sheetData sheetId="15622">
        <row r="7">
          <cell r="AI7">
            <v>10000</v>
          </cell>
        </row>
      </sheetData>
      <sheetData sheetId="15623">
        <row r="7">
          <cell r="AI7">
            <v>10000</v>
          </cell>
        </row>
      </sheetData>
      <sheetData sheetId="15624">
        <row r="7">
          <cell r="AI7">
            <v>10000</v>
          </cell>
        </row>
      </sheetData>
      <sheetData sheetId="15625">
        <row r="7">
          <cell r="AI7">
            <v>10000</v>
          </cell>
        </row>
      </sheetData>
      <sheetData sheetId="15626">
        <row r="7">
          <cell r="AI7">
            <v>10000</v>
          </cell>
        </row>
      </sheetData>
      <sheetData sheetId="15627">
        <row r="7">
          <cell r="AI7">
            <v>10000</v>
          </cell>
        </row>
      </sheetData>
      <sheetData sheetId="15628">
        <row r="7">
          <cell r="AI7">
            <v>10000</v>
          </cell>
        </row>
      </sheetData>
      <sheetData sheetId="15629">
        <row r="7">
          <cell r="AI7">
            <v>10000</v>
          </cell>
        </row>
      </sheetData>
      <sheetData sheetId="15630">
        <row r="7">
          <cell r="AI7">
            <v>10000</v>
          </cell>
        </row>
      </sheetData>
      <sheetData sheetId="15631">
        <row r="7">
          <cell r="AI7">
            <v>10000</v>
          </cell>
        </row>
      </sheetData>
      <sheetData sheetId="15632">
        <row r="7">
          <cell r="AI7">
            <v>10000</v>
          </cell>
        </row>
      </sheetData>
      <sheetData sheetId="15633">
        <row r="7">
          <cell r="AI7">
            <v>10000</v>
          </cell>
        </row>
      </sheetData>
      <sheetData sheetId="15634">
        <row r="7">
          <cell r="AI7">
            <v>10000</v>
          </cell>
        </row>
      </sheetData>
      <sheetData sheetId="15635">
        <row r="7">
          <cell r="AI7">
            <v>10000</v>
          </cell>
        </row>
      </sheetData>
      <sheetData sheetId="15636">
        <row r="7">
          <cell r="AI7">
            <v>10000</v>
          </cell>
        </row>
      </sheetData>
      <sheetData sheetId="15637">
        <row r="7">
          <cell r="AI7">
            <v>10000</v>
          </cell>
        </row>
      </sheetData>
      <sheetData sheetId="15638">
        <row r="7">
          <cell r="AI7">
            <v>10000</v>
          </cell>
        </row>
      </sheetData>
      <sheetData sheetId="15639">
        <row r="7">
          <cell r="AI7">
            <v>10000</v>
          </cell>
        </row>
      </sheetData>
      <sheetData sheetId="15640">
        <row r="7">
          <cell r="AI7">
            <v>10000</v>
          </cell>
        </row>
      </sheetData>
      <sheetData sheetId="15641">
        <row r="7">
          <cell r="AI7">
            <v>10000</v>
          </cell>
        </row>
      </sheetData>
      <sheetData sheetId="15642">
        <row r="7">
          <cell r="AI7">
            <v>10000</v>
          </cell>
        </row>
      </sheetData>
      <sheetData sheetId="15643">
        <row r="7">
          <cell r="AI7">
            <v>10000</v>
          </cell>
        </row>
      </sheetData>
      <sheetData sheetId="15644">
        <row r="7">
          <cell r="AI7">
            <v>10000</v>
          </cell>
        </row>
      </sheetData>
      <sheetData sheetId="15645">
        <row r="7">
          <cell r="AI7">
            <v>10000</v>
          </cell>
        </row>
      </sheetData>
      <sheetData sheetId="15646">
        <row r="7">
          <cell r="AI7">
            <v>10000</v>
          </cell>
        </row>
      </sheetData>
      <sheetData sheetId="15647">
        <row r="7">
          <cell r="AI7">
            <v>10000</v>
          </cell>
        </row>
      </sheetData>
      <sheetData sheetId="15648">
        <row r="7">
          <cell r="AI7">
            <v>10000</v>
          </cell>
        </row>
      </sheetData>
      <sheetData sheetId="15649">
        <row r="7">
          <cell r="AI7">
            <v>10000</v>
          </cell>
        </row>
      </sheetData>
      <sheetData sheetId="15650">
        <row r="7">
          <cell r="AI7">
            <v>10000</v>
          </cell>
        </row>
      </sheetData>
      <sheetData sheetId="15651">
        <row r="7">
          <cell r="AI7">
            <v>10000</v>
          </cell>
        </row>
      </sheetData>
      <sheetData sheetId="15652">
        <row r="7">
          <cell r="AI7">
            <v>10000</v>
          </cell>
        </row>
      </sheetData>
      <sheetData sheetId="15653">
        <row r="7">
          <cell r="AI7">
            <v>10000</v>
          </cell>
        </row>
      </sheetData>
      <sheetData sheetId="15654">
        <row r="7">
          <cell r="AI7">
            <v>10000</v>
          </cell>
        </row>
      </sheetData>
      <sheetData sheetId="15655">
        <row r="7">
          <cell r="AI7">
            <v>10000</v>
          </cell>
        </row>
      </sheetData>
      <sheetData sheetId="15656">
        <row r="7">
          <cell r="AI7">
            <v>10000</v>
          </cell>
        </row>
      </sheetData>
      <sheetData sheetId="15657">
        <row r="7">
          <cell r="AI7">
            <v>10000</v>
          </cell>
        </row>
      </sheetData>
      <sheetData sheetId="15658">
        <row r="7">
          <cell r="AI7">
            <v>10000</v>
          </cell>
        </row>
      </sheetData>
      <sheetData sheetId="15659">
        <row r="7">
          <cell r="AI7">
            <v>10000</v>
          </cell>
        </row>
      </sheetData>
      <sheetData sheetId="15660">
        <row r="7">
          <cell r="AI7">
            <v>10000</v>
          </cell>
        </row>
      </sheetData>
      <sheetData sheetId="15661">
        <row r="7">
          <cell r="AI7">
            <v>10000</v>
          </cell>
        </row>
      </sheetData>
      <sheetData sheetId="15662">
        <row r="7">
          <cell r="AI7">
            <v>10000</v>
          </cell>
        </row>
      </sheetData>
      <sheetData sheetId="15663">
        <row r="7">
          <cell r="AI7">
            <v>10000</v>
          </cell>
        </row>
      </sheetData>
      <sheetData sheetId="15664">
        <row r="7">
          <cell r="AI7">
            <v>10000</v>
          </cell>
        </row>
      </sheetData>
      <sheetData sheetId="15665">
        <row r="7">
          <cell r="AI7">
            <v>10000</v>
          </cell>
        </row>
      </sheetData>
      <sheetData sheetId="15666">
        <row r="7">
          <cell r="AI7">
            <v>10000</v>
          </cell>
        </row>
      </sheetData>
      <sheetData sheetId="15667">
        <row r="7">
          <cell r="AI7">
            <v>10000</v>
          </cell>
        </row>
      </sheetData>
      <sheetData sheetId="15668">
        <row r="7">
          <cell r="AI7">
            <v>10000</v>
          </cell>
        </row>
      </sheetData>
      <sheetData sheetId="15669">
        <row r="7">
          <cell r="AI7">
            <v>10000</v>
          </cell>
        </row>
      </sheetData>
      <sheetData sheetId="15670">
        <row r="7">
          <cell r="AI7">
            <v>10000</v>
          </cell>
        </row>
      </sheetData>
      <sheetData sheetId="15671">
        <row r="7">
          <cell r="AI7">
            <v>10000</v>
          </cell>
        </row>
      </sheetData>
      <sheetData sheetId="15672">
        <row r="7">
          <cell r="AI7">
            <v>10000</v>
          </cell>
        </row>
      </sheetData>
      <sheetData sheetId="15673">
        <row r="7">
          <cell r="AI7">
            <v>10000</v>
          </cell>
        </row>
      </sheetData>
      <sheetData sheetId="15674">
        <row r="7">
          <cell r="AI7">
            <v>10000</v>
          </cell>
        </row>
      </sheetData>
      <sheetData sheetId="15675">
        <row r="7">
          <cell r="AI7">
            <v>10000</v>
          </cell>
        </row>
      </sheetData>
      <sheetData sheetId="15676">
        <row r="7">
          <cell r="AI7">
            <v>10000</v>
          </cell>
        </row>
      </sheetData>
      <sheetData sheetId="15677">
        <row r="7">
          <cell r="AI7">
            <v>10000</v>
          </cell>
        </row>
      </sheetData>
      <sheetData sheetId="15678">
        <row r="7">
          <cell r="AI7">
            <v>10000</v>
          </cell>
        </row>
      </sheetData>
      <sheetData sheetId="15679">
        <row r="7">
          <cell r="AI7">
            <v>10000</v>
          </cell>
        </row>
      </sheetData>
      <sheetData sheetId="15680">
        <row r="7">
          <cell r="AI7">
            <v>10000</v>
          </cell>
        </row>
      </sheetData>
      <sheetData sheetId="15681">
        <row r="7">
          <cell r="AI7">
            <v>10000</v>
          </cell>
        </row>
      </sheetData>
      <sheetData sheetId="15682">
        <row r="7">
          <cell r="AI7">
            <v>10000</v>
          </cell>
        </row>
      </sheetData>
      <sheetData sheetId="15683">
        <row r="7">
          <cell r="AI7">
            <v>10000</v>
          </cell>
        </row>
      </sheetData>
      <sheetData sheetId="15684">
        <row r="7">
          <cell r="AI7">
            <v>10000</v>
          </cell>
        </row>
      </sheetData>
      <sheetData sheetId="15685">
        <row r="7">
          <cell r="AI7">
            <v>10000</v>
          </cell>
        </row>
      </sheetData>
      <sheetData sheetId="15686">
        <row r="7">
          <cell r="AI7">
            <v>10000</v>
          </cell>
        </row>
      </sheetData>
      <sheetData sheetId="15687">
        <row r="7">
          <cell r="AI7">
            <v>10000</v>
          </cell>
        </row>
      </sheetData>
      <sheetData sheetId="15688">
        <row r="7">
          <cell r="AI7">
            <v>10000</v>
          </cell>
        </row>
      </sheetData>
      <sheetData sheetId="15689">
        <row r="7">
          <cell r="AI7">
            <v>10000</v>
          </cell>
        </row>
      </sheetData>
      <sheetData sheetId="15690">
        <row r="7">
          <cell r="AI7">
            <v>10000</v>
          </cell>
        </row>
      </sheetData>
      <sheetData sheetId="15691">
        <row r="7">
          <cell r="AI7">
            <v>10000</v>
          </cell>
        </row>
      </sheetData>
      <sheetData sheetId="15692">
        <row r="7">
          <cell r="AI7">
            <v>10000</v>
          </cell>
        </row>
      </sheetData>
      <sheetData sheetId="15693">
        <row r="7">
          <cell r="AI7">
            <v>10000</v>
          </cell>
        </row>
      </sheetData>
      <sheetData sheetId="15694">
        <row r="7">
          <cell r="AI7">
            <v>10000</v>
          </cell>
        </row>
      </sheetData>
      <sheetData sheetId="15695">
        <row r="7">
          <cell r="AI7">
            <v>10000</v>
          </cell>
        </row>
      </sheetData>
      <sheetData sheetId="15696">
        <row r="7">
          <cell r="AI7">
            <v>10000</v>
          </cell>
        </row>
      </sheetData>
      <sheetData sheetId="15697">
        <row r="7">
          <cell r="AI7">
            <v>10000</v>
          </cell>
        </row>
      </sheetData>
      <sheetData sheetId="15698">
        <row r="7">
          <cell r="AI7">
            <v>10000</v>
          </cell>
        </row>
      </sheetData>
      <sheetData sheetId="15699">
        <row r="7">
          <cell r="AI7">
            <v>10000</v>
          </cell>
        </row>
      </sheetData>
      <sheetData sheetId="15700">
        <row r="7">
          <cell r="AI7">
            <v>10000</v>
          </cell>
        </row>
      </sheetData>
      <sheetData sheetId="15701">
        <row r="7">
          <cell r="AI7">
            <v>10000</v>
          </cell>
        </row>
      </sheetData>
      <sheetData sheetId="15702">
        <row r="7">
          <cell r="AI7">
            <v>10000</v>
          </cell>
        </row>
      </sheetData>
      <sheetData sheetId="15703">
        <row r="7">
          <cell r="AI7">
            <v>10000</v>
          </cell>
        </row>
      </sheetData>
      <sheetData sheetId="15704">
        <row r="7">
          <cell r="AI7">
            <v>10000</v>
          </cell>
        </row>
      </sheetData>
      <sheetData sheetId="15705">
        <row r="7">
          <cell r="AI7">
            <v>10000</v>
          </cell>
        </row>
      </sheetData>
      <sheetData sheetId="15706">
        <row r="7">
          <cell r="AI7">
            <v>10000</v>
          </cell>
        </row>
      </sheetData>
      <sheetData sheetId="15707">
        <row r="7">
          <cell r="AI7">
            <v>10000</v>
          </cell>
        </row>
      </sheetData>
      <sheetData sheetId="15708">
        <row r="7">
          <cell r="AI7">
            <v>10000</v>
          </cell>
        </row>
      </sheetData>
      <sheetData sheetId="15709">
        <row r="7">
          <cell r="AI7">
            <v>10000</v>
          </cell>
        </row>
      </sheetData>
      <sheetData sheetId="15710">
        <row r="7">
          <cell r="AI7">
            <v>10000</v>
          </cell>
        </row>
      </sheetData>
      <sheetData sheetId="15711">
        <row r="7">
          <cell r="AI7">
            <v>10000</v>
          </cell>
        </row>
      </sheetData>
      <sheetData sheetId="15712">
        <row r="7">
          <cell r="AI7">
            <v>10000</v>
          </cell>
        </row>
      </sheetData>
      <sheetData sheetId="15713">
        <row r="7">
          <cell r="AI7">
            <v>10000</v>
          </cell>
        </row>
      </sheetData>
      <sheetData sheetId="15714">
        <row r="7">
          <cell r="AI7">
            <v>10000</v>
          </cell>
        </row>
      </sheetData>
      <sheetData sheetId="15715">
        <row r="7">
          <cell r="AI7">
            <v>10000</v>
          </cell>
        </row>
      </sheetData>
      <sheetData sheetId="15716">
        <row r="7">
          <cell r="AI7">
            <v>10000</v>
          </cell>
        </row>
      </sheetData>
      <sheetData sheetId="15717">
        <row r="7">
          <cell r="AI7">
            <v>10000</v>
          </cell>
        </row>
      </sheetData>
      <sheetData sheetId="15718">
        <row r="7">
          <cell r="AI7">
            <v>10000</v>
          </cell>
        </row>
      </sheetData>
      <sheetData sheetId="15719">
        <row r="7">
          <cell r="AI7">
            <v>10000</v>
          </cell>
        </row>
      </sheetData>
      <sheetData sheetId="15720">
        <row r="7">
          <cell r="AI7">
            <v>10000</v>
          </cell>
        </row>
      </sheetData>
      <sheetData sheetId="15721">
        <row r="7">
          <cell r="AI7">
            <v>10000</v>
          </cell>
        </row>
      </sheetData>
      <sheetData sheetId="15722">
        <row r="7">
          <cell r="AI7">
            <v>10000</v>
          </cell>
        </row>
      </sheetData>
      <sheetData sheetId="15723">
        <row r="7">
          <cell r="AI7">
            <v>10000</v>
          </cell>
        </row>
      </sheetData>
      <sheetData sheetId="15724">
        <row r="7">
          <cell r="AI7">
            <v>10000</v>
          </cell>
        </row>
      </sheetData>
      <sheetData sheetId="15725">
        <row r="7">
          <cell r="AI7">
            <v>10000</v>
          </cell>
        </row>
      </sheetData>
      <sheetData sheetId="15726">
        <row r="7">
          <cell r="AI7">
            <v>10000</v>
          </cell>
        </row>
      </sheetData>
      <sheetData sheetId="15727">
        <row r="7">
          <cell r="AI7">
            <v>10000</v>
          </cell>
        </row>
      </sheetData>
      <sheetData sheetId="15728">
        <row r="7">
          <cell r="AI7">
            <v>10000</v>
          </cell>
        </row>
      </sheetData>
      <sheetData sheetId="15729">
        <row r="7">
          <cell r="AI7">
            <v>10000</v>
          </cell>
        </row>
      </sheetData>
      <sheetData sheetId="15730">
        <row r="7">
          <cell r="AI7">
            <v>10000</v>
          </cell>
        </row>
      </sheetData>
      <sheetData sheetId="15731">
        <row r="7">
          <cell r="AI7">
            <v>10000</v>
          </cell>
        </row>
      </sheetData>
      <sheetData sheetId="15732">
        <row r="7">
          <cell r="AI7">
            <v>10000</v>
          </cell>
        </row>
      </sheetData>
      <sheetData sheetId="15733">
        <row r="7">
          <cell r="AI7">
            <v>10000</v>
          </cell>
        </row>
      </sheetData>
      <sheetData sheetId="15734">
        <row r="7">
          <cell r="AI7">
            <v>10000</v>
          </cell>
        </row>
      </sheetData>
      <sheetData sheetId="15735">
        <row r="7">
          <cell r="AI7">
            <v>10000</v>
          </cell>
        </row>
      </sheetData>
      <sheetData sheetId="15736">
        <row r="7">
          <cell r="AI7">
            <v>10000</v>
          </cell>
        </row>
      </sheetData>
      <sheetData sheetId="15737">
        <row r="7">
          <cell r="AI7">
            <v>10000</v>
          </cell>
        </row>
      </sheetData>
      <sheetData sheetId="15738">
        <row r="7">
          <cell r="AI7">
            <v>10000</v>
          </cell>
        </row>
      </sheetData>
      <sheetData sheetId="15739">
        <row r="7">
          <cell r="AI7">
            <v>10000</v>
          </cell>
        </row>
      </sheetData>
      <sheetData sheetId="15740">
        <row r="7">
          <cell r="AI7">
            <v>10000</v>
          </cell>
        </row>
      </sheetData>
      <sheetData sheetId="15741">
        <row r="7">
          <cell r="AI7">
            <v>10000</v>
          </cell>
        </row>
      </sheetData>
      <sheetData sheetId="15742">
        <row r="7">
          <cell r="AI7">
            <v>10000</v>
          </cell>
        </row>
      </sheetData>
      <sheetData sheetId="15743">
        <row r="7">
          <cell r="AI7">
            <v>10000</v>
          </cell>
        </row>
      </sheetData>
      <sheetData sheetId="15744">
        <row r="7">
          <cell r="AI7">
            <v>10000</v>
          </cell>
        </row>
      </sheetData>
      <sheetData sheetId="15745">
        <row r="7">
          <cell r="AI7">
            <v>10000</v>
          </cell>
        </row>
      </sheetData>
      <sheetData sheetId="15746">
        <row r="7">
          <cell r="AI7">
            <v>10000</v>
          </cell>
        </row>
      </sheetData>
      <sheetData sheetId="15747">
        <row r="7">
          <cell r="AI7">
            <v>10000</v>
          </cell>
        </row>
      </sheetData>
      <sheetData sheetId="15748">
        <row r="7">
          <cell r="AI7">
            <v>10000</v>
          </cell>
        </row>
      </sheetData>
      <sheetData sheetId="15749">
        <row r="7">
          <cell r="AI7">
            <v>10000</v>
          </cell>
        </row>
      </sheetData>
      <sheetData sheetId="15750">
        <row r="7">
          <cell r="AI7">
            <v>10000</v>
          </cell>
        </row>
      </sheetData>
      <sheetData sheetId="15751">
        <row r="7">
          <cell r="AI7">
            <v>10000</v>
          </cell>
        </row>
      </sheetData>
      <sheetData sheetId="15752">
        <row r="7">
          <cell r="AI7">
            <v>10000</v>
          </cell>
        </row>
      </sheetData>
      <sheetData sheetId="15753">
        <row r="7">
          <cell r="AI7">
            <v>10000</v>
          </cell>
        </row>
      </sheetData>
      <sheetData sheetId="15754">
        <row r="7">
          <cell r="AI7">
            <v>10000</v>
          </cell>
        </row>
      </sheetData>
      <sheetData sheetId="15755">
        <row r="7">
          <cell r="AI7">
            <v>10000</v>
          </cell>
        </row>
      </sheetData>
      <sheetData sheetId="15756">
        <row r="7">
          <cell r="AI7">
            <v>10000</v>
          </cell>
        </row>
      </sheetData>
      <sheetData sheetId="15757">
        <row r="7">
          <cell r="AI7">
            <v>10000</v>
          </cell>
        </row>
      </sheetData>
      <sheetData sheetId="15758">
        <row r="7">
          <cell r="AI7">
            <v>10000</v>
          </cell>
        </row>
      </sheetData>
      <sheetData sheetId="15759">
        <row r="7">
          <cell r="AI7">
            <v>10000</v>
          </cell>
        </row>
      </sheetData>
      <sheetData sheetId="15760">
        <row r="7">
          <cell r="AI7">
            <v>10000</v>
          </cell>
        </row>
      </sheetData>
      <sheetData sheetId="15761">
        <row r="7">
          <cell r="AI7">
            <v>10000</v>
          </cell>
        </row>
      </sheetData>
      <sheetData sheetId="15762">
        <row r="7">
          <cell r="AI7">
            <v>10000</v>
          </cell>
        </row>
      </sheetData>
      <sheetData sheetId="15763">
        <row r="7">
          <cell r="AI7">
            <v>10000</v>
          </cell>
        </row>
      </sheetData>
      <sheetData sheetId="15764">
        <row r="7">
          <cell r="AI7">
            <v>10000</v>
          </cell>
        </row>
      </sheetData>
      <sheetData sheetId="15765">
        <row r="7">
          <cell r="AI7">
            <v>10000</v>
          </cell>
        </row>
      </sheetData>
      <sheetData sheetId="15766">
        <row r="7">
          <cell r="AI7">
            <v>10000</v>
          </cell>
        </row>
      </sheetData>
      <sheetData sheetId="15767">
        <row r="7">
          <cell r="AI7">
            <v>10000</v>
          </cell>
        </row>
      </sheetData>
      <sheetData sheetId="15768">
        <row r="7">
          <cell r="AI7">
            <v>10000</v>
          </cell>
        </row>
      </sheetData>
      <sheetData sheetId="15769">
        <row r="7">
          <cell r="AI7">
            <v>10000</v>
          </cell>
        </row>
      </sheetData>
      <sheetData sheetId="15770">
        <row r="7">
          <cell r="AI7">
            <v>10000</v>
          </cell>
        </row>
      </sheetData>
      <sheetData sheetId="15771">
        <row r="7">
          <cell r="AI7">
            <v>10000</v>
          </cell>
        </row>
      </sheetData>
      <sheetData sheetId="15772">
        <row r="7">
          <cell r="AI7">
            <v>10000</v>
          </cell>
        </row>
      </sheetData>
      <sheetData sheetId="15773">
        <row r="7">
          <cell r="AI7">
            <v>10000</v>
          </cell>
        </row>
      </sheetData>
      <sheetData sheetId="15774">
        <row r="7">
          <cell r="AI7">
            <v>10000</v>
          </cell>
        </row>
      </sheetData>
      <sheetData sheetId="15775">
        <row r="7">
          <cell r="AI7">
            <v>10000</v>
          </cell>
        </row>
      </sheetData>
      <sheetData sheetId="15776">
        <row r="7">
          <cell r="AI7">
            <v>10000</v>
          </cell>
        </row>
      </sheetData>
      <sheetData sheetId="15777">
        <row r="7">
          <cell r="AI7">
            <v>10000</v>
          </cell>
        </row>
      </sheetData>
      <sheetData sheetId="15778">
        <row r="7">
          <cell r="AI7">
            <v>10000</v>
          </cell>
        </row>
      </sheetData>
      <sheetData sheetId="15779">
        <row r="7">
          <cell r="AI7">
            <v>10000</v>
          </cell>
        </row>
      </sheetData>
      <sheetData sheetId="15780">
        <row r="7">
          <cell r="AI7">
            <v>10000</v>
          </cell>
        </row>
      </sheetData>
      <sheetData sheetId="15781">
        <row r="7">
          <cell r="AI7">
            <v>10000</v>
          </cell>
        </row>
      </sheetData>
      <sheetData sheetId="15782">
        <row r="7">
          <cell r="AI7">
            <v>10000</v>
          </cell>
        </row>
      </sheetData>
      <sheetData sheetId="15783">
        <row r="7">
          <cell r="AI7">
            <v>10000</v>
          </cell>
        </row>
      </sheetData>
      <sheetData sheetId="15784">
        <row r="7">
          <cell r="AI7">
            <v>10000</v>
          </cell>
        </row>
      </sheetData>
      <sheetData sheetId="15785">
        <row r="7">
          <cell r="AI7">
            <v>10000</v>
          </cell>
        </row>
      </sheetData>
      <sheetData sheetId="15786">
        <row r="7">
          <cell r="AI7">
            <v>10000</v>
          </cell>
        </row>
      </sheetData>
      <sheetData sheetId="15787">
        <row r="7">
          <cell r="AI7">
            <v>10000</v>
          </cell>
        </row>
      </sheetData>
      <sheetData sheetId="15788">
        <row r="7">
          <cell r="AI7">
            <v>10000</v>
          </cell>
        </row>
      </sheetData>
      <sheetData sheetId="15789">
        <row r="7">
          <cell r="AI7">
            <v>10000</v>
          </cell>
        </row>
      </sheetData>
      <sheetData sheetId="15790">
        <row r="7">
          <cell r="AI7">
            <v>10000</v>
          </cell>
        </row>
      </sheetData>
      <sheetData sheetId="15791">
        <row r="7">
          <cell r="AI7">
            <v>10000</v>
          </cell>
        </row>
      </sheetData>
      <sheetData sheetId="15792">
        <row r="7">
          <cell r="AI7">
            <v>10000</v>
          </cell>
        </row>
      </sheetData>
      <sheetData sheetId="15793">
        <row r="7">
          <cell r="AI7">
            <v>10000</v>
          </cell>
        </row>
      </sheetData>
      <sheetData sheetId="15794">
        <row r="7">
          <cell r="AI7">
            <v>10000</v>
          </cell>
        </row>
      </sheetData>
      <sheetData sheetId="15795">
        <row r="7">
          <cell r="AI7">
            <v>10000</v>
          </cell>
        </row>
      </sheetData>
      <sheetData sheetId="15796">
        <row r="7">
          <cell r="AI7">
            <v>10000</v>
          </cell>
        </row>
      </sheetData>
      <sheetData sheetId="15797">
        <row r="7">
          <cell r="AI7">
            <v>10000</v>
          </cell>
        </row>
      </sheetData>
      <sheetData sheetId="15798">
        <row r="7">
          <cell r="AI7">
            <v>10000</v>
          </cell>
        </row>
      </sheetData>
      <sheetData sheetId="15799">
        <row r="7">
          <cell r="AI7">
            <v>10000</v>
          </cell>
        </row>
      </sheetData>
      <sheetData sheetId="15800">
        <row r="7">
          <cell r="AI7">
            <v>10000</v>
          </cell>
        </row>
      </sheetData>
      <sheetData sheetId="15801">
        <row r="7">
          <cell r="AI7">
            <v>10000</v>
          </cell>
        </row>
      </sheetData>
      <sheetData sheetId="15802">
        <row r="7">
          <cell r="AI7">
            <v>10000</v>
          </cell>
        </row>
      </sheetData>
      <sheetData sheetId="15803">
        <row r="7">
          <cell r="AI7">
            <v>10000</v>
          </cell>
        </row>
      </sheetData>
      <sheetData sheetId="15804">
        <row r="7">
          <cell r="AI7">
            <v>10000</v>
          </cell>
        </row>
      </sheetData>
      <sheetData sheetId="15805">
        <row r="7">
          <cell r="AI7">
            <v>10000</v>
          </cell>
        </row>
      </sheetData>
      <sheetData sheetId="15806">
        <row r="7">
          <cell r="AI7">
            <v>10000</v>
          </cell>
        </row>
      </sheetData>
      <sheetData sheetId="15807">
        <row r="7">
          <cell r="AI7">
            <v>10000</v>
          </cell>
        </row>
      </sheetData>
      <sheetData sheetId="15808">
        <row r="7">
          <cell r="AI7">
            <v>10000</v>
          </cell>
        </row>
      </sheetData>
      <sheetData sheetId="15809">
        <row r="7">
          <cell r="AI7">
            <v>10000</v>
          </cell>
        </row>
      </sheetData>
      <sheetData sheetId="15810">
        <row r="7">
          <cell r="AI7">
            <v>10000</v>
          </cell>
        </row>
      </sheetData>
      <sheetData sheetId="15811">
        <row r="7">
          <cell r="AI7">
            <v>10000</v>
          </cell>
        </row>
      </sheetData>
      <sheetData sheetId="15812">
        <row r="7">
          <cell r="AI7">
            <v>10000</v>
          </cell>
        </row>
      </sheetData>
      <sheetData sheetId="15813">
        <row r="7">
          <cell r="AI7">
            <v>10000</v>
          </cell>
        </row>
      </sheetData>
      <sheetData sheetId="15814">
        <row r="7">
          <cell r="AI7">
            <v>10000</v>
          </cell>
        </row>
      </sheetData>
      <sheetData sheetId="15815">
        <row r="7">
          <cell r="AI7">
            <v>10000</v>
          </cell>
        </row>
      </sheetData>
      <sheetData sheetId="15816">
        <row r="7">
          <cell r="AI7">
            <v>10000</v>
          </cell>
        </row>
      </sheetData>
      <sheetData sheetId="15817">
        <row r="7">
          <cell r="AI7">
            <v>10000</v>
          </cell>
        </row>
      </sheetData>
      <sheetData sheetId="15818">
        <row r="7">
          <cell r="AI7">
            <v>10000</v>
          </cell>
        </row>
      </sheetData>
      <sheetData sheetId="15819">
        <row r="7">
          <cell r="AI7">
            <v>10000</v>
          </cell>
        </row>
      </sheetData>
      <sheetData sheetId="15820">
        <row r="7">
          <cell r="AI7">
            <v>10000</v>
          </cell>
        </row>
      </sheetData>
      <sheetData sheetId="15821">
        <row r="7">
          <cell r="AI7">
            <v>10000</v>
          </cell>
        </row>
      </sheetData>
      <sheetData sheetId="15822">
        <row r="7">
          <cell r="AI7">
            <v>10000</v>
          </cell>
        </row>
      </sheetData>
      <sheetData sheetId="15823">
        <row r="7">
          <cell r="AI7">
            <v>10000</v>
          </cell>
        </row>
      </sheetData>
      <sheetData sheetId="15824">
        <row r="7">
          <cell r="AI7">
            <v>10000</v>
          </cell>
        </row>
      </sheetData>
      <sheetData sheetId="15825">
        <row r="7">
          <cell r="AI7">
            <v>10000</v>
          </cell>
        </row>
      </sheetData>
      <sheetData sheetId="15826">
        <row r="7">
          <cell r="AI7">
            <v>10000</v>
          </cell>
        </row>
      </sheetData>
      <sheetData sheetId="15827">
        <row r="7">
          <cell r="AI7">
            <v>10000</v>
          </cell>
        </row>
      </sheetData>
      <sheetData sheetId="15828">
        <row r="7">
          <cell r="AI7">
            <v>10000</v>
          </cell>
        </row>
      </sheetData>
      <sheetData sheetId="15829">
        <row r="7">
          <cell r="AI7">
            <v>10000</v>
          </cell>
        </row>
      </sheetData>
      <sheetData sheetId="15830">
        <row r="7">
          <cell r="AI7">
            <v>10000</v>
          </cell>
        </row>
      </sheetData>
      <sheetData sheetId="15831">
        <row r="7">
          <cell r="AI7">
            <v>10000</v>
          </cell>
        </row>
      </sheetData>
      <sheetData sheetId="15832">
        <row r="7">
          <cell r="AI7">
            <v>10000</v>
          </cell>
        </row>
      </sheetData>
      <sheetData sheetId="15833">
        <row r="7">
          <cell r="AI7">
            <v>10000</v>
          </cell>
        </row>
      </sheetData>
      <sheetData sheetId="15834">
        <row r="7">
          <cell r="AI7">
            <v>10000</v>
          </cell>
        </row>
      </sheetData>
      <sheetData sheetId="15835">
        <row r="7">
          <cell r="AI7">
            <v>10000</v>
          </cell>
        </row>
      </sheetData>
      <sheetData sheetId="15836">
        <row r="7">
          <cell r="AI7">
            <v>10000</v>
          </cell>
        </row>
      </sheetData>
      <sheetData sheetId="15837">
        <row r="7">
          <cell r="AI7">
            <v>10000</v>
          </cell>
        </row>
      </sheetData>
      <sheetData sheetId="15838">
        <row r="7">
          <cell r="AI7">
            <v>10000</v>
          </cell>
        </row>
      </sheetData>
      <sheetData sheetId="15839">
        <row r="7">
          <cell r="AI7">
            <v>10000</v>
          </cell>
        </row>
      </sheetData>
      <sheetData sheetId="15840">
        <row r="7">
          <cell r="AI7">
            <v>10000</v>
          </cell>
        </row>
      </sheetData>
      <sheetData sheetId="15841">
        <row r="7">
          <cell r="AI7">
            <v>10000</v>
          </cell>
        </row>
      </sheetData>
      <sheetData sheetId="15842">
        <row r="7">
          <cell r="AI7">
            <v>10000</v>
          </cell>
        </row>
      </sheetData>
      <sheetData sheetId="15843">
        <row r="7">
          <cell r="AI7">
            <v>10000</v>
          </cell>
        </row>
      </sheetData>
      <sheetData sheetId="15844">
        <row r="7">
          <cell r="AI7">
            <v>10000</v>
          </cell>
        </row>
      </sheetData>
      <sheetData sheetId="15845">
        <row r="7">
          <cell r="AI7">
            <v>10000</v>
          </cell>
        </row>
      </sheetData>
      <sheetData sheetId="15846">
        <row r="7">
          <cell r="AI7">
            <v>10000</v>
          </cell>
        </row>
      </sheetData>
      <sheetData sheetId="15847">
        <row r="7">
          <cell r="AI7">
            <v>10000</v>
          </cell>
        </row>
      </sheetData>
      <sheetData sheetId="15848">
        <row r="7">
          <cell r="AI7">
            <v>10000</v>
          </cell>
        </row>
      </sheetData>
      <sheetData sheetId="15849">
        <row r="7">
          <cell r="AI7">
            <v>10000</v>
          </cell>
        </row>
      </sheetData>
      <sheetData sheetId="15850">
        <row r="7">
          <cell r="AI7">
            <v>10000</v>
          </cell>
        </row>
      </sheetData>
      <sheetData sheetId="15851">
        <row r="7">
          <cell r="AI7">
            <v>10000</v>
          </cell>
        </row>
      </sheetData>
      <sheetData sheetId="15852">
        <row r="7">
          <cell r="AI7">
            <v>10000</v>
          </cell>
        </row>
      </sheetData>
      <sheetData sheetId="15853">
        <row r="7">
          <cell r="AI7">
            <v>10000</v>
          </cell>
        </row>
      </sheetData>
      <sheetData sheetId="15854">
        <row r="7">
          <cell r="AI7">
            <v>10000</v>
          </cell>
        </row>
      </sheetData>
      <sheetData sheetId="15855">
        <row r="7">
          <cell r="AI7">
            <v>10000</v>
          </cell>
        </row>
      </sheetData>
      <sheetData sheetId="15856">
        <row r="7">
          <cell r="AI7">
            <v>10000</v>
          </cell>
        </row>
      </sheetData>
      <sheetData sheetId="15857">
        <row r="7">
          <cell r="AI7">
            <v>10000</v>
          </cell>
        </row>
      </sheetData>
      <sheetData sheetId="15858">
        <row r="7">
          <cell r="AI7">
            <v>10000</v>
          </cell>
        </row>
      </sheetData>
      <sheetData sheetId="15859">
        <row r="7">
          <cell r="AI7">
            <v>10000</v>
          </cell>
        </row>
      </sheetData>
      <sheetData sheetId="15860">
        <row r="7">
          <cell r="AI7">
            <v>10000</v>
          </cell>
        </row>
      </sheetData>
      <sheetData sheetId="15861">
        <row r="7">
          <cell r="AI7">
            <v>10000</v>
          </cell>
        </row>
      </sheetData>
      <sheetData sheetId="15862">
        <row r="7">
          <cell r="AI7">
            <v>10000</v>
          </cell>
        </row>
      </sheetData>
      <sheetData sheetId="15863">
        <row r="7">
          <cell r="AI7">
            <v>10000</v>
          </cell>
        </row>
      </sheetData>
      <sheetData sheetId="15864">
        <row r="7">
          <cell r="AI7">
            <v>10000</v>
          </cell>
        </row>
      </sheetData>
      <sheetData sheetId="15865">
        <row r="7">
          <cell r="AI7">
            <v>10000</v>
          </cell>
        </row>
      </sheetData>
      <sheetData sheetId="15866">
        <row r="7">
          <cell r="AI7">
            <v>10000</v>
          </cell>
        </row>
      </sheetData>
      <sheetData sheetId="15867">
        <row r="7">
          <cell r="AI7">
            <v>10000</v>
          </cell>
        </row>
      </sheetData>
      <sheetData sheetId="15868">
        <row r="7">
          <cell r="AI7">
            <v>10000</v>
          </cell>
        </row>
      </sheetData>
      <sheetData sheetId="15869">
        <row r="7">
          <cell r="AI7">
            <v>10000</v>
          </cell>
        </row>
      </sheetData>
      <sheetData sheetId="15870">
        <row r="7">
          <cell r="AI7">
            <v>10000</v>
          </cell>
        </row>
      </sheetData>
      <sheetData sheetId="15871">
        <row r="7">
          <cell r="AI7">
            <v>10000</v>
          </cell>
        </row>
      </sheetData>
      <sheetData sheetId="15872">
        <row r="7">
          <cell r="AI7">
            <v>10000</v>
          </cell>
        </row>
      </sheetData>
      <sheetData sheetId="15873">
        <row r="7">
          <cell r="AI7">
            <v>10000</v>
          </cell>
        </row>
      </sheetData>
      <sheetData sheetId="15874">
        <row r="7">
          <cell r="AI7">
            <v>10000</v>
          </cell>
        </row>
      </sheetData>
      <sheetData sheetId="15875">
        <row r="7">
          <cell r="AI7">
            <v>10000</v>
          </cell>
        </row>
      </sheetData>
      <sheetData sheetId="15876">
        <row r="7">
          <cell r="AI7">
            <v>10000</v>
          </cell>
        </row>
      </sheetData>
      <sheetData sheetId="15877">
        <row r="7">
          <cell r="AI7">
            <v>10000</v>
          </cell>
        </row>
      </sheetData>
      <sheetData sheetId="15878">
        <row r="7">
          <cell r="AI7">
            <v>10000</v>
          </cell>
        </row>
      </sheetData>
      <sheetData sheetId="15879">
        <row r="7">
          <cell r="AI7">
            <v>10000</v>
          </cell>
        </row>
      </sheetData>
      <sheetData sheetId="15880">
        <row r="7">
          <cell r="AI7">
            <v>10000</v>
          </cell>
        </row>
      </sheetData>
      <sheetData sheetId="15881">
        <row r="7">
          <cell r="AI7">
            <v>10000</v>
          </cell>
        </row>
      </sheetData>
      <sheetData sheetId="15882">
        <row r="7">
          <cell r="AI7">
            <v>10000</v>
          </cell>
        </row>
      </sheetData>
      <sheetData sheetId="15883">
        <row r="7">
          <cell r="AI7">
            <v>10000</v>
          </cell>
        </row>
      </sheetData>
      <sheetData sheetId="15884">
        <row r="7">
          <cell r="AI7">
            <v>10000</v>
          </cell>
        </row>
      </sheetData>
      <sheetData sheetId="15885">
        <row r="7">
          <cell r="AI7">
            <v>10000</v>
          </cell>
        </row>
      </sheetData>
      <sheetData sheetId="15886">
        <row r="7">
          <cell r="AI7">
            <v>10000</v>
          </cell>
        </row>
      </sheetData>
      <sheetData sheetId="15887">
        <row r="7">
          <cell r="AI7">
            <v>10000</v>
          </cell>
        </row>
      </sheetData>
      <sheetData sheetId="15888">
        <row r="7">
          <cell r="AI7">
            <v>10000</v>
          </cell>
        </row>
      </sheetData>
      <sheetData sheetId="15889">
        <row r="7">
          <cell r="AI7">
            <v>10000</v>
          </cell>
        </row>
      </sheetData>
      <sheetData sheetId="15890">
        <row r="7">
          <cell r="AI7">
            <v>10000</v>
          </cell>
        </row>
      </sheetData>
      <sheetData sheetId="15891">
        <row r="7">
          <cell r="AI7">
            <v>10000</v>
          </cell>
        </row>
      </sheetData>
      <sheetData sheetId="15892">
        <row r="7">
          <cell r="AI7">
            <v>10000</v>
          </cell>
        </row>
      </sheetData>
      <sheetData sheetId="15893">
        <row r="7">
          <cell r="AI7">
            <v>10000</v>
          </cell>
        </row>
      </sheetData>
      <sheetData sheetId="15894">
        <row r="7">
          <cell r="AI7">
            <v>10000</v>
          </cell>
        </row>
      </sheetData>
      <sheetData sheetId="15895">
        <row r="7">
          <cell r="AI7">
            <v>10000</v>
          </cell>
        </row>
      </sheetData>
      <sheetData sheetId="15896">
        <row r="7">
          <cell r="AI7">
            <v>10000</v>
          </cell>
        </row>
      </sheetData>
      <sheetData sheetId="15897">
        <row r="7">
          <cell r="AI7">
            <v>10000</v>
          </cell>
        </row>
      </sheetData>
      <sheetData sheetId="15898">
        <row r="7">
          <cell r="AI7">
            <v>10000</v>
          </cell>
        </row>
      </sheetData>
      <sheetData sheetId="15899">
        <row r="7">
          <cell r="AI7">
            <v>10000</v>
          </cell>
        </row>
      </sheetData>
      <sheetData sheetId="15900">
        <row r="7">
          <cell r="AI7">
            <v>10000</v>
          </cell>
        </row>
      </sheetData>
      <sheetData sheetId="15901">
        <row r="7">
          <cell r="AI7">
            <v>10000</v>
          </cell>
        </row>
      </sheetData>
      <sheetData sheetId="15902">
        <row r="7">
          <cell r="AI7">
            <v>10000</v>
          </cell>
        </row>
      </sheetData>
      <sheetData sheetId="15903">
        <row r="7">
          <cell r="AI7">
            <v>10000</v>
          </cell>
        </row>
      </sheetData>
      <sheetData sheetId="15904">
        <row r="7">
          <cell r="AI7">
            <v>10000</v>
          </cell>
        </row>
      </sheetData>
      <sheetData sheetId="15905">
        <row r="7">
          <cell r="AI7">
            <v>10000</v>
          </cell>
        </row>
      </sheetData>
      <sheetData sheetId="15906">
        <row r="7">
          <cell r="AI7">
            <v>10000</v>
          </cell>
        </row>
      </sheetData>
      <sheetData sheetId="15907">
        <row r="7">
          <cell r="AI7">
            <v>10000</v>
          </cell>
        </row>
      </sheetData>
      <sheetData sheetId="15908">
        <row r="7">
          <cell r="AI7">
            <v>10000</v>
          </cell>
        </row>
      </sheetData>
      <sheetData sheetId="15909">
        <row r="7">
          <cell r="AI7">
            <v>10000</v>
          </cell>
        </row>
      </sheetData>
      <sheetData sheetId="15910">
        <row r="7">
          <cell r="AI7">
            <v>10000</v>
          </cell>
        </row>
      </sheetData>
      <sheetData sheetId="15911">
        <row r="7">
          <cell r="AI7">
            <v>10000</v>
          </cell>
        </row>
      </sheetData>
      <sheetData sheetId="15912">
        <row r="7">
          <cell r="AI7">
            <v>10000</v>
          </cell>
        </row>
      </sheetData>
      <sheetData sheetId="15913">
        <row r="7">
          <cell r="AI7">
            <v>10000</v>
          </cell>
        </row>
      </sheetData>
      <sheetData sheetId="15914">
        <row r="7">
          <cell r="AI7">
            <v>10000</v>
          </cell>
        </row>
      </sheetData>
      <sheetData sheetId="15915">
        <row r="7">
          <cell r="AI7">
            <v>10000</v>
          </cell>
        </row>
      </sheetData>
      <sheetData sheetId="15916">
        <row r="7">
          <cell r="AI7">
            <v>10000</v>
          </cell>
        </row>
      </sheetData>
      <sheetData sheetId="15917">
        <row r="7">
          <cell r="AI7">
            <v>10000</v>
          </cell>
        </row>
      </sheetData>
      <sheetData sheetId="15918">
        <row r="7">
          <cell r="AI7">
            <v>10000</v>
          </cell>
        </row>
      </sheetData>
      <sheetData sheetId="15919">
        <row r="7">
          <cell r="AI7">
            <v>10000</v>
          </cell>
        </row>
      </sheetData>
      <sheetData sheetId="15920">
        <row r="7">
          <cell r="AI7">
            <v>10000</v>
          </cell>
        </row>
      </sheetData>
      <sheetData sheetId="15921">
        <row r="7">
          <cell r="AI7">
            <v>10000</v>
          </cell>
        </row>
      </sheetData>
      <sheetData sheetId="15922">
        <row r="7">
          <cell r="AI7">
            <v>10000</v>
          </cell>
        </row>
      </sheetData>
      <sheetData sheetId="15923">
        <row r="7">
          <cell r="AI7">
            <v>10000</v>
          </cell>
        </row>
      </sheetData>
      <sheetData sheetId="15924">
        <row r="7">
          <cell r="AI7">
            <v>10000</v>
          </cell>
        </row>
      </sheetData>
      <sheetData sheetId="15925">
        <row r="7">
          <cell r="AI7">
            <v>10000</v>
          </cell>
        </row>
      </sheetData>
      <sheetData sheetId="15926">
        <row r="7">
          <cell r="AI7">
            <v>10000</v>
          </cell>
        </row>
      </sheetData>
      <sheetData sheetId="15927">
        <row r="7">
          <cell r="AI7">
            <v>10000</v>
          </cell>
        </row>
      </sheetData>
      <sheetData sheetId="15928">
        <row r="7">
          <cell r="AI7">
            <v>10000</v>
          </cell>
        </row>
      </sheetData>
      <sheetData sheetId="15929">
        <row r="7">
          <cell r="AI7">
            <v>10000</v>
          </cell>
        </row>
      </sheetData>
      <sheetData sheetId="15930">
        <row r="7">
          <cell r="AI7">
            <v>10000</v>
          </cell>
        </row>
      </sheetData>
      <sheetData sheetId="15931">
        <row r="7">
          <cell r="AI7">
            <v>10000</v>
          </cell>
        </row>
      </sheetData>
      <sheetData sheetId="15932">
        <row r="7">
          <cell r="AI7">
            <v>10000</v>
          </cell>
        </row>
      </sheetData>
      <sheetData sheetId="15933">
        <row r="7">
          <cell r="AI7">
            <v>10000</v>
          </cell>
        </row>
      </sheetData>
      <sheetData sheetId="15934">
        <row r="7">
          <cell r="AI7">
            <v>10000</v>
          </cell>
        </row>
      </sheetData>
      <sheetData sheetId="15935">
        <row r="7">
          <cell r="AI7">
            <v>10000</v>
          </cell>
        </row>
      </sheetData>
      <sheetData sheetId="15936">
        <row r="7">
          <cell r="AI7">
            <v>10000</v>
          </cell>
        </row>
      </sheetData>
      <sheetData sheetId="15937">
        <row r="7">
          <cell r="AI7">
            <v>10000</v>
          </cell>
        </row>
      </sheetData>
      <sheetData sheetId="15938">
        <row r="7">
          <cell r="AI7">
            <v>10000</v>
          </cell>
        </row>
      </sheetData>
      <sheetData sheetId="15939">
        <row r="7">
          <cell r="AI7">
            <v>10000</v>
          </cell>
        </row>
      </sheetData>
      <sheetData sheetId="15940">
        <row r="7">
          <cell r="AI7">
            <v>10000</v>
          </cell>
        </row>
      </sheetData>
      <sheetData sheetId="15941">
        <row r="7">
          <cell r="AI7">
            <v>10000</v>
          </cell>
        </row>
      </sheetData>
      <sheetData sheetId="15942">
        <row r="7">
          <cell r="AI7">
            <v>10000</v>
          </cell>
        </row>
      </sheetData>
      <sheetData sheetId="15943">
        <row r="7">
          <cell r="AI7">
            <v>10000</v>
          </cell>
        </row>
      </sheetData>
      <sheetData sheetId="15944">
        <row r="7">
          <cell r="AI7">
            <v>10000</v>
          </cell>
        </row>
      </sheetData>
      <sheetData sheetId="15945">
        <row r="7">
          <cell r="AI7">
            <v>10000</v>
          </cell>
        </row>
      </sheetData>
      <sheetData sheetId="15946">
        <row r="7">
          <cell r="AI7">
            <v>10000</v>
          </cell>
        </row>
      </sheetData>
      <sheetData sheetId="15947">
        <row r="7">
          <cell r="AI7">
            <v>10000</v>
          </cell>
        </row>
      </sheetData>
      <sheetData sheetId="15948">
        <row r="7">
          <cell r="AI7">
            <v>10000</v>
          </cell>
        </row>
      </sheetData>
      <sheetData sheetId="15949">
        <row r="7">
          <cell r="AI7">
            <v>10000</v>
          </cell>
        </row>
      </sheetData>
      <sheetData sheetId="15950">
        <row r="7">
          <cell r="AI7">
            <v>10000</v>
          </cell>
        </row>
      </sheetData>
      <sheetData sheetId="15951">
        <row r="7">
          <cell r="AI7">
            <v>10000</v>
          </cell>
        </row>
      </sheetData>
      <sheetData sheetId="15952">
        <row r="7">
          <cell r="AI7">
            <v>10000</v>
          </cell>
        </row>
      </sheetData>
      <sheetData sheetId="15953">
        <row r="7">
          <cell r="AI7">
            <v>10000</v>
          </cell>
        </row>
      </sheetData>
      <sheetData sheetId="15954">
        <row r="7">
          <cell r="AI7">
            <v>10000</v>
          </cell>
        </row>
      </sheetData>
      <sheetData sheetId="15955">
        <row r="7">
          <cell r="AI7">
            <v>10000</v>
          </cell>
        </row>
      </sheetData>
      <sheetData sheetId="15956">
        <row r="7">
          <cell r="AI7">
            <v>10000</v>
          </cell>
        </row>
      </sheetData>
      <sheetData sheetId="15957">
        <row r="7">
          <cell r="AI7">
            <v>10000</v>
          </cell>
        </row>
      </sheetData>
      <sheetData sheetId="15958">
        <row r="7">
          <cell r="AI7">
            <v>10000</v>
          </cell>
        </row>
      </sheetData>
      <sheetData sheetId="15959">
        <row r="7">
          <cell r="AI7">
            <v>10000</v>
          </cell>
        </row>
      </sheetData>
      <sheetData sheetId="15960">
        <row r="7">
          <cell r="AI7">
            <v>10000</v>
          </cell>
        </row>
      </sheetData>
      <sheetData sheetId="15961">
        <row r="7">
          <cell r="AI7">
            <v>10000</v>
          </cell>
        </row>
      </sheetData>
      <sheetData sheetId="15962">
        <row r="7">
          <cell r="AI7">
            <v>10000</v>
          </cell>
        </row>
      </sheetData>
      <sheetData sheetId="15963">
        <row r="7">
          <cell r="AI7">
            <v>10000</v>
          </cell>
        </row>
      </sheetData>
      <sheetData sheetId="15964">
        <row r="7">
          <cell r="AI7">
            <v>10000</v>
          </cell>
        </row>
      </sheetData>
      <sheetData sheetId="15965">
        <row r="7">
          <cell r="AI7">
            <v>10000</v>
          </cell>
        </row>
      </sheetData>
      <sheetData sheetId="15966">
        <row r="7">
          <cell r="AI7">
            <v>10000</v>
          </cell>
        </row>
      </sheetData>
      <sheetData sheetId="15967">
        <row r="7">
          <cell r="AI7">
            <v>10000</v>
          </cell>
        </row>
      </sheetData>
      <sheetData sheetId="15968">
        <row r="7">
          <cell r="AI7">
            <v>10000</v>
          </cell>
        </row>
      </sheetData>
      <sheetData sheetId="15969">
        <row r="7">
          <cell r="AI7">
            <v>10000</v>
          </cell>
        </row>
      </sheetData>
      <sheetData sheetId="15970">
        <row r="7">
          <cell r="AI7">
            <v>10000</v>
          </cell>
        </row>
      </sheetData>
      <sheetData sheetId="15971">
        <row r="7">
          <cell r="AI7">
            <v>10000</v>
          </cell>
        </row>
      </sheetData>
      <sheetData sheetId="15972">
        <row r="7">
          <cell r="AI7">
            <v>10000</v>
          </cell>
        </row>
      </sheetData>
      <sheetData sheetId="15973">
        <row r="7">
          <cell r="AI7">
            <v>10000</v>
          </cell>
        </row>
      </sheetData>
      <sheetData sheetId="15974">
        <row r="7">
          <cell r="AI7">
            <v>10000</v>
          </cell>
        </row>
      </sheetData>
      <sheetData sheetId="15975">
        <row r="7">
          <cell r="AI7">
            <v>10000</v>
          </cell>
        </row>
      </sheetData>
      <sheetData sheetId="15976">
        <row r="7">
          <cell r="AI7">
            <v>10000</v>
          </cell>
        </row>
      </sheetData>
      <sheetData sheetId="15977">
        <row r="7">
          <cell r="AI7">
            <v>10000</v>
          </cell>
        </row>
      </sheetData>
      <sheetData sheetId="15978">
        <row r="7">
          <cell r="AI7">
            <v>10000</v>
          </cell>
        </row>
      </sheetData>
      <sheetData sheetId="15979">
        <row r="7">
          <cell r="AI7">
            <v>10000</v>
          </cell>
        </row>
      </sheetData>
      <sheetData sheetId="15980">
        <row r="7">
          <cell r="AI7">
            <v>10000</v>
          </cell>
        </row>
      </sheetData>
      <sheetData sheetId="15981">
        <row r="7">
          <cell r="AI7">
            <v>10000</v>
          </cell>
        </row>
      </sheetData>
      <sheetData sheetId="15982">
        <row r="7">
          <cell r="AI7">
            <v>10000</v>
          </cell>
        </row>
      </sheetData>
      <sheetData sheetId="15983">
        <row r="7">
          <cell r="AI7">
            <v>10000</v>
          </cell>
        </row>
      </sheetData>
      <sheetData sheetId="15984">
        <row r="7">
          <cell r="AI7">
            <v>10000</v>
          </cell>
        </row>
      </sheetData>
      <sheetData sheetId="15985">
        <row r="7">
          <cell r="AI7">
            <v>10000</v>
          </cell>
        </row>
      </sheetData>
      <sheetData sheetId="15986">
        <row r="7">
          <cell r="AI7">
            <v>10000</v>
          </cell>
        </row>
      </sheetData>
      <sheetData sheetId="15987">
        <row r="7">
          <cell r="AI7">
            <v>10000</v>
          </cell>
        </row>
      </sheetData>
      <sheetData sheetId="15988">
        <row r="7">
          <cell r="AI7">
            <v>10000</v>
          </cell>
        </row>
      </sheetData>
      <sheetData sheetId="15989">
        <row r="7">
          <cell r="AI7">
            <v>10000</v>
          </cell>
        </row>
      </sheetData>
      <sheetData sheetId="15990">
        <row r="7">
          <cell r="AI7">
            <v>10000</v>
          </cell>
        </row>
      </sheetData>
      <sheetData sheetId="15991">
        <row r="7">
          <cell r="AI7">
            <v>10000</v>
          </cell>
        </row>
      </sheetData>
      <sheetData sheetId="15992">
        <row r="7">
          <cell r="AI7">
            <v>10000</v>
          </cell>
        </row>
      </sheetData>
      <sheetData sheetId="15993">
        <row r="7">
          <cell r="AI7">
            <v>10000</v>
          </cell>
        </row>
      </sheetData>
      <sheetData sheetId="15994">
        <row r="7">
          <cell r="AI7">
            <v>10000</v>
          </cell>
        </row>
      </sheetData>
      <sheetData sheetId="15995">
        <row r="7">
          <cell r="AI7">
            <v>10000</v>
          </cell>
        </row>
      </sheetData>
      <sheetData sheetId="15996">
        <row r="7">
          <cell r="AI7">
            <v>10000</v>
          </cell>
        </row>
      </sheetData>
      <sheetData sheetId="15997">
        <row r="7">
          <cell r="AI7">
            <v>10000</v>
          </cell>
        </row>
      </sheetData>
      <sheetData sheetId="15998">
        <row r="7">
          <cell r="AI7">
            <v>10000</v>
          </cell>
        </row>
      </sheetData>
      <sheetData sheetId="15999">
        <row r="7">
          <cell r="AI7">
            <v>10000</v>
          </cell>
        </row>
      </sheetData>
      <sheetData sheetId="16000">
        <row r="7">
          <cell r="AI7">
            <v>10000</v>
          </cell>
        </row>
      </sheetData>
      <sheetData sheetId="16001">
        <row r="7">
          <cell r="AI7">
            <v>10000</v>
          </cell>
        </row>
      </sheetData>
      <sheetData sheetId="16002">
        <row r="7">
          <cell r="AI7">
            <v>10000</v>
          </cell>
        </row>
      </sheetData>
      <sheetData sheetId="16003">
        <row r="7">
          <cell r="AI7">
            <v>10000</v>
          </cell>
        </row>
      </sheetData>
      <sheetData sheetId="16004">
        <row r="7">
          <cell r="AI7">
            <v>10000</v>
          </cell>
        </row>
      </sheetData>
      <sheetData sheetId="16005">
        <row r="7">
          <cell r="AI7">
            <v>10000</v>
          </cell>
        </row>
      </sheetData>
      <sheetData sheetId="16006">
        <row r="7">
          <cell r="AI7">
            <v>10000</v>
          </cell>
        </row>
      </sheetData>
      <sheetData sheetId="16007">
        <row r="7">
          <cell r="AI7">
            <v>10000</v>
          </cell>
        </row>
      </sheetData>
      <sheetData sheetId="16008">
        <row r="7">
          <cell r="AI7">
            <v>10000</v>
          </cell>
        </row>
      </sheetData>
      <sheetData sheetId="16009">
        <row r="7">
          <cell r="AI7">
            <v>10000</v>
          </cell>
        </row>
      </sheetData>
      <sheetData sheetId="16010">
        <row r="7">
          <cell r="AI7">
            <v>10000</v>
          </cell>
        </row>
      </sheetData>
      <sheetData sheetId="16011">
        <row r="7">
          <cell r="AI7">
            <v>10000</v>
          </cell>
        </row>
      </sheetData>
      <sheetData sheetId="16012">
        <row r="7">
          <cell r="AI7">
            <v>10000</v>
          </cell>
        </row>
      </sheetData>
      <sheetData sheetId="16013">
        <row r="7">
          <cell r="AI7">
            <v>10000</v>
          </cell>
        </row>
      </sheetData>
      <sheetData sheetId="16014">
        <row r="7">
          <cell r="AI7">
            <v>10000</v>
          </cell>
        </row>
      </sheetData>
      <sheetData sheetId="16015">
        <row r="7">
          <cell r="AI7">
            <v>10000</v>
          </cell>
        </row>
      </sheetData>
      <sheetData sheetId="16016">
        <row r="7">
          <cell r="AI7">
            <v>10000</v>
          </cell>
        </row>
      </sheetData>
      <sheetData sheetId="16017">
        <row r="7">
          <cell r="AI7">
            <v>10000</v>
          </cell>
        </row>
      </sheetData>
      <sheetData sheetId="16018">
        <row r="7">
          <cell r="AI7">
            <v>10000</v>
          </cell>
        </row>
      </sheetData>
      <sheetData sheetId="16019">
        <row r="7">
          <cell r="AI7">
            <v>10000</v>
          </cell>
        </row>
      </sheetData>
      <sheetData sheetId="16020">
        <row r="7">
          <cell r="AI7">
            <v>10000</v>
          </cell>
        </row>
      </sheetData>
      <sheetData sheetId="16021">
        <row r="7">
          <cell r="AI7">
            <v>10000</v>
          </cell>
        </row>
      </sheetData>
      <sheetData sheetId="16022">
        <row r="7">
          <cell r="AI7">
            <v>10000</v>
          </cell>
        </row>
      </sheetData>
      <sheetData sheetId="16023">
        <row r="7">
          <cell r="AI7">
            <v>10000</v>
          </cell>
        </row>
      </sheetData>
      <sheetData sheetId="16024">
        <row r="7">
          <cell r="AI7">
            <v>10000</v>
          </cell>
        </row>
      </sheetData>
      <sheetData sheetId="16025">
        <row r="7">
          <cell r="AI7">
            <v>10000</v>
          </cell>
        </row>
      </sheetData>
      <sheetData sheetId="16026">
        <row r="7">
          <cell r="AI7">
            <v>10000</v>
          </cell>
        </row>
      </sheetData>
      <sheetData sheetId="16027">
        <row r="7">
          <cell r="AI7">
            <v>10000</v>
          </cell>
        </row>
      </sheetData>
      <sheetData sheetId="16028">
        <row r="7">
          <cell r="AI7">
            <v>10000</v>
          </cell>
        </row>
      </sheetData>
      <sheetData sheetId="16029">
        <row r="7">
          <cell r="AI7">
            <v>10000</v>
          </cell>
        </row>
      </sheetData>
      <sheetData sheetId="16030">
        <row r="7">
          <cell r="AI7">
            <v>10000</v>
          </cell>
        </row>
      </sheetData>
      <sheetData sheetId="16031">
        <row r="7">
          <cell r="AI7">
            <v>10000</v>
          </cell>
        </row>
      </sheetData>
      <sheetData sheetId="16032">
        <row r="7">
          <cell r="AI7">
            <v>10000</v>
          </cell>
        </row>
      </sheetData>
      <sheetData sheetId="16033">
        <row r="7">
          <cell r="AI7">
            <v>10000</v>
          </cell>
        </row>
      </sheetData>
      <sheetData sheetId="16034">
        <row r="7">
          <cell r="AI7">
            <v>10000</v>
          </cell>
        </row>
      </sheetData>
      <sheetData sheetId="16035">
        <row r="7">
          <cell r="AI7">
            <v>10000</v>
          </cell>
        </row>
      </sheetData>
      <sheetData sheetId="16036">
        <row r="7">
          <cell r="AI7">
            <v>10000</v>
          </cell>
        </row>
      </sheetData>
      <sheetData sheetId="16037">
        <row r="7">
          <cell r="AI7">
            <v>10000</v>
          </cell>
        </row>
      </sheetData>
      <sheetData sheetId="16038">
        <row r="7">
          <cell r="AI7">
            <v>10000</v>
          </cell>
        </row>
      </sheetData>
      <sheetData sheetId="16039">
        <row r="7">
          <cell r="AI7">
            <v>10000</v>
          </cell>
        </row>
      </sheetData>
      <sheetData sheetId="16040">
        <row r="7">
          <cell r="AI7">
            <v>10000</v>
          </cell>
        </row>
      </sheetData>
      <sheetData sheetId="16041">
        <row r="7">
          <cell r="AI7">
            <v>10000</v>
          </cell>
        </row>
      </sheetData>
      <sheetData sheetId="16042">
        <row r="7">
          <cell r="AI7">
            <v>10000</v>
          </cell>
        </row>
      </sheetData>
      <sheetData sheetId="16043">
        <row r="7">
          <cell r="AI7">
            <v>10000</v>
          </cell>
        </row>
      </sheetData>
      <sheetData sheetId="16044">
        <row r="7">
          <cell r="AI7">
            <v>10000</v>
          </cell>
        </row>
      </sheetData>
      <sheetData sheetId="16045">
        <row r="7">
          <cell r="AI7">
            <v>10000</v>
          </cell>
        </row>
      </sheetData>
      <sheetData sheetId="16046">
        <row r="7">
          <cell r="AI7">
            <v>10000</v>
          </cell>
        </row>
      </sheetData>
      <sheetData sheetId="16047">
        <row r="7">
          <cell r="AI7">
            <v>10000</v>
          </cell>
        </row>
      </sheetData>
      <sheetData sheetId="16048">
        <row r="7">
          <cell r="AI7">
            <v>10000</v>
          </cell>
        </row>
      </sheetData>
      <sheetData sheetId="16049">
        <row r="7">
          <cell r="AI7">
            <v>10000</v>
          </cell>
        </row>
      </sheetData>
      <sheetData sheetId="16050">
        <row r="7">
          <cell r="AI7">
            <v>10000</v>
          </cell>
        </row>
      </sheetData>
      <sheetData sheetId="16051">
        <row r="7">
          <cell r="AI7">
            <v>10000</v>
          </cell>
        </row>
      </sheetData>
      <sheetData sheetId="16052">
        <row r="7">
          <cell r="AI7">
            <v>10000</v>
          </cell>
        </row>
      </sheetData>
      <sheetData sheetId="16053">
        <row r="7">
          <cell r="AI7">
            <v>10000</v>
          </cell>
        </row>
      </sheetData>
      <sheetData sheetId="16054">
        <row r="7">
          <cell r="AI7">
            <v>10000</v>
          </cell>
        </row>
      </sheetData>
      <sheetData sheetId="16055">
        <row r="7">
          <cell r="AI7">
            <v>10000</v>
          </cell>
        </row>
      </sheetData>
      <sheetData sheetId="16056">
        <row r="7">
          <cell r="AI7">
            <v>10000</v>
          </cell>
        </row>
      </sheetData>
      <sheetData sheetId="16057">
        <row r="7">
          <cell r="AI7">
            <v>10000</v>
          </cell>
        </row>
      </sheetData>
      <sheetData sheetId="16058">
        <row r="7">
          <cell r="AI7">
            <v>10000</v>
          </cell>
        </row>
      </sheetData>
      <sheetData sheetId="16059">
        <row r="7">
          <cell r="AI7">
            <v>10000</v>
          </cell>
        </row>
      </sheetData>
      <sheetData sheetId="16060">
        <row r="7">
          <cell r="AI7">
            <v>10000</v>
          </cell>
        </row>
      </sheetData>
      <sheetData sheetId="16061">
        <row r="7">
          <cell r="AI7">
            <v>10000</v>
          </cell>
        </row>
      </sheetData>
      <sheetData sheetId="16062">
        <row r="7">
          <cell r="AI7">
            <v>10000</v>
          </cell>
        </row>
      </sheetData>
      <sheetData sheetId="16063">
        <row r="7">
          <cell r="AI7">
            <v>10000</v>
          </cell>
        </row>
      </sheetData>
      <sheetData sheetId="16064">
        <row r="7">
          <cell r="AI7">
            <v>10000</v>
          </cell>
        </row>
      </sheetData>
      <sheetData sheetId="16065">
        <row r="7">
          <cell r="AI7">
            <v>10000</v>
          </cell>
        </row>
      </sheetData>
      <sheetData sheetId="16066">
        <row r="7">
          <cell r="AI7">
            <v>10000</v>
          </cell>
        </row>
      </sheetData>
      <sheetData sheetId="16067">
        <row r="7">
          <cell r="AI7">
            <v>10000</v>
          </cell>
        </row>
      </sheetData>
      <sheetData sheetId="16068">
        <row r="7">
          <cell r="AI7">
            <v>10000</v>
          </cell>
        </row>
      </sheetData>
      <sheetData sheetId="16069">
        <row r="7">
          <cell r="AI7">
            <v>10000</v>
          </cell>
        </row>
      </sheetData>
      <sheetData sheetId="16070">
        <row r="7">
          <cell r="AI7">
            <v>10000</v>
          </cell>
        </row>
      </sheetData>
      <sheetData sheetId="16071">
        <row r="7">
          <cell r="AI7">
            <v>10000</v>
          </cell>
        </row>
      </sheetData>
      <sheetData sheetId="16072">
        <row r="7">
          <cell r="AI7">
            <v>10000</v>
          </cell>
        </row>
      </sheetData>
      <sheetData sheetId="16073">
        <row r="7">
          <cell r="AI7">
            <v>10000</v>
          </cell>
        </row>
      </sheetData>
      <sheetData sheetId="16074">
        <row r="7">
          <cell r="AI7">
            <v>10000</v>
          </cell>
        </row>
      </sheetData>
      <sheetData sheetId="16075">
        <row r="7">
          <cell r="AI7">
            <v>10000</v>
          </cell>
        </row>
      </sheetData>
      <sheetData sheetId="16076">
        <row r="7">
          <cell r="AI7">
            <v>10000</v>
          </cell>
        </row>
      </sheetData>
      <sheetData sheetId="16077">
        <row r="7">
          <cell r="AI7">
            <v>10000</v>
          </cell>
        </row>
      </sheetData>
      <sheetData sheetId="16078">
        <row r="7">
          <cell r="AI7">
            <v>10000</v>
          </cell>
        </row>
      </sheetData>
      <sheetData sheetId="16079">
        <row r="7">
          <cell r="AI7">
            <v>10000</v>
          </cell>
        </row>
      </sheetData>
      <sheetData sheetId="16080">
        <row r="7">
          <cell r="AI7">
            <v>10000</v>
          </cell>
        </row>
      </sheetData>
      <sheetData sheetId="16081">
        <row r="7">
          <cell r="AI7">
            <v>10000</v>
          </cell>
        </row>
      </sheetData>
      <sheetData sheetId="16082">
        <row r="7">
          <cell r="AI7">
            <v>10000</v>
          </cell>
        </row>
      </sheetData>
      <sheetData sheetId="16083">
        <row r="7">
          <cell r="AI7">
            <v>10000</v>
          </cell>
        </row>
      </sheetData>
      <sheetData sheetId="16084">
        <row r="7">
          <cell r="AI7">
            <v>10000</v>
          </cell>
        </row>
      </sheetData>
      <sheetData sheetId="16085">
        <row r="7">
          <cell r="AI7">
            <v>10000</v>
          </cell>
        </row>
      </sheetData>
      <sheetData sheetId="16086">
        <row r="7">
          <cell r="AI7">
            <v>10000</v>
          </cell>
        </row>
      </sheetData>
      <sheetData sheetId="16087">
        <row r="7">
          <cell r="AI7">
            <v>10000</v>
          </cell>
        </row>
      </sheetData>
      <sheetData sheetId="16088">
        <row r="7">
          <cell r="AI7">
            <v>10000</v>
          </cell>
        </row>
      </sheetData>
      <sheetData sheetId="16089">
        <row r="7">
          <cell r="AI7">
            <v>10000</v>
          </cell>
        </row>
      </sheetData>
      <sheetData sheetId="16090">
        <row r="7">
          <cell r="AI7">
            <v>10000</v>
          </cell>
        </row>
      </sheetData>
      <sheetData sheetId="16091">
        <row r="7">
          <cell r="AI7">
            <v>10000</v>
          </cell>
        </row>
      </sheetData>
      <sheetData sheetId="16092">
        <row r="7">
          <cell r="AI7">
            <v>10000</v>
          </cell>
        </row>
      </sheetData>
      <sheetData sheetId="16093">
        <row r="7">
          <cell r="AI7">
            <v>10000</v>
          </cell>
        </row>
      </sheetData>
      <sheetData sheetId="16094">
        <row r="7">
          <cell r="AI7">
            <v>10000</v>
          </cell>
        </row>
      </sheetData>
      <sheetData sheetId="16095">
        <row r="7">
          <cell r="AI7">
            <v>10000</v>
          </cell>
        </row>
      </sheetData>
      <sheetData sheetId="16096">
        <row r="7">
          <cell r="AI7">
            <v>10000</v>
          </cell>
        </row>
      </sheetData>
      <sheetData sheetId="16097">
        <row r="7">
          <cell r="AI7">
            <v>10000</v>
          </cell>
        </row>
      </sheetData>
      <sheetData sheetId="16098">
        <row r="7">
          <cell r="AI7">
            <v>10000</v>
          </cell>
        </row>
      </sheetData>
      <sheetData sheetId="16099">
        <row r="7">
          <cell r="AI7">
            <v>10000</v>
          </cell>
        </row>
      </sheetData>
      <sheetData sheetId="16100">
        <row r="7">
          <cell r="AI7">
            <v>10000</v>
          </cell>
        </row>
      </sheetData>
      <sheetData sheetId="16101">
        <row r="7">
          <cell r="AI7">
            <v>10000</v>
          </cell>
        </row>
      </sheetData>
      <sheetData sheetId="16102">
        <row r="7">
          <cell r="AI7">
            <v>10000</v>
          </cell>
        </row>
      </sheetData>
      <sheetData sheetId="16103">
        <row r="7">
          <cell r="AI7">
            <v>10000</v>
          </cell>
        </row>
      </sheetData>
      <sheetData sheetId="16104">
        <row r="7">
          <cell r="AI7">
            <v>10000</v>
          </cell>
        </row>
      </sheetData>
      <sheetData sheetId="16105">
        <row r="7">
          <cell r="AI7">
            <v>10000</v>
          </cell>
        </row>
      </sheetData>
      <sheetData sheetId="16106">
        <row r="7">
          <cell r="AI7">
            <v>10000</v>
          </cell>
        </row>
      </sheetData>
      <sheetData sheetId="16107">
        <row r="7">
          <cell r="AI7">
            <v>10000</v>
          </cell>
        </row>
      </sheetData>
      <sheetData sheetId="16108">
        <row r="7">
          <cell r="AI7">
            <v>10000</v>
          </cell>
        </row>
      </sheetData>
      <sheetData sheetId="16109">
        <row r="7">
          <cell r="AI7">
            <v>10000</v>
          </cell>
        </row>
      </sheetData>
      <sheetData sheetId="16110">
        <row r="7">
          <cell r="AI7">
            <v>10000</v>
          </cell>
        </row>
      </sheetData>
      <sheetData sheetId="16111">
        <row r="7">
          <cell r="AI7">
            <v>10000</v>
          </cell>
        </row>
      </sheetData>
      <sheetData sheetId="16112">
        <row r="7">
          <cell r="AI7">
            <v>10000</v>
          </cell>
        </row>
      </sheetData>
      <sheetData sheetId="16113">
        <row r="7">
          <cell r="AI7">
            <v>10000</v>
          </cell>
        </row>
      </sheetData>
      <sheetData sheetId="16114">
        <row r="7">
          <cell r="AI7">
            <v>10000</v>
          </cell>
        </row>
      </sheetData>
      <sheetData sheetId="16115">
        <row r="7">
          <cell r="AI7">
            <v>10000</v>
          </cell>
        </row>
      </sheetData>
      <sheetData sheetId="16116">
        <row r="7">
          <cell r="AI7">
            <v>10000</v>
          </cell>
        </row>
      </sheetData>
      <sheetData sheetId="16117">
        <row r="7">
          <cell r="AI7">
            <v>10000</v>
          </cell>
        </row>
      </sheetData>
      <sheetData sheetId="16118">
        <row r="7">
          <cell r="AI7">
            <v>10000</v>
          </cell>
        </row>
      </sheetData>
      <sheetData sheetId="16119">
        <row r="7">
          <cell r="AI7">
            <v>10000</v>
          </cell>
        </row>
      </sheetData>
      <sheetData sheetId="16120">
        <row r="7">
          <cell r="AI7">
            <v>10000</v>
          </cell>
        </row>
      </sheetData>
      <sheetData sheetId="16121">
        <row r="7">
          <cell r="AI7">
            <v>10000</v>
          </cell>
        </row>
      </sheetData>
      <sheetData sheetId="16122">
        <row r="7">
          <cell r="AI7">
            <v>10000</v>
          </cell>
        </row>
      </sheetData>
      <sheetData sheetId="16123">
        <row r="7">
          <cell r="AI7">
            <v>10000</v>
          </cell>
        </row>
      </sheetData>
      <sheetData sheetId="16124">
        <row r="7">
          <cell r="AI7">
            <v>10000</v>
          </cell>
        </row>
      </sheetData>
      <sheetData sheetId="16125">
        <row r="7">
          <cell r="AI7">
            <v>10000</v>
          </cell>
        </row>
      </sheetData>
      <sheetData sheetId="16126">
        <row r="7">
          <cell r="AI7">
            <v>10000</v>
          </cell>
        </row>
      </sheetData>
      <sheetData sheetId="16127">
        <row r="7">
          <cell r="AI7">
            <v>10000</v>
          </cell>
        </row>
      </sheetData>
      <sheetData sheetId="16128">
        <row r="7">
          <cell r="AI7">
            <v>10000</v>
          </cell>
        </row>
      </sheetData>
      <sheetData sheetId="16129">
        <row r="7">
          <cell r="AI7">
            <v>10000</v>
          </cell>
        </row>
      </sheetData>
      <sheetData sheetId="16130">
        <row r="7">
          <cell r="AI7">
            <v>10000</v>
          </cell>
        </row>
      </sheetData>
      <sheetData sheetId="16131">
        <row r="7">
          <cell r="AI7">
            <v>10000</v>
          </cell>
        </row>
      </sheetData>
      <sheetData sheetId="16132">
        <row r="7">
          <cell r="AI7">
            <v>10000</v>
          </cell>
        </row>
      </sheetData>
      <sheetData sheetId="16133">
        <row r="7">
          <cell r="AI7">
            <v>10000</v>
          </cell>
        </row>
      </sheetData>
      <sheetData sheetId="16134">
        <row r="7">
          <cell r="AI7">
            <v>10000</v>
          </cell>
        </row>
      </sheetData>
      <sheetData sheetId="16135">
        <row r="7">
          <cell r="AI7">
            <v>10000</v>
          </cell>
        </row>
      </sheetData>
      <sheetData sheetId="16136">
        <row r="7">
          <cell r="AI7">
            <v>10000</v>
          </cell>
        </row>
      </sheetData>
      <sheetData sheetId="16137">
        <row r="7">
          <cell r="AI7">
            <v>10000</v>
          </cell>
        </row>
      </sheetData>
      <sheetData sheetId="16138">
        <row r="7">
          <cell r="AI7">
            <v>10000</v>
          </cell>
        </row>
      </sheetData>
      <sheetData sheetId="16139">
        <row r="7">
          <cell r="AI7">
            <v>10000</v>
          </cell>
        </row>
      </sheetData>
      <sheetData sheetId="16140">
        <row r="7">
          <cell r="AI7">
            <v>10000</v>
          </cell>
        </row>
      </sheetData>
      <sheetData sheetId="16141">
        <row r="7">
          <cell r="AI7">
            <v>10000</v>
          </cell>
        </row>
      </sheetData>
      <sheetData sheetId="16142">
        <row r="7">
          <cell r="AI7">
            <v>10000</v>
          </cell>
        </row>
      </sheetData>
      <sheetData sheetId="16143">
        <row r="7">
          <cell r="AI7">
            <v>10000</v>
          </cell>
        </row>
      </sheetData>
      <sheetData sheetId="16144">
        <row r="7">
          <cell r="AI7">
            <v>10000</v>
          </cell>
        </row>
      </sheetData>
      <sheetData sheetId="16145">
        <row r="7">
          <cell r="AI7">
            <v>10000</v>
          </cell>
        </row>
      </sheetData>
      <sheetData sheetId="16146">
        <row r="7">
          <cell r="AI7">
            <v>10000</v>
          </cell>
        </row>
      </sheetData>
      <sheetData sheetId="16147">
        <row r="7">
          <cell r="AI7">
            <v>10000</v>
          </cell>
        </row>
      </sheetData>
      <sheetData sheetId="16148">
        <row r="7">
          <cell r="AI7">
            <v>10000</v>
          </cell>
        </row>
      </sheetData>
      <sheetData sheetId="16149">
        <row r="7">
          <cell r="AI7">
            <v>10000</v>
          </cell>
        </row>
      </sheetData>
      <sheetData sheetId="16150">
        <row r="7">
          <cell r="AI7">
            <v>10000</v>
          </cell>
        </row>
      </sheetData>
      <sheetData sheetId="16151">
        <row r="7">
          <cell r="AI7">
            <v>10000</v>
          </cell>
        </row>
      </sheetData>
      <sheetData sheetId="16152">
        <row r="7">
          <cell r="AI7">
            <v>10000</v>
          </cell>
        </row>
      </sheetData>
      <sheetData sheetId="16153">
        <row r="7">
          <cell r="AI7">
            <v>10000</v>
          </cell>
        </row>
      </sheetData>
      <sheetData sheetId="16154">
        <row r="7">
          <cell r="AI7">
            <v>10000</v>
          </cell>
        </row>
      </sheetData>
      <sheetData sheetId="16155">
        <row r="7">
          <cell r="AI7">
            <v>10000</v>
          </cell>
        </row>
      </sheetData>
      <sheetData sheetId="16156">
        <row r="7">
          <cell r="AI7">
            <v>10000</v>
          </cell>
        </row>
      </sheetData>
      <sheetData sheetId="16157">
        <row r="7">
          <cell r="AI7">
            <v>10000</v>
          </cell>
        </row>
      </sheetData>
      <sheetData sheetId="16158">
        <row r="7">
          <cell r="AI7">
            <v>10000</v>
          </cell>
        </row>
      </sheetData>
      <sheetData sheetId="16159">
        <row r="7">
          <cell r="AI7">
            <v>10000</v>
          </cell>
        </row>
      </sheetData>
      <sheetData sheetId="16160">
        <row r="7">
          <cell r="AI7">
            <v>10000</v>
          </cell>
        </row>
      </sheetData>
      <sheetData sheetId="16161">
        <row r="7">
          <cell r="AI7">
            <v>10000</v>
          </cell>
        </row>
      </sheetData>
      <sheetData sheetId="16162">
        <row r="7">
          <cell r="AI7">
            <v>10000</v>
          </cell>
        </row>
      </sheetData>
      <sheetData sheetId="16163">
        <row r="7">
          <cell r="AI7">
            <v>10000</v>
          </cell>
        </row>
      </sheetData>
      <sheetData sheetId="16164">
        <row r="7">
          <cell r="AI7">
            <v>10000</v>
          </cell>
        </row>
      </sheetData>
      <sheetData sheetId="16165">
        <row r="7">
          <cell r="AI7">
            <v>10000</v>
          </cell>
        </row>
      </sheetData>
      <sheetData sheetId="16166">
        <row r="7">
          <cell r="AI7">
            <v>10000</v>
          </cell>
        </row>
      </sheetData>
      <sheetData sheetId="16167">
        <row r="7">
          <cell r="AI7">
            <v>10000</v>
          </cell>
        </row>
      </sheetData>
      <sheetData sheetId="16168">
        <row r="7">
          <cell r="AI7">
            <v>10000</v>
          </cell>
        </row>
      </sheetData>
      <sheetData sheetId="16169">
        <row r="7">
          <cell r="AI7">
            <v>10000</v>
          </cell>
        </row>
      </sheetData>
      <sheetData sheetId="16170">
        <row r="7">
          <cell r="AI7">
            <v>10000</v>
          </cell>
        </row>
      </sheetData>
      <sheetData sheetId="16171">
        <row r="7">
          <cell r="AI7">
            <v>10000</v>
          </cell>
        </row>
      </sheetData>
      <sheetData sheetId="16172">
        <row r="7">
          <cell r="AI7">
            <v>10000</v>
          </cell>
        </row>
      </sheetData>
      <sheetData sheetId="16173"/>
      <sheetData sheetId="16174">
        <row r="7">
          <cell r="AI7">
            <v>10000</v>
          </cell>
        </row>
      </sheetData>
      <sheetData sheetId="16175">
        <row r="7">
          <cell r="AI7">
            <v>10000</v>
          </cell>
        </row>
      </sheetData>
      <sheetData sheetId="16176">
        <row r="7">
          <cell r="AI7">
            <v>10000</v>
          </cell>
        </row>
      </sheetData>
      <sheetData sheetId="16177">
        <row r="7">
          <cell r="AI7">
            <v>10000</v>
          </cell>
        </row>
      </sheetData>
      <sheetData sheetId="16178">
        <row r="7">
          <cell r="AI7">
            <v>10000</v>
          </cell>
        </row>
      </sheetData>
      <sheetData sheetId="16179">
        <row r="7">
          <cell r="AI7">
            <v>10000</v>
          </cell>
        </row>
      </sheetData>
      <sheetData sheetId="16180">
        <row r="7">
          <cell r="AI7">
            <v>10000</v>
          </cell>
        </row>
      </sheetData>
      <sheetData sheetId="16181">
        <row r="7">
          <cell r="AI7">
            <v>10000</v>
          </cell>
        </row>
      </sheetData>
      <sheetData sheetId="16182">
        <row r="7">
          <cell r="AI7">
            <v>10000</v>
          </cell>
        </row>
      </sheetData>
      <sheetData sheetId="16183">
        <row r="7">
          <cell r="AI7">
            <v>10000</v>
          </cell>
        </row>
      </sheetData>
      <sheetData sheetId="16184">
        <row r="7">
          <cell r="AI7">
            <v>10000</v>
          </cell>
        </row>
      </sheetData>
      <sheetData sheetId="16185">
        <row r="7">
          <cell r="AI7">
            <v>10000</v>
          </cell>
        </row>
      </sheetData>
      <sheetData sheetId="16186">
        <row r="7">
          <cell r="AI7">
            <v>10000</v>
          </cell>
        </row>
      </sheetData>
      <sheetData sheetId="16187">
        <row r="7">
          <cell r="AI7">
            <v>10000</v>
          </cell>
        </row>
      </sheetData>
      <sheetData sheetId="16188">
        <row r="7">
          <cell r="AI7">
            <v>10000</v>
          </cell>
        </row>
      </sheetData>
      <sheetData sheetId="16189">
        <row r="7">
          <cell r="AI7">
            <v>10000</v>
          </cell>
        </row>
      </sheetData>
      <sheetData sheetId="16190">
        <row r="7">
          <cell r="AI7">
            <v>10000</v>
          </cell>
        </row>
      </sheetData>
      <sheetData sheetId="16191">
        <row r="7">
          <cell r="AI7">
            <v>10000</v>
          </cell>
        </row>
      </sheetData>
      <sheetData sheetId="16192">
        <row r="7">
          <cell r="AI7">
            <v>10000</v>
          </cell>
        </row>
      </sheetData>
      <sheetData sheetId="16193">
        <row r="7">
          <cell r="AI7">
            <v>10000</v>
          </cell>
        </row>
      </sheetData>
      <sheetData sheetId="16194">
        <row r="7">
          <cell r="AI7">
            <v>10000</v>
          </cell>
        </row>
      </sheetData>
      <sheetData sheetId="16195">
        <row r="7">
          <cell r="AI7">
            <v>10000</v>
          </cell>
        </row>
      </sheetData>
      <sheetData sheetId="16196">
        <row r="7">
          <cell r="AI7">
            <v>10000</v>
          </cell>
        </row>
      </sheetData>
      <sheetData sheetId="16197">
        <row r="7">
          <cell r="AI7">
            <v>10000</v>
          </cell>
        </row>
      </sheetData>
      <sheetData sheetId="16198">
        <row r="7">
          <cell r="AI7">
            <v>10000</v>
          </cell>
        </row>
      </sheetData>
      <sheetData sheetId="16199">
        <row r="7">
          <cell r="AI7">
            <v>10000</v>
          </cell>
        </row>
      </sheetData>
      <sheetData sheetId="16200">
        <row r="7">
          <cell r="AI7">
            <v>10000</v>
          </cell>
        </row>
      </sheetData>
      <sheetData sheetId="16201">
        <row r="7">
          <cell r="AI7">
            <v>10000</v>
          </cell>
        </row>
      </sheetData>
      <sheetData sheetId="16202">
        <row r="7">
          <cell r="AI7">
            <v>10000</v>
          </cell>
        </row>
      </sheetData>
      <sheetData sheetId="16203">
        <row r="7">
          <cell r="AI7">
            <v>10000</v>
          </cell>
        </row>
      </sheetData>
      <sheetData sheetId="16204">
        <row r="7">
          <cell r="AI7">
            <v>10000</v>
          </cell>
        </row>
      </sheetData>
      <sheetData sheetId="16205">
        <row r="7">
          <cell r="AI7">
            <v>10000</v>
          </cell>
        </row>
      </sheetData>
      <sheetData sheetId="16206">
        <row r="7">
          <cell r="AI7">
            <v>10000</v>
          </cell>
        </row>
      </sheetData>
      <sheetData sheetId="16207">
        <row r="7">
          <cell r="AI7">
            <v>10000</v>
          </cell>
        </row>
      </sheetData>
      <sheetData sheetId="16208">
        <row r="7">
          <cell r="AI7">
            <v>10000</v>
          </cell>
        </row>
      </sheetData>
      <sheetData sheetId="16209">
        <row r="7">
          <cell r="AI7">
            <v>10000</v>
          </cell>
        </row>
      </sheetData>
      <sheetData sheetId="16210">
        <row r="7">
          <cell r="AI7">
            <v>10000</v>
          </cell>
        </row>
      </sheetData>
      <sheetData sheetId="16211">
        <row r="7">
          <cell r="AI7">
            <v>10000</v>
          </cell>
        </row>
      </sheetData>
      <sheetData sheetId="16212">
        <row r="7">
          <cell r="AI7">
            <v>10000</v>
          </cell>
        </row>
      </sheetData>
      <sheetData sheetId="16213">
        <row r="7">
          <cell r="AI7">
            <v>10000</v>
          </cell>
        </row>
      </sheetData>
      <sheetData sheetId="16214">
        <row r="7">
          <cell r="AI7">
            <v>10000</v>
          </cell>
        </row>
      </sheetData>
      <sheetData sheetId="16215">
        <row r="7">
          <cell r="AI7">
            <v>10000</v>
          </cell>
        </row>
      </sheetData>
      <sheetData sheetId="16216">
        <row r="7">
          <cell r="AI7">
            <v>10000</v>
          </cell>
        </row>
      </sheetData>
      <sheetData sheetId="16217">
        <row r="7">
          <cell r="AI7">
            <v>10000</v>
          </cell>
        </row>
      </sheetData>
      <sheetData sheetId="16218">
        <row r="7">
          <cell r="AI7">
            <v>10000</v>
          </cell>
        </row>
      </sheetData>
      <sheetData sheetId="16219">
        <row r="7">
          <cell r="AI7">
            <v>10000</v>
          </cell>
        </row>
      </sheetData>
      <sheetData sheetId="16220">
        <row r="7">
          <cell r="AI7">
            <v>10000</v>
          </cell>
        </row>
      </sheetData>
      <sheetData sheetId="16221">
        <row r="7">
          <cell r="AI7">
            <v>10000</v>
          </cell>
        </row>
      </sheetData>
      <sheetData sheetId="16222">
        <row r="7">
          <cell r="AI7">
            <v>10000</v>
          </cell>
        </row>
      </sheetData>
      <sheetData sheetId="16223">
        <row r="7">
          <cell r="AI7">
            <v>10000</v>
          </cell>
        </row>
      </sheetData>
      <sheetData sheetId="16224">
        <row r="7">
          <cell r="AI7">
            <v>10000</v>
          </cell>
        </row>
      </sheetData>
      <sheetData sheetId="16225">
        <row r="7">
          <cell r="AI7">
            <v>10000</v>
          </cell>
        </row>
      </sheetData>
      <sheetData sheetId="16226">
        <row r="7">
          <cell r="AI7">
            <v>10000</v>
          </cell>
        </row>
      </sheetData>
      <sheetData sheetId="16227">
        <row r="7">
          <cell r="AI7">
            <v>10000</v>
          </cell>
        </row>
      </sheetData>
      <sheetData sheetId="16228">
        <row r="7">
          <cell r="AI7">
            <v>10000</v>
          </cell>
        </row>
      </sheetData>
      <sheetData sheetId="16229">
        <row r="7">
          <cell r="AI7">
            <v>10000</v>
          </cell>
        </row>
      </sheetData>
      <sheetData sheetId="16230">
        <row r="7">
          <cell r="AI7">
            <v>10000</v>
          </cell>
        </row>
      </sheetData>
      <sheetData sheetId="16231">
        <row r="7">
          <cell r="AI7">
            <v>10000</v>
          </cell>
        </row>
      </sheetData>
      <sheetData sheetId="16232">
        <row r="7">
          <cell r="AI7">
            <v>10000</v>
          </cell>
        </row>
      </sheetData>
      <sheetData sheetId="16233">
        <row r="7">
          <cell r="AI7">
            <v>10000</v>
          </cell>
        </row>
      </sheetData>
      <sheetData sheetId="16234">
        <row r="7">
          <cell r="AI7">
            <v>10000</v>
          </cell>
        </row>
      </sheetData>
      <sheetData sheetId="16235">
        <row r="7">
          <cell r="AI7">
            <v>10000</v>
          </cell>
        </row>
      </sheetData>
      <sheetData sheetId="16236">
        <row r="7">
          <cell r="AI7">
            <v>10000</v>
          </cell>
        </row>
      </sheetData>
      <sheetData sheetId="16237">
        <row r="7">
          <cell r="AI7">
            <v>10000</v>
          </cell>
        </row>
      </sheetData>
      <sheetData sheetId="16238">
        <row r="7">
          <cell r="AI7">
            <v>10000</v>
          </cell>
        </row>
      </sheetData>
      <sheetData sheetId="16239">
        <row r="7">
          <cell r="AI7">
            <v>10000</v>
          </cell>
        </row>
      </sheetData>
      <sheetData sheetId="16240">
        <row r="7">
          <cell r="AI7">
            <v>10000</v>
          </cell>
        </row>
      </sheetData>
      <sheetData sheetId="16241">
        <row r="7">
          <cell r="AI7">
            <v>10000</v>
          </cell>
        </row>
      </sheetData>
      <sheetData sheetId="16242">
        <row r="7">
          <cell r="AI7">
            <v>10000</v>
          </cell>
        </row>
      </sheetData>
      <sheetData sheetId="16243">
        <row r="7">
          <cell r="AI7">
            <v>10000</v>
          </cell>
        </row>
      </sheetData>
      <sheetData sheetId="16244">
        <row r="7">
          <cell r="AI7">
            <v>10000</v>
          </cell>
        </row>
      </sheetData>
      <sheetData sheetId="16245">
        <row r="7">
          <cell r="AI7">
            <v>10000</v>
          </cell>
        </row>
      </sheetData>
      <sheetData sheetId="16246">
        <row r="7">
          <cell r="AI7">
            <v>10000</v>
          </cell>
        </row>
      </sheetData>
      <sheetData sheetId="16247">
        <row r="7">
          <cell r="AI7">
            <v>10000</v>
          </cell>
        </row>
      </sheetData>
      <sheetData sheetId="16248">
        <row r="7">
          <cell r="AI7">
            <v>10000</v>
          </cell>
        </row>
      </sheetData>
      <sheetData sheetId="16249">
        <row r="7">
          <cell r="AI7">
            <v>10000</v>
          </cell>
        </row>
      </sheetData>
      <sheetData sheetId="16250">
        <row r="7">
          <cell r="AI7">
            <v>10000</v>
          </cell>
        </row>
      </sheetData>
      <sheetData sheetId="16251">
        <row r="7">
          <cell r="AI7">
            <v>10000</v>
          </cell>
        </row>
      </sheetData>
      <sheetData sheetId="16252">
        <row r="7">
          <cell r="AI7">
            <v>10000</v>
          </cell>
        </row>
      </sheetData>
      <sheetData sheetId="16253"/>
      <sheetData sheetId="16254">
        <row r="7">
          <cell r="AI7">
            <v>10000</v>
          </cell>
        </row>
      </sheetData>
      <sheetData sheetId="16255">
        <row r="7">
          <cell r="AI7">
            <v>10000</v>
          </cell>
        </row>
      </sheetData>
      <sheetData sheetId="16256">
        <row r="7">
          <cell r="AI7">
            <v>10000</v>
          </cell>
        </row>
      </sheetData>
      <sheetData sheetId="16257">
        <row r="7">
          <cell r="AI7">
            <v>10000</v>
          </cell>
        </row>
      </sheetData>
      <sheetData sheetId="16258"/>
      <sheetData sheetId="16259">
        <row r="7">
          <cell r="AI7">
            <v>10000</v>
          </cell>
        </row>
      </sheetData>
      <sheetData sheetId="16260"/>
      <sheetData sheetId="16261">
        <row r="7">
          <cell r="AI7">
            <v>10000</v>
          </cell>
        </row>
      </sheetData>
      <sheetData sheetId="16262">
        <row r="7">
          <cell r="AI7">
            <v>10000</v>
          </cell>
        </row>
      </sheetData>
      <sheetData sheetId="16263">
        <row r="7">
          <cell r="AI7">
            <v>10000</v>
          </cell>
        </row>
      </sheetData>
      <sheetData sheetId="16264">
        <row r="7">
          <cell r="AI7">
            <v>10000</v>
          </cell>
        </row>
      </sheetData>
      <sheetData sheetId="16265">
        <row r="7">
          <cell r="AI7">
            <v>10000</v>
          </cell>
        </row>
      </sheetData>
      <sheetData sheetId="16266">
        <row r="7">
          <cell r="AI7">
            <v>10000</v>
          </cell>
        </row>
      </sheetData>
      <sheetData sheetId="16267">
        <row r="7">
          <cell r="AI7">
            <v>10000</v>
          </cell>
        </row>
      </sheetData>
      <sheetData sheetId="16268"/>
      <sheetData sheetId="16269"/>
      <sheetData sheetId="16270">
        <row r="7">
          <cell r="AI7">
            <v>10000</v>
          </cell>
        </row>
      </sheetData>
      <sheetData sheetId="16271">
        <row r="7">
          <cell r="AI7">
            <v>10000</v>
          </cell>
        </row>
      </sheetData>
      <sheetData sheetId="16272">
        <row r="7">
          <cell r="AI7">
            <v>10000</v>
          </cell>
        </row>
      </sheetData>
      <sheetData sheetId="16273"/>
      <sheetData sheetId="16274">
        <row r="7">
          <cell r="AI7">
            <v>10000</v>
          </cell>
        </row>
      </sheetData>
      <sheetData sheetId="16275"/>
      <sheetData sheetId="16276">
        <row r="7">
          <cell r="AI7">
            <v>10000</v>
          </cell>
        </row>
      </sheetData>
      <sheetData sheetId="16277"/>
      <sheetData sheetId="16278">
        <row r="7">
          <cell r="AI7">
            <v>10000</v>
          </cell>
        </row>
      </sheetData>
      <sheetData sheetId="16279">
        <row r="7">
          <cell r="AI7">
            <v>10000</v>
          </cell>
        </row>
      </sheetData>
      <sheetData sheetId="16280">
        <row r="7">
          <cell r="AI7">
            <v>10000</v>
          </cell>
        </row>
      </sheetData>
      <sheetData sheetId="16281">
        <row r="7">
          <cell r="AI7">
            <v>10000</v>
          </cell>
        </row>
      </sheetData>
      <sheetData sheetId="16282"/>
      <sheetData sheetId="16283"/>
      <sheetData sheetId="16284"/>
      <sheetData sheetId="16285"/>
      <sheetData sheetId="16286">
        <row r="7">
          <cell r="AI7">
            <v>10000</v>
          </cell>
        </row>
      </sheetData>
      <sheetData sheetId="16287"/>
      <sheetData sheetId="16288"/>
      <sheetData sheetId="16289">
        <row r="7">
          <cell r="AI7">
            <v>10000</v>
          </cell>
        </row>
      </sheetData>
      <sheetData sheetId="16290"/>
      <sheetData sheetId="16291">
        <row r="7">
          <cell r="AI7">
            <v>10000</v>
          </cell>
        </row>
      </sheetData>
      <sheetData sheetId="16292">
        <row r="7">
          <cell r="AI7">
            <v>10000</v>
          </cell>
        </row>
      </sheetData>
      <sheetData sheetId="16293">
        <row r="7">
          <cell r="AI7">
            <v>10000</v>
          </cell>
        </row>
      </sheetData>
      <sheetData sheetId="16294">
        <row r="7">
          <cell r="AI7">
            <v>10000</v>
          </cell>
        </row>
      </sheetData>
      <sheetData sheetId="16295">
        <row r="7">
          <cell r="AI7">
            <v>10000</v>
          </cell>
        </row>
      </sheetData>
      <sheetData sheetId="16296">
        <row r="7">
          <cell r="AI7">
            <v>10000</v>
          </cell>
        </row>
      </sheetData>
      <sheetData sheetId="16297"/>
      <sheetData sheetId="16298"/>
      <sheetData sheetId="16299">
        <row r="7">
          <cell r="AI7">
            <v>10000</v>
          </cell>
        </row>
      </sheetData>
      <sheetData sheetId="16300">
        <row r="7">
          <cell r="AI7">
            <v>10000</v>
          </cell>
        </row>
      </sheetData>
      <sheetData sheetId="16301"/>
      <sheetData sheetId="16302"/>
      <sheetData sheetId="16303"/>
      <sheetData sheetId="16304">
        <row r="7">
          <cell r="AI7">
            <v>10000</v>
          </cell>
        </row>
      </sheetData>
      <sheetData sheetId="16305"/>
      <sheetData sheetId="16306"/>
      <sheetData sheetId="16307">
        <row r="7">
          <cell r="AI7">
            <v>10000</v>
          </cell>
        </row>
      </sheetData>
      <sheetData sheetId="16308">
        <row r="7">
          <cell r="AI7">
            <v>10000</v>
          </cell>
        </row>
      </sheetData>
      <sheetData sheetId="16309">
        <row r="7">
          <cell r="AI7">
            <v>10000</v>
          </cell>
        </row>
      </sheetData>
      <sheetData sheetId="16310"/>
      <sheetData sheetId="16311"/>
      <sheetData sheetId="16312"/>
      <sheetData sheetId="16313"/>
      <sheetData sheetId="16314">
        <row r="7">
          <cell r="AI7">
            <v>10000</v>
          </cell>
        </row>
      </sheetData>
      <sheetData sheetId="16315"/>
      <sheetData sheetId="16316"/>
      <sheetData sheetId="16317"/>
      <sheetData sheetId="16318"/>
      <sheetData sheetId="16319">
        <row r="7">
          <cell r="AI7">
            <v>10000</v>
          </cell>
        </row>
      </sheetData>
      <sheetData sheetId="16320"/>
      <sheetData sheetId="16321"/>
      <sheetData sheetId="16322"/>
      <sheetData sheetId="16323">
        <row r="7">
          <cell r="AI7">
            <v>10000</v>
          </cell>
        </row>
      </sheetData>
      <sheetData sheetId="16324">
        <row r="7">
          <cell r="AI7">
            <v>10000</v>
          </cell>
        </row>
      </sheetData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/>
      <sheetData sheetId="17267" refreshError="1"/>
      <sheetData sheetId="17268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/>
      <sheetData sheetId="17275"/>
      <sheetData sheetId="17276" refreshError="1"/>
      <sheetData sheetId="17277" refreshError="1"/>
      <sheetData sheetId="17278" refreshError="1"/>
      <sheetData sheetId="17279"/>
      <sheetData sheetId="17280"/>
      <sheetData sheetId="17281" refreshError="1"/>
      <sheetData sheetId="17282" refreshError="1"/>
      <sheetData sheetId="17283">
        <row r="7">
          <cell r="AI7">
            <v>10000</v>
          </cell>
        </row>
      </sheetData>
      <sheetData sheetId="17284" refreshError="1"/>
      <sheetData sheetId="17285">
        <row r="7">
          <cell r="AI7">
            <v>10000</v>
          </cell>
        </row>
      </sheetData>
      <sheetData sheetId="17286">
        <row r="7">
          <cell r="AI7">
            <v>10000</v>
          </cell>
        </row>
      </sheetData>
      <sheetData sheetId="17287"/>
      <sheetData sheetId="17288">
        <row r="7">
          <cell r="AI7">
            <v>10000</v>
          </cell>
        </row>
      </sheetData>
      <sheetData sheetId="17289">
        <row r="7">
          <cell r="AI7">
            <v>10000</v>
          </cell>
        </row>
      </sheetData>
      <sheetData sheetId="17290" refreshError="1"/>
      <sheetData sheetId="17291" refreshError="1"/>
      <sheetData sheetId="17292" refreshError="1"/>
      <sheetData sheetId="17293" refreshError="1"/>
      <sheetData sheetId="17294"/>
      <sheetData sheetId="17295" refreshError="1"/>
      <sheetData sheetId="17296" refreshError="1"/>
      <sheetData sheetId="17297"/>
      <sheetData sheetId="17298" refreshError="1"/>
      <sheetData sheetId="17299" refreshError="1"/>
      <sheetData sheetId="17300"/>
      <sheetData sheetId="17301" refreshError="1"/>
      <sheetData sheetId="17302"/>
      <sheetData sheetId="17303" refreshError="1"/>
      <sheetData sheetId="17304"/>
      <sheetData sheetId="17305"/>
      <sheetData sheetId="17306" refreshError="1"/>
      <sheetData sheetId="17307"/>
      <sheetData sheetId="17308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/>
      <sheetData sheetId="17315" refreshError="1"/>
      <sheetData sheetId="17316" refreshError="1"/>
      <sheetData sheetId="17317">
        <row r="7">
          <cell r="AI7">
            <v>10000</v>
          </cell>
        </row>
      </sheetData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/>
      <sheetData sheetId="17326" refreshError="1"/>
      <sheetData sheetId="17327" refreshError="1"/>
      <sheetData sheetId="17328"/>
      <sheetData sheetId="17329" refreshError="1"/>
      <sheetData sheetId="17330"/>
      <sheetData sheetId="17331" refreshError="1"/>
      <sheetData sheetId="17332" refreshError="1"/>
      <sheetData sheetId="17333" refreshError="1"/>
      <sheetData sheetId="17334" refreshError="1"/>
      <sheetData sheetId="17335"/>
      <sheetData sheetId="17336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/>
      <sheetData sheetId="17402" refreshError="1"/>
      <sheetData sheetId="17403"/>
      <sheetData sheetId="17404" refreshError="1"/>
      <sheetData sheetId="17405" refreshError="1"/>
      <sheetData sheetId="17406" refreshError="1"/>
      <sheetData sheetId="17407" refreshError="1"/>
      <sheetData sheetId="17408"/>
      <sheetData sheetId="17409" refreshError="1"/>
      <sheetData sheetId="17410" refreshError="1"/>
      <sheetData sheetId="17411" refreshError="1"/>
      <sheetData sheetId="17412" refreshError="1"/>
      <sheetData sheetId="17413"/>
      <sheetData sheetId="17414"/>
      <sheetData sheetId="17415" refreshError="1"/>
      <sheetData sheetId="17416" refreshError="1"/>
      <sheetData sheetId="17417" refreshError="1"/>
      <sheetData sheetId="17418" refreshError="1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 refreshError="1"/>
      <sheetData sheetId="174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sat"/>
      <sheetName val="ptvt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MAU_A"/>
      <sheetName val="MAU_B"/>
      <sheetName val="MAU_C"/>
      <sheetName val="MAU E -XCD"/>
      <sheetName val="MAU E -TDS1"/>
      <sheetName val="MAU E- NDH"/>
      <sheetName val="Sheet1"/>
      <sheetName val="Sheet2"/>
      <sheetName val="Chart1"/>
      <sheetName val="Chart2"/>
      <sheetName val="Sheet4"/>
      <sheetName val="TINHNEN"/>
      <sheetName val="Nen VN"/>
      <sheetName val="ESTI_"/>
      <sheetName val="DI_ESTI"/>
      <sheetName val="thang 1"/>
      <sheetName val="thang2"/>
      <sheetName val="Thang 3"/>
      <sheetName val="thang5"/>
      <sheetName val="thang4"/>
      <sheetName val="00000001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TA"/>
      <sheetName val="Gia VL"/>
      <sheetName val="Bang luong CB"/>
      <sheetName val="Bang P.tich CT"/>
      <sheetName val="D.toan chi tiet"/>
      <sheetName val="Bang TH Dtoan"/>
      <sheetName val="XXXXXXXX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PTH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THDT"/>
      <sheetName val="THVT"/>
      <sheetName val="THG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g 8"/>
      <sheetName val="Macro1"/>
      <sheetName val="Macro2"/>
      <sheetName val="Macro3"/>
      <sheetName val="THANG 09"/>
      <sheetName val="THANG 10"/>
      <sheetName val="Duong con' vu hcm (8)"/>
      <sheetName val="Qheet3"/>
      <sheetName val="C47-456"/>
      <sheetName val="C46"/>
      <sheetName val="C47-PII"/>
      <sheetName val="TRUC TIEP"/>
      <sheetName val="GIAN TIEP"/>
      <sheetName val="HOP DONG"/>
      <sheetName val="CON LINH"/>
      <sheetName val="km346+00-km346_x000b_240 (2)"/>
      <sheetName val="km342+297._x0015_8-km342+376.41"/>
      <sheetName val="km341+1077 -km34_x0011_+1177.61"/>
      <sheetName val="Bang 聧ia ca may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[RPT.x"/>
      <sheetName val="[RPT.xlsၝCmay"/>
      <sheetName val="Duïng cong vu hcm (13;) (2)"/>
      <sheetName val="Duong cong vu hcm (8;) (:)"/>
      <sheetName val="Duofg cong vu hcm (7;) (2)"/>
      <sheetName val=""/>
      <sheetName val="gVL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 quy I-2005"/>
      <sheetName val="Quy 2- 2005 "/>
      <sheetName val="Quy III- 2005 "/>
      <sheetName val="Quy 4- 2005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N_x0008_AN CONG"/>
      <sheetName val="K251 _x0001_C"/>
      <sheetName val="?? MTL"/>
      <sheetName val="?? DI"/>
      <sheetName val="tienluon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Duong cong vu hcm (¶)"/>
      <sheetName val="thang6"/>
      <sheetName val="Sheet5"/>
      <sheetName val="Sheet6"/>
      <sheetName val="刃割 MTL"/>
      <sheetName val="giamay"/>
      <sheetName val="XL²t5"/>
      <sheetName val="Ë261"/>
      <sheetName val="K261Base"/>
      <sheetName val="K2_x0016_1 AC"/>
      <sheetName val="CON(LINH"/>
      <sheetName val="CHEKe VLCHINH"/>
      <sheetName val="K5_x0001_ @9_x0008_"/>
      <sheetName val="soktmay"/>
      <sheetName val="切割 MၔL"/>
      <sheetName val="K2_x0015_1 AC"/>
      <sheetName val="km342+520-km342+690 (2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km338+00-km33Oé100(2)"/>
      <sheetName val="Bang ?ia ca may"/>
      <sheetName val="[RPT.xls?Cmay"/>
      <sheetName val="km345+400-km345ÿÿ00 (6)"/>
      <sheetName val="Con'ty"/>
      <sheetName val="Thuc thanh"/>
      <sheetName val="GTXLC@INH"/>
      <sheetName val="Ho=Ðdong giao khoan"/>
      <sheetName val="切割 II"/>
      <sheetName val="959 K98"/>
      <sheetName val="Mau so 04 TFDN"/>
      <sheetName val="TSO_CHUNG"/>
      <sheetName val="Duong cog vu hcm (4)"/>
      <sheetName val="K219 Subbase"/>
      <sheetName val="Duong cojg vu hcm (13;) (2)"/>
      <sheetName val="m361 Base"/>
      <sheetName val="DG1kSAT"/>
      <sheetName val="May no"/>
      <sheetName val="Sua chua "/>
      <sheetName val="BC luan chuyen"/>
      <sheetName val="_x0010_pЁ"/>
      <sheetName val="K259†Base "/>
      <sheetName val="_x0010_p?Ё"/>
      <sheetName val="K251 K)8"/>
      <sheetName val="?"/>
      <sheetName val="cot_xa"/>
      <sheetName val="Quet rac"/>
      <sheetName val="Thang"/>
      <sheetName val="T1"/>
      <sheetName val="T2"/>
      <sheetName val="T3"/>
      <sheetName val="T4"/>
      <sheetName val="k-337+533.60-km338 (2)"/>
      <sheetName val="km341+275-km341)350"/>
      <sheetName val="Don gia"/>
      <sheetName val="chi tiet z"/>
      <sheetName val="000000000000"/>
      <sheetName val="100000000000"/>
      <sheetName val="200000000000"/>
      <sheetName val="300000000000"/>
      <sheetName val="400000000000"/>
      <sheetName val="C²iet TK131"/>
      <sheetName val="Bang ke T.toan`"/>
      <sheetName val="K261?Base"/>
      <sheetName val="XL²??t5"/>
      <sheetName val="K?5_x0001_ @9_x0008_"/>
      <sheetName val="km337+136-km33×¶350"/>
      <sheetName val="km337+136-km337ý350"/>
      <sheetName val="nghiviecQ402"/>
      <sheetName val="nhansu_phong"/>
      <sheetName val="dieudong2003"/>
      <sheetName val="lylich03"/>
      <sheetName val="bdns02"/>
      <sheetName val="bdns03"/>
      <sheetName val="PET-NB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TH9"/>
      <sheetName val="TH12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CTA NCS cond.2012"/>
      <sheetName val="TCT DIEN LUC (EVN)"/>
      <sheetName val="415"/>
      <sheetName val="511.BT"/>
      <sheetName val="631.BT"/>
      <sheetName val="NKSC1"/>
      <sheetName val="CDKT"/>
      <sheetName val="BCDTCP"/>
      <sheetName val="KEM NGHIEN GIA CONG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rptDSTHEOTUNGNVVATUNGKHchitiet"/>
      <sheetName val="rptHangHoaNhapXuatTonTuNgayDenN"/>
      <sheetName val="Outlets"/>
      <sheetName val="PGs"/>
      <sheetName val="Cto"/>
      <sheetName val="B×a QTo¸n"/>
      <sheetName val="TDuyÖt QT "/>
      <sheetName val="B×a QTo¸n "/>
      <sheetName val="TMQT"/>
      <sheetName val="THQTo¸n"/>
      <sheetName val="TH.HangMuc"/>
      <sheetName val="NC«ng "/>
      <sheetName val="VËt t­ "/>
      <sheetName val="ThÝ nghiÖm "/>
      <sheetName val="THVT­ "/>
      <sheetName val="Thèng Kª nghiÖm thu"/>
      <sheetName val="VChuyÓn "/>
      <sheetName val="QT Thu håi "/>
      <sheetName val="Thu håi B3 "/>
      <sheetName val="Thu håi B4  "/>
      <sheetName val="Thu håi Õ"/>
      <sheetName val="BB¶n ®gi¸ VTThu håi "/>
      <sheetName val="CaM¸y "/>
      <sheetName val="BB"/>
      <sheetName val="BB¶n"/>
      <sheetName val="BVe Duoica 2"/>
      <sheetName val="BVe 242 MK"/>
      <sheetName val="BVe LTam-6"/>
      <sheetName val="특외대"/>
      <sheetName val="SILICATE"/>
      <sheetName val="Main"/>
      <sheetName val="Reference"/>
      <sheetName val="general"/>
      <sheetName val="_x0010_p?"/>
      <sheetName val="K259Base "/>
      <sheetName val="_x0010_p??"/>
      <sheetName val="Duong co?g vu hcm (4)"/>
      <sheetName val="Disch"/>
      <sheetName val="Pack"/>
      <sheetName val="Delivery"/>
      <sheetName val="M50"/>
      <sheetName val="M48"/>
      <sheetName val="M45"/>
      <sheetName val="M38"/>
      <sheetName val="D.Order"/>
      <sheetName val="Report.Delivery"/>
      <sheetName val="Monthly"/>
      <sheetName val="DMTK"/>
      <sheetName val="Corporate"/>
      <sheetName val="Quantity"/>
      <sheetName val="_RPT.x"/>
      <sheetName val="Du a. nut Nam cau Tlong"/>
      <sheetName val="km338+00-km338+100,2)"/>
      <sheetName val="km″42+297.58-km342+376.41"/>
      <sheetName val="Sheet04"/>
      <sheetName val="D"/>
      <sheetName val="_x0010_p"/>
      <sheetName val="ÇÐ¸î MTL"/>
      <sheetName val="ÇÐ¸î DI"/>
      <sheetName val="¤Á³Î MTL"/>
      <sheetName val="¤Á³Î DI"/>
      <sheetName val="km341+1077 -km341+1!77.61"/>
      <sheetName val="km3;7+00-km337+34 (3)"/>
      <sheetName val="Duong cong vu hcm`(2)"/>
      <sheetName val="Duong cong vuhcm (9)"/>
      <sheetName val="Duong cong vuhcm (4;) (2)"/>
      <sheetName val="Duong cong ve hcm (6)"/>
      <sheetName val="Duong colg vu hcm (3)"/>
      <sheetName val="Duong cnng vu hcm (7;) (2)"/>
      <sheetName val="Duong cong vu hcm(Lmat;0)!(2)"/>
      <sheetName val="CTduo~g"/>
      <sheetName val="km345+661-km345;000"/>
      <sheetName val="TNHCHINH"/>
      <sheetName val="Macro2뻰Ŏ_x0004_뱤ŏ"/>
      <sheetName val="PNT-QUOT-#3"/>
      <sheetName val="COAT&amp;WRAP-QIOT-#3"/>
      <sheetName val="NEW-PANEL"/>
      <sheetName val="Overhead &amp; Profit B-1"/>
      <sheetName val="B-2  (DPP)"/>
      <sheetName val="RP 14E Table"/>
      <sheetName val="AG"/>
      <sheetName val="Guidelines"/>
      <sheetName val="b1"/>
      <sheetName val="2.. (2)"/>
      <sheetName val="Callout"/>
      <sheetName val="MTO REV.0"/>
      <sheetName val="предприятия"/>
      <sheetName val="ЦФО"/>
      <sheetName val="LIGHTING &amp; GROUNDING"/>
      <sheetName val="[RPT.xls]Duong cong vu hcm (8;)"/>
      <sheetName val="T HOP"/>
      <sheetName val="LONG"/>
      <sheetName val="HAI"/>
      <sheetName val="HIEP"/>
      <sheetName val="TUAN"/>
      <sheetName val="nguyen"/>
      <sheetName val="VE"/>
      <sheetName val="VU"/>
      <sheetName val="LUAN"/>
      <sheetName val="HIEN&gt;"/>
      <sheetName val="HIEN"/>
      <sheetName val="PHU"/>
      <sheetName val="CHAN"/>
      <sheetName val="BANBGIAO"/>
      <sheetName val="DLIEU"/>
      <sheetName val="GOC"/>
      <sheetName val="Son"/>
      <sheetName val="MAIN GATE HOUSE"/>
      <sheetName val="Schedule"/>
      <sheetName val="MMTB"/>
      <sheetName val="DGNC"/>
      <sheetName val="F04-CPNC"/>
      <sheetName val="F05-CFVT"/>
      <sheetName val="VLP"/>
      <sheetName val="PVGC"/>
      <sheetName val="T03-02"/>
      <sheetName val="T02-02"/>
      <sheetName val="Mau"/>
      <sheetName val="切割_MTL"/>
      <sheetName val="切割_DI"/>
      <sheetName val="LM"/>
      <sheetName val="NSL"/>
      <sheetName val="切割_MTL1"/>
      <sheetName val="切割_DI1"/>
      <sheetName val="ESTI_1"/>
      <sheetName val="C²??iet TK131"/>
      <sheetName val="Dir01"/>
      <sheetName val="chamcongDHbo"/>
      <sheetName val="1-TH"/>
      <sheetName val="thang lương"/>
      <sheetName val="vs"/>
      <sheetName val="DTCP NB"/>
      <sheetName val="Duong co"/>
      <sheetName val="XL²"/>
      <sheetName val="K"/>
      <sheetName val="C²"/>
      <sheetName val="Duong cong vu"/>
      <sheetName val="Duong cong vu hcm(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m342+520-km342+690 (2_x0009_"/>
      <sheetName val="WUA"/>
      <sheetName val="_RPT.xlsၝCmay"/>
      <sheetName val="TRUC TI"/>
      <sheetName val="Ў`"/>
      <sheetName val="chitiet"/>
      <sheetName val="Thang??"/>
      <sheetName val="?? M?L"/>
      <sheetName val="?? II"/>
      <sheetName val="ctTBA"/>
      <sheetName val="MCY"/>
      <sheetName val="Eau so 04 TNDN"/>
      <sheetName val="LME"/>
      <sheetName val="GDXLCHINH"/>
      <sheetName val="CT 13!"/>
      <sheetName val="Du an n5t Nam cau Tlong"/>
      <sheetName val="_x0000_"/>
      <sheetName val="K261_x0000_Base"/>
      <sheetName val="K_x0000_5_x0001_ @9_x0008_"/>
      <sheetName val="Duong co_x0000_g vu hcm (4)"/>
      <sheetName val="Thang_x0000__x0000_"/>
      <sheetName val="_x0010_p_x0000_?"/>
      <sheetName val="Duong cong vu_x0000_hcm (9)"/>
      <sheetName val="Duong cong vu_x0000_hcm (4;) (2)"/>
      <sheetName val="Duong cong vu hcm(_x0000_Lmat;0)!(2)"/>
      <sheetName val="Duong cong vu hcm (8;) (_)"/>
      <sheetName val="Bang _ia ca may"/>
      <sheetName val="_RPT.xls_Cmay"/>
      <sheetName val="_x0010_p_Ё"/>
      <sheetName val="_"/>
      <sheetName val="K261_Base"/>
      <sheetName val="XL²__t5"/>
      <sheetName val="K_5_x0001_ @9_x0008_"/>
      <sheetName val="Dq/ng kim lien 0 cho dua"/>
      <sheetName val="Du an KDDC Nam trung yen"/>
      <sheetName val="TK 342 ( thue T.C !"/>
      <sheetName val="T_x000b_153"/>
      <sheetName val="䈇割 DI"/>
      <sheetName val="T_x0008_OP-KL"/>
      <sheetName val="DG%KSAT"/>
      <sheetName val="QUAN CHóE"/>
      <sheetName val="TIEP LAI CHAU"/>
      <sheetName val="AANH NGAN"/>
      <sheetName val="LIEN DA"/>
      <sheetName val="HAO DIUEN CHAU"/>
      <sheetName val="n"/>
      <sheetName val="KHANH LAN"/>
      <sheetName val="TRUONG HA NAM"/>
      <sheetName val="TOAN GIALAI"/>
      <sheetName val="TUAN LINH"/>
      <sheetName val="HUE FU XUYEN"/>
      <sheetName val="LONG TUYET"/>
      <sheetName val="NGAN CANH"/>
      <sheetName val="DoNG"/>
      <sheetName val="km342+:97.58-km342+376.41"/>
      <sheetName val="Duong cong vu hcm"/>
      <sheetName val="CHENH VLCHIOH"/>
      <sheetName val="Äongnai"/>
      <sheetName val="CtinhCÔ"/>
      <sheetName val="DG CAU"/>
      <sheetName val="DAKT±"/>
      <sheetName val="切割_MTL2"/>
      <sheetName val="切割_DI2"/>
      <sheetName val="ESTI_2"/>
      <sheetName val="切割_MTL3"/>
      <sheetName val="切割_DI3"/>
      <sheetName val="ESTI_3"/>
      <sheetName val="TiÕn ®é thùc hiÖn KC"/>
      <sheetName val="2.74"/>
      <sheetName val="7 THAI NGUYEN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>
            <v>2</v>
          </cell>
          <cell r="B7">
            <v>0.75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</v>
          </cell>
          <cell r="B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4</v>
          </cell>
          <cell r="B9">
            <v>1.5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5</v>
          </cell>
          <cell r="B10">
            <v>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6</v>
          </cell>
          <cell r="B11">
            <v>2.5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7</v>
          </cell>
          <cell r="B12">
            <v>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8</v>
          </cell>
          <cell r="B13">
            <v>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9</v>
          </cell>
          <cell r="B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10</v>
          </cell>
          <cell r="B15">
            <v>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11</v>
          </cell>
          <cell r="B16">
            <v>8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12</v>
          </cell>
          <cell r="B17">
            <v>10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13</v>
          </cell>
          <cell r="B18">
            <v>12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14</v>
          </cell>
          <cell r="B19">
            <v>14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15</v>
          </cell>
          <cell r="B20">
            <v>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16</v>
          </cell>
          <cell r="B21">
            <v>18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17</v>
          </cell>
          <cell r="B22">
            <v>20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18</v>
          </cell>
          <cell r="B23">
            <v>22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19</v>
          </cell>
          <cell r="B24">
            <v>24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>
            <v>20</v>
          </cell>
          <cell r="B25">
            <v>26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21</v>
          </cell>
          <cell r="B26">
            <v>28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22</v>
          </cell>
          <cell r="B27">
            <v>30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>
            <v>23</v>
          </cell>
          <cell r="B28">
            <v>32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24</v>
          </cell>
          <cell r="B29">
            <v>34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>
            <v>25</v>
          </cell>
          <cell r="B30">
            <v>36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26</v>
          </cell>
          <cell r="B31">
            <v>38</v>
          </cell>
          <cell r="C31">
            <v>6</v>
          </cell>
          <cell r="D31">
            <v>2.77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27</v>
          </cell>
          <cell r="B32">
            <v>40</v>
          </cell>
          <cell r="C32">
            <v>8</v>
          </cell>
          <cell r="D32">
            <v>2.77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A33">
            <v>28</v>
          </cell>
          <cell r="B33">
            <v>42</v>
          </cell>
          <cell r="C33">
            <v>10</v>
          </cell>
          <cell r="D33">
            <v>3.4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A34">
            <v>29</v>
          </cell>
          <cell r="B34">
            <v>44</v>
          </cell>
          <cell r="C34">
            <v>12</v>
          </cell>
          <cell r="D34">
            <v>3.96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30</v>
          </cell>
          <cell r="B35">
            <v>46</v>
          </cell>
          <cell r="C35">
            <v>14</v>
          </cell>
          <cell r="D35">
            <v>3.96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31</v>
          </cell>
          <cell r="B36">
            <v>48</v>
          </cell>
          <cell r="C36">
            <v>16</v>
          </cell>
          <cell r="D36">
            <v>4.1900000000000004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32</v>
          </cell>
          <cell r="B37">
            <v>52</v>
          </cell>
          <cell r="C37">
            <v>18</v>
          </cell>
          <cell r="D37">
            <v>4.1900000000000004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>
            <v>33</v>
          </cell>
          <cell r="B38">
            <v>56</v>
          </cell>
          <cell r="C38">
            <v>20</v>
          </cell>
          <cell r="D38">
            <v>4.78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A39">
            <v>34</v>
          </cell>
          <cell r="B39">
            <v>60</v>
          </cell>
          <cell r="C39">
            <v>22</v>
          </cell>
          <cell r="D39">
            <v>4.78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A40">
            <v>35</v>
          </cell>
          <cell r="B40">
            <v>64</v>
          </cell>
          <cell r="C40">
            <v>24</v>
          </cell>
          <cell r="D40">
            <v>5.54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A41">
            <v>36</v>
          </cell>
          <cell r="B41">
            <v>68</v>
          </cell>
          <cell r="C41">
            <v>30</v>
          </cell>
          <cell r="D41">
            <v>6.35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37</v>
          </cell>
          <cell r="B42">
            <v>72</v>
          </cell>
          <cell r="C42">
            <v>14</v>
          </cell>
          <cell r="D42">
            <v>6.35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A43">
            <v>38</v>
          </cell>
          <cell r="B43">
            <v>76</v>
          </cell>
          <cell r="C43">
            <v>16</v>
          </cell>
          <cell r="D43">
            <v>6.35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39</v>
          </cell>
          <cell r="B44">
            <v>80</v>
          </cell>
          <cell r="C44">
            <v>18</v>
          </cell>
          <cell r="D44">
            <v>6.35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 t="str">
            <v>AVE.</v>
          </cell>
          <cell r="B45">
            <v>0</v>
          </cell>
          <cell r="C45">
            <v>20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 t="str">
            <v>Fc = 0.25  Utility Supply Lines, OSBL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 t="str">
            <v xml:space="preserve">   By William B. Hooper , Monsanto Co.</v>
          </cell>
          <cell r="E48">
            <v>1</v>
          </cell>
          <cell r="I48">
            <v>2.64</v>
          </cell>
          <cell r="J48">
            <v>4.8600000000000003</v>
          </cell>
          <cell r="K48" t="str">
            <v xml:space="preserve">        (PIPE JOINT FACTOR Fp = 100%)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 t="str">
            <v>Fc = 0.50  Long, Straight Piping Run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 t="str">
            <v xml:space="preserve">        (PIPE JOINT FACTOR Fp = 100%)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 t="str">
            <v>Fc = 1.00  Normal Piping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 t="str">
            <v xml:space="preserve">        (PIPE JOINT FACTOR Fp = 10%)</v>
          </cell>
          <cell r="P52">
            <v>12</v>
          </cell>
        </row>
      </sheetData>
      <sheetData sheetId="3">
        <row r="8">
          <cell r="A8">
            <v>3</v>
          </cell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0</v>
          </cell>
          <cell r="R9">
            <v>0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7.0000000000000007E-2</v>
          </cell>
          <cell r="G10">
            <v>0</v>
          </cell>
          <cell r="H10">
            <v>7.0000000000000007E-2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  <cell r="Q11">
            <v>0</v>
          </cell>
          <cell r="R11">
            <v>0</v>
          </cell>
        </row>
        <row r="12">
          <cell r="A12">
            <v>7</v>
          </cell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  <cell r="Q12">
            <v>0</v>
          </cell>
          <cell r="R12">
            <v>0</v>
          </cell>
        </row>
        <row r="13">
          <cell r="A13">
            <v>8</v>
          </cell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  <cell r="Q13">
            <v>0</v>
          </cell>
          <cell r="R13">
            <v>0</v>
          </cell>
        </row>
        <row r="14">
          <cell r="A14">
            <v>9</v>
          </cell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</row>
        <row r="15">
          <cell r="A15">
            <v>10</v>
          </cell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0</v>
          </cell>
          <cell r="R16">
            <v>0</v>
          </cell>
        </row>
        <row r="17">
          <cell r="A17">
            <v>12</v>
          </cell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0</v>
          </cell>
          <cell r="R18">
            <v>0</v>
          </cell>
        </row>
        <row r="19">
          <cell r="A19">
            <v>14</v>
          </cell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0</v>
          </cell>
          <cell r="R19">
            <v>0</v>
          </cell>
        </row>
        <row r="20">
          <cell r="A20">
            <v>15</v>
          </cell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0</v>
          </cell>
          <cell r="R20">
            <v>0</v>
          </cell>
        </row>
        <row r="21">
          <cell r="A21">
            <v>16</v>
          </cell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</row>
        <row r="22">
          <cell r="A22">
            <v>17</v>
          </cell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0</v>
          </cell>
          <cell r="R22">
            <v>0</v>
          </cell>
        </row>
        <row r="23">
          <cell r="A23">
            <v>18</v>
          </cell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0</v>
          </cell>
          <cell r="R23">
            <v>0</v>
          </cell>
        </row>
        <row r="24">
          <cell r="A24">
            <v>19</v>
          </cell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0</v>
          </cell>
          <cell r="R25">
            <v>0</v>
          </cell>
        </row>
        <row r="26">
          <cell r="A26">
            <v>21</v>
          </cell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</row>
        <row r="27">
          <cell r="A27">
            <v>22</v>
          </cell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  <cell r="R30">
            <v>0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0.45</v>
          </cell>
          <cell r="G31">
            <v>0</v>
          </cell>
          <cell r="H31">
            <v>0.45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</row>
        <row r="32">
          <cell r="A32">
            <v>27</v>
          </cell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  <cell r="Q32">
            <v>0</v>
          </cell>
          <cell r="R32">
            <v>0</v>
          </cell>
        </row>
        <row r="33">
          <cell r="A33">
            <v>28</v>
          </cell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  <cell r="Q33">
            <v>0</v>
          </cell>
          <cell r="R33">
            <v>0</v>
          </cell>
        </row>
        <row r="34">
          <cell r="A34">
            <v>29</v>
          </cell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</row>
        <row r="35">
          <cell r="A35">
            <v>30</v>
          </cell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0</v>
          </cell>
        </row>
        <row r="37">
          <cell r="A37">
            <v>32</v>
          </cell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0</v>
          </cell>
          <cell r="R37">
            <v>0</v>
          </cell>
        </row>
        <row r="38">
          <cell r="A38">
            <v>33</v>
          </cell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  <cell r="Q38">
            <v>0</v>
          </cell>
          <cell r="R38">
            <v>0</v>
          </cell>
        </row>
        <row r="39">
          <cell r="A39">
            <v>34</v>
          </cell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  <cell r="Q39">
            <v>0</v>
          </cell>
          <cell r="R39">
            <v>0</v>
          </cell>
        </row>
        <row r="40">
          <cell r="A40">
            <v>35</v>
          </cell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  <cell r="Q40">
            <v>0</v>
          </cell>
          <cell r="R40">
            <v>0</v>
          </cell>
        </row>
        <row r="41">
          <cell r="A41">
            <v>36</v>
          </cell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  <cell r="Q41">
            <v>0</v>
          </cell>
          <cell r="R41">
            <v>0</v>
          </cell>
        </row>
        <row r="42">
          <cell r="A42">
            <v>37</v>
          </cell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  <cell r="Q42">
            <v>0</v>
          </cell>
          <cell r="R42">
            <v>0</v>
          </cell>
        </row>
        <row r="43">
          <cell r="A43">
            <v>38</v>
          </cell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</row>
        <row r="44">
          <cell r="A44">
            <v>39</v>
          </cell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</row>
        <row r="45">
          <cell r="A45" t="str">
            <v>AVE.</v>
          </cell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  <cell r="Q45">
            <v>0</v>
          </cell>
          <cell r="R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2.23</v>
          </cell>
          <cell r="G46">
            <v>2.27</v>
          </cell>
          <cell r="H46">
            <v>4.5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2.64</v>
          </cell>
          <cell r="G48">
            <v>4.8600000000000003</v>
          </cell>
          <cell r="H48">
            <v>7.5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2.84</v>
          </cell>
          <cell r="G49">
            <v>5.26</v>
          </cell>
          <cell r="H49">
            <v>8.1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  <cell r="Q52">
            <v>0</v>
          </cell>
          <cell r="R52">
            <v>0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3.65</v>
          </cell>
          <cell r="G53">
            <v>6.84</v>
          </cell>
          <cell r="H53">
            <v>10.49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7.0000000000000007E-2</v>
          </cell>
          <cell r="G54">
            <v>7.0000000000000007E-2</v>
          </cell>
          <cell r="H54">
            <v>2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7.0000000000000007E-2</v>
          </cell>
          <cell r="G55">
            <v>7.0000000000000007E-2</v>
          </cell>
          <cell r="H55">
            <v>2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7.0000000000000007E-2</v>
          </cell>
          <cell r="G56">
            <v>7.0000000000000007E-2</v>
          </cell>
          <cell r="H56">
            <v>2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7.0000000000000007E-2</v>
          </cell>
          <cell r="G57">
            <v>7.0000000000000007E-2</v>
          </cell>
          <cell r="H57">
            <v>2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7.0000000000000007E-2</v>
          </cell>
          <cell r="G58">
            <v>7.0000000000000007E-2</v>
          </cell>
          <cell r="H58">
            <v>2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7.0000000000000007E-2</v>
          </cell>
          <cell r="G59">
            <v>7.0000000000000007E-2</v>
          </cell>
          <cell r="H59">
            <v>2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7.0000000000000007E-2</v>
          </cell>
          <cell r="G60">
            <v>0</v>
          </cell>
          <cell r="H60">
            <v>7.0000000000000007E-2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7.0000000000000007E-2</v>
          </cell>
          <cell r="G61">
            <v>0</v>
          </cell>
          <cell r="H61">
            <v>7.0000000000000007E-2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7.0000000000000007E-2</v>
          </cell>
          <cell r="G62">
            <v>0</v>
          </cell>
          <cell r="H62">
            <v>7.0000000000000007E-2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7.0000000000000007E-2</v>
          </cell>
          <cell r="G63">
            <v>0</v>
          </cell>
          <cell r="H63">
            <v>7.0000000000000007E-2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7.0000000000000007E-2</v>
          </cell>
          <cell r="G64">
            <v>0</v>
          </cell>
          <cell r="H64">
            <v>7.0000000000000007E-2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7.0000000000000007E-2</v>
          </cell>
          <cell r="G65">
            <v>0</v>
          </cell>
          <cell r="H65">
            <v>7.0000000000000007E-2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7.0000000000000007E-2</v>
          </cell>
          <cell r="G66">
            <v>0</v>
          </cell>
          <cell r="H66">
            <v>7.0000000000000007E-2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7.0000000000000007E-2</v>
          </cell>
          <cell r="G67">
            <v>0</v>
          </cell>
          <cell r="H67">
            <v>7.0000000000000007E-2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7.0000000000000007E-2</v>
          </cell>
          <cell r="G68">
            <v>0</v>
          </cell>
          <cell r="H68">
            <v>7.0000000000000007E-2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0.12</v>
          </cell>
          <cell r="G69">
            <v>0</v>
          </cell>
          <cell r="H69">
            <v>0.12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0.12</v>
          </cell>
          <cell r="G70">
            <v>0</v>
          </cell>
          <cell r="H70">
            <v>0.12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0.12</v>
          </cell>
          <cell r="G71">
            <v>0</v>
          </cell>
          <cell r="H71">
            <v>0.12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0.15</v>
          </cell>
          <cell r="G72">
            <v>0.15</v>
          </cell>
          <cell r="H72">
            <v>2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0.15</v>
          </cell>
          <cell r="G73">
            <v>0.15</v>
          </cell>
          <cell r="H73">
            <v>2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0</v>
          </cell>
          <cell r="R73">
            <v>0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0.15</v>
          </cell>
          <cell r="G74">
            <v>0.15</v>
          </cell>
          <cell r="H74">
            <v>2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0.15</v>
          </cell>
          <cell r="G75">
            <v>0</v>
          </cell>
          <cell r="H75">
            <v>0.15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0.15</v>
          </cell>
          <cell r="G76">
            <v>0</v>
          </cell>
          <cell r="H76">
            <v>0.15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0.15</v>
          </cell>
          <cell r="G77">
            <v>0</v>
          </cell>
          <cell r="H77">
            <v>0.15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0.15</v>
          </cell>
          <cell r="G78">
            <v>0</v>
          </cell>
          <cell r="H78">
            <v>0.15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0.15</v>
          </cell>
          <cell r="G79">
            <v>0</v>
          </cell>
          <cell r="H79">
            <v>0.15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0.15</v>
          </cell>
          <cell r="G80">
            <v>0</v>
          </cell>
          <cell r="H80">
            <v>0.15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0.15</v>
          </cell>
          <cell r="G81">
            <v>0</v>
          </cell>
          <cell r="H81">
            <v>0.15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0.3</v>
          </cell>
          <cell r="G82">
            <v>0</v>
          </cell>
          <cell r="H82">
            <v>0.3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0.3</v>
          </cell>
          <cell r="G83">
            <v>0.3</v>
          </cell>
          <cell r="H83">
            <v>3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0.45</v>
          </cell>
          <cell r="G84">
            <v>0</v>
          </cell>
          <cell r="H84">
            <v>0.45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0.45</v>
          </cell>
          <cell r="G85">
            <v>0.45</v>
          </cell>
          <cell r="H85">
            <v>4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0.6</v>
          </cell>
          <cell r="G86">
            <v>0</v>
          </cell>
          <cell r="H86">
            <v>0.6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0.6</v>
          </cell>
          <cell r="G87">
            <v>0</v>
          </cell>
          <cell r="H87">
            <v>0.6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1.2</v>
          </cell>
          <cell r="G88">
            <v>0</v>
          </cell>
          <cell r="H88">
            <v>1.2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1.5</v>
          </cell>
          <cell r="G89">
            <v>0</v>
          </cell>
          <cell r="H89">
            <v>1.5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1.95</v>
          </cell>
          <cell r="G91">
            <v>0</v>
          </cell>
          <cell r="H91">
            <v>1.95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2.25</v>
          </cell>
          <cell r="G92">
            <v>0</v>
          </cell>
          <cell r="H92">
            <v>2.25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2.0299999999999998</v>
          </cell>
          <cell r="G93">
            <v>1.1200000000000001</v>
          </cell>
          <cell r="H93">
            <v>3.15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2.23</v>
          </cell>
          <cell r="G94">
            <v>1.37</v>
          </cell>
          <cell r="H94">
            <v>3.6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2.4300000000000002</v>
          </cell>
          <cell r="G95">
            <v>2.0699999999999998</v>
          </cell>
          <cell r="H95">
            <v>4.5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3.04</v>
          </cell>
          <cell r="G96">
            <v>5.66</v>
          </cell>
          <cell r="H96">
            <v>8.6999999999999993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0.81</v>
          </cell>
          <cell r="G97">
            <v>0.99</v>
          </cell>
          <cell r="H97">
            <v>1.8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1.01</v>
          </cell>
          <cell r="G98">
            <v>1.0900000000000001</v>
          </cell>
          <cell r="H98">
            <v>2.1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1.22</v>
          </cell>
          <cell r="G99">
            <v>1.32</v>
          </cell>
          <cell r="H99">
            <v>2.54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1.42</v>
          </cell>
          <cell r="G100">
            <v>2.48</v>
          </cell>
          <cell r="H100">
            <v>3.9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1.62</v>
          </cell>
          <cell r="G101">
            <v>2.73</v>
          </cell>
          <cell r="H101">
            <v>4.3499999999999996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1.82</v>
          </cell>
          <cell r="G102">
            <v>3.12</v>
          </cell>
          <cell r="H102">
            <v>4.9400000000000004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2.0299999999999998</v>
          </cell>
          <cell r="G103">
            <v>5.47</v>
          </cell>
          <cell r="H103">
            <v>7.5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2.23</v>
          </cell>
          <cell r="G104">
            <v>6.47</v>
          </cell>
          <cell r="H104">
            <v>8.6999999999999993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2.4300000000000002</v>
          </cell>
          <cell r="G105">
            <v>6.57</v>
          </cell>
          <cell r="H105">
            <v>9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2.64</v>
          </cell>
          <cell r="G106">
            <v>13.86</v>
          </cell>
          <cell r="H106">
            <v>16.5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2.84</v>
          </cell>
          <cell r="G107">
            <v>15.16</v>
          </cell>
          <cell r="H107">
            <v>18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3.04</v>
          </cell>
          <cell r="G108">
            <v>16.45</v>
          </cell>
          <cell r="H108">
            <v>19.489999999999998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3.24</v>
          </cell>
          <cell r="G109">
            <v>17.75</v>
          </cell>
          <cell r="H109">
            <v>20.990000000000002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3.45</v>
          </cell>
          <cell r="G110">
            <v>18.54</v>
          </cell>
          <cell r="H110">
            <v>21.99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3.65</v>
          </cell>
          <cell r="G111">
            <v>18.84</v>
          </cell>
          <cell r="H111">
            <v>22.49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0.81</v>
          </cell>
          <cell r="G112">
            <v>1.1399999999999999</v>
          </cell>
          <cell r="H112">
            <v>1.95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1.01</v>
          </cell>
          <cell r="G113">
            <v>1.99</v>
          </cell>
          <cell r="H113">
            <v>3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  <cell r="Q113">
            <v>0</v>
          </cell>
          <cell r="R113">
            <v>0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1.22</v>
          </cell>
          <cell r="G114">
            <v>2.68</v>
          </cell>
          <cell r="H114">
            <v>3.9000000000000004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1.42</v>
          </cell>
          <cell r="G115">
            <v>3.97</v>
          </cell>
          <cell r="H115">
            <v>5.3900000000000006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1.62</v>
          </cell>
          <cell r="G116">
            <v>4.68</v>
          </cell>
          <cell r="H116">
            <v>6.3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1.82</v>
          </cell>
          <cell r="G117">
            <v>6.88</v>
          </cell>
          <cell r="H117">
            <v>8.6999999999999993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2.0299999999999998</v>
          </cell>
          <cell r="G118">
            <v>10.42</v>
          </cell>
          <cell r="H118">
            <v>12.45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2.23</v>
          </cell>
          <cell r="G119">
            <v>11.72</v>
          </cell>
          <cell r="H119">
            <v>13.950000000000001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2.4300000000000002</v>
          </cell>
          <cell r="G120">
            <v>15.57</v>
          </cell>
          <cell r="H120">
            <v>18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2.84</v>
          </cell>
          <cell r="G121">
            <v>22.65</v>
          </cell>
          <cell r="H121">
            <v>25.49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3.04</v>
          </cell>
          <cell r="G122">
            <v>23.96</v>
          </cell>
          <cell r="H122">
            <v>27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3.24</v>
          </cell>
          <cell r="G123">
            <v>26.76</v>
          </cell>
          <cell r="H123">
            <v>30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3.45</v>
          </cell>
          <cell r="G124">
            <v>28.05</v>
          </cell>
          <cell r="H124">
            <v>31.5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3.65</v>
          </cell>
          <cell r="G125">
            <v>29.35</v>
          </cell>
          <cell r="H125">
            <v>33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7.0000000000000007E-2</v>
          </cell>
          <cell r="G126">
            <v>7.0000000000000007E-2</v>
          </cell>
          <cell r="H126">
            <v>2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7.0000000000000007E-2</v>
          </cell>
          <cell r="G127">
            <v>7.0000000000000007E-2</v>
          </cell>
          <cell r="H127">
            <v>2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7.0000000000000007E-2</v>
          </cell>
          <cell r="G128">
            <v>7.0000000000000007E-2</v>
          </cell>
          <cell r="H128">
            <v>2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7.0000000000000007E-2</v>
          </cell>
          <cell r="G129">
            <v>7.0000000000000007E-2</v>
          </cell>
          <cell r="H129">
            <v>2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7.0000000000000007E-2</v>
          </cell>
          <cell r="G131">
            <v>7.0000000000000007E-2</v>
          </cell>
          <cell r="H131">
            <v>2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7.0000000000000007E-2</v>
          </cell>
          <cell r="G132">
            <v>0</v>
          </cell>
          <cell r="H132">
            <v>7.0000000000000007E-2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7.0000000000000007E-2</v>
          </cell>
          <cell r="G133">
            <v>0</v>
          </cell>
          <cell r="H133">
            <v>7.0000000000000007E-2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7.0000000000000007E-2</v>
          </cell>
          <cell r="G134">
            <v>0</v>
          </cell>
          <cell r="H134">
            <v>7.0000000000000007E-2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7.0000000000000007E-2</v>
          </cell>
          <cell r="G135">
            <v>0</v>
          </cell>
          <cell r="H135">
            <v>7.0000000000000007E-2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7.0000000000000007E-2</v>
          </cell>
          <cell r="G136">
            <v>0</v>
          </cell>
          <cell r="H136">
            <v>7.0000000000000007E-2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7.0000000000000007E-2</v>
          </cell>
          <cell r="G137">
            <v>0</v>
          </cell>
          <cell r="H137">
            <v>7.0000000000000007E-2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7.0000000000000007E-2</v>
          </cell>
          <cell r="G138">
            <v>0</v>
          </cell>
          <cell r="H138">
            <v>7.0000000000000007E-2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7.0000000000000007E-2</v>
          </cell>
          <cell r="G139">
            <v>0</v>
          </cell>
          <cell r="H139">
            <v>7.0000000000000007E-2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7.0000000000000007E-2</v>
          </cell>
          <cell r="G140">
            <v>0</v>
          </cell>
          <cell r="H140">
            <v>7.0000000000000007E-2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0.12</v>
          </cell>
          <cell r="G141">
            <v>0</v>
          </cell>
          <cell r="H141">
            <v>0.12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0.12</v>
          </cell>
          <cell r="G142">
            <v>0</v>
          </cell>
          <cell r="H142">
            <v>0.12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0.12</v>
          </cell>
          <cell r="G143">
            <v>0</v>
          </cell>
          <cell r="H143">
            <v>0.12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0.15</v>
          </cell>
          <cell r="G144">
            <v>0.15</v>
          </cell>
          <cell r="H144">
            <v>2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0.15</v>
          </cell>
          <cell r="G145">
            <v>0.15</v>
          </cell>
          <cell r="H145">
            <v>2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0.15</v>
          </cell>
          <cell r="G146">
            <v>0.15</v>
          </cell>
          <cell r="H146">
            <v>2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0.15</v>
          </cell>
          <cell r="G147">
            <v>0</v>
          </cell>
          <cell r="H147">
            <v>0.15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0.15</v>
          </cell>
          <cell r="G148">
            <v>0</v>
          </cell>
          <cell r="H148">
            <v>0.15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0.15</v>
          </cell>
          <cell r="G149">
            <v>0</v>
          </cell>
          <cell r="H149">
            <v>0.15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0.3</v>
          </cell>
          <cell r="G150">
            <v>0</v>
          </cell>
          <cell r="H150">
            <v>0.3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0</v>
          </cell>
          <cell r="R150">
            <v>0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0.3</v>
          </cell>
          <cell r="G151">
            <v>0</v>
          </cell>
          <cell r="H151">
            <v>0.3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0.3</v>
          </cell>
          <cell r="G152">
            <v>0</v>
          </cell>
          <cell r="H152">
            <v>0.3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0.25</v>
          </cell>
          <cell r="G153">
            <v>0.2</v>
          </cell>
          <cell r="H153">
            <v>0.45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0.3</v>
          </cell>
          <cell r="G154">
            <v>0.3</v>
          </cell>
          <cell r="H154">
            <v>0.6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0.35</v>
          </cell>
          <cell r="G155">
            <v>0.4</v>
          </cell>
          <cell r="H155">
            <v>0.75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0.41</v>
          </cell>
          <cell r="G156">
            <v>0.49</v>
          </cell>
          <cell r="H156">
            <v>0.89999999999999991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0.51</v>
          </cell>
          <cell r="G157">
            <v>0.54</v>
          </cell>
          <cell r="H157">
            <v>1.05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0.61</v>
          </cell>
          <cell r="G158">
            <v>1.04</v>
          </cell>
          <cell r="H158">
            <v>1.65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0.81</v>
          </cell>
          <cell r="G159">
            <v>1.73</v>
          </cell>
          <cell r="H159">
            <v>2.54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1.01</v>
          </cell>
          <cell r="G160">
            <v>3.04</v>
          </cell>
          <cell r="H160">
            <v>4.05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1.22</v>
          </cell>
          <cell r="G161">
            <v>4.0199999999999996</v>
          </cell>
          <cell r="H161">
            <v>5.2399999999999993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1.42</v>
          </cell>
          <cell r="G162">
            <v>5.33</v>
          </cell>
          <cell r="H162">
            <v>6.75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1.62</v>
          </cell>
          <cell r="G163">
            <v>8.42</v>
          </cell>
          <cell r="H163">
            <v>10.039999999999999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1.82</v>
          </cell>
          <cell r="G164">
            <v>11.53</v>
          </cell>
          <cell r="H164">
            <v>13.35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2.0299999999999998</v>
          </cell>
          <cell r="G165">
            <v>14.47</v>
          </cell>
          <cell r="H165">
            <v>16.5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2.4300000000000002</v>
          </cell>
          <cell r="G166">
            <v>24.57</v>
          </cell>
          <cell r="H166">
            <v>27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3.24</v>
          </cell>
          <cell r="G167">
            <v>31.26</v>
          </cell>
          <cell r="H167">
            <v>34.5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3.45</v>
          </cell>
          <cell r="G168">
            <v>34.049999999999997</v>
          </cell>
          <cell r="H168">
            <v>37.5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3.65</v>
          </cell>
          <cell r="G169">
            <v>41.34</v>
          </cell>
          <cell r="H169">
            <v>44.99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7.0000000000000007E-2</v>
          </cell>
          <cell r="G170">
            <v>7.0000000000000007E-2</v>
          </cell>
          <cell r="H170">
            <v>2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7.0000000000000007E-2</v>
          </cell>
          <cell r="G171">
            <v>7.0000000000000007E-2</v>
          </cell>
          <cell r="H171">
            <v>2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7.0000000000000007E-2</v>
          </cell>
          <cell r="G172">
            <v>7.0000000000000007E-2</v>
          </cell>
          <cell r="H172">
            <v>2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7.0000000000000007E-2</v>
          </cell>
          <cell r="G173">
            <v>7.0000000000000007E-2</v>
          </cell>
          <cell r="H173">
            <v>2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7.0000000000000007E-2</v>
          </cell>
          <cell r="G174">
            <v>7.0000000000000007E-2</v>
          </cell>
          <cell r="H174">
            <v>2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2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7.0000000000000007E-2</v>
          </cell>
          <cell r="G176">
            <v>7.0000000000000007E-2</v>
          </cell>
          <cell r="H176">
            <v>2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7.0000000000000007E-2</v>
          </cell>
          <cell r="G177">
            <v>7.0000000000000007E-2</v>
          </cell>
          <cell r="H177">
            <v>2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7.0000000000000007E-2</v>
          </cell>
          <cell r="G178">
            <v>7.0000000000000007E-2</v>
          </cell>
          <cell r="H178">
            <v>2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7.0000000000000007E-2</v>
          </cell>
          <cell r="G179">
            <v>0</v>
          </cell>
          <cell r="H179">
            <v>7.0000000000000007E-2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7.0000000000000007E-2</v>
          </cell>
          <cell r="G180">
            <v>0</v>
          </cell>
          <cell r="H180">
            <v>7.0000000000000007E-2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7.0000000000000007E-2</v>
          </cell>
          <cell r="G181">
            <v>0</v>
          </cell>
          <cell r="H181">
            <v>7.0000000000000007E-2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7.0000000000000007E-2</v>
          </cell>
          <cell r="G182">
            <v>0</v>
          </cell>
          <cell r="H182">
            <v>7.0000000000000007E-2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7.0000000000000007E-2</v>
          </cell>
          <cell r="G183">
            <v>0</v>
          </cell>
          <cell r="H183">
            <v>7.0000000000000007E-2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7.0000000000000007E-2</v>
          </cell>
          <cell r="G184">
            <v>0</v>
          </cell>
          <cell r="H184">
            <v>7.0000000000000007E-2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0.12</v>
          </cell>
          <cell r="G185">
            <v>0</v>
          </cell>
          <cell r="H185">
            <v>0.12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0.12</v>
          </cell>
          <cell r="G186">
            <v>0</v>
          </cell>
          <cell r="H186">
            <v>0.12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0.12</v>
          </cell>
          <cell r="G187">
            <v>0</v>
          </cell>
          <cell r="H187">
            <v>0.12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0.15</v>
          </cell>
          <cell r="G188">
            <v>0.15</v>
          </cell>
          <cell r="H188">
            <v>2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0.15</v>
          </cell>
          <cell r="G189">
            <v>0.15</v>
          </cell>
          <cell r="H189">
            <v>2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0.15</v>
          </cell>
          <cell r="G190">
            <v>0.15</v>
          </cell>
          <cell r="H190">
            <v>2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0.15</v>
          </cell>
          <cell r="G191">
            <v>0</v>
          </cell>
          <cell r="H191">
            <v>0.15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0.15</v>
          </cell>
          <cell r="G192">
            <v>0</v>
          </cell>
          <cell r="H192">
            <v>0.15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0.15</v>
          </cell>
          <cell r="G193">
            <v>0</v>
          </cell>
          <cell r="H193">
            <v>0.15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0.3</v>
          </cell>
          <cell r="G194">
            <v>0</v>
          </cell>
          <cell r="H194">
            <v>0.3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0.3</v>
          </cell>
          <cell r="G195">
            <v>0</v>
          </cell>
          <cell r="H195">
            <v>0.3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0.3</v>
          </cell>
          <cell r="G196">
            <v>0</v>
          </cell>
          <cell r="H196">
            <v>0.3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0.25</v>
          </cell>
          <cell r="G197">
            <v>0.2</v>
          </cell>
          <cell r="H197">
            <v>0.45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0.3</v>
          </cell>
          <cell r="G198">
            <v>0.3</v>
          </cell>
          <cell r="H198">
            <v>0.6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0.35</v>
          </cell>
          <cell r="G199">
            <v>0.4</v>
          </cell>
          <cell r="H199">
            <v>0.75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0.41</v>
          </cell>
          <cell r="G200">
            <v>0.49</v>
          </cell>
          <cell r="H200">
            <v>0.89999999999999991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0.51</v>
          </cell>
          <cell r="G201">
            <v>0.54</v>
          </cell>
          <cell r="H201">
            <v>1.05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0.61</v>
          </cell>
          <cell r="G202">
            <v>1.04</v>
          </cell>
          <cell r="H202">
            <v>1.65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0.81</v>
          </cell>
          <cell r="G203">
            <v>1.73</v>
          </cell>
          <cell r="H203">
            <v>2.54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1.01</v>
          </cell>
          <cell r="G204">
            <v>3.04</v>
          </cell>
          <cell r="H204">
            <v>4.05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1.22</v>
          </cell>
          <cell r="G205">
            <v>3.28</v>
          </cell>
          <cell r="H205">
            <v>4.5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0.81</v>
          </cell>
          <cell r="G206">
            <v>2.64</v>
          </cell>
          <cell r="H206">
            <v>3.45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1.01</v>
          </cell>
          <cell r="G207">
            <v>5.74</v>
          </cell>
          <cell r="H207">
            <v>6.75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1.22</v>
          </cell>
          <cell r="G208">
            <v>8.3800000000000008</v>
          </cell>
          <cell r="H208">
            <v>9.6000000000000014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1.42</v>
          </cell>
          <cell r="G209">
            <v>9.9700000000000006</v>
          </cell>
          <cell r="H209">
            <v>11.39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1.62</v>
          </cell>
          <cell r="G210">
            <v>14.88</v>
          </cell>
          <cell r="H210">
            <v>16.5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1.82</v>
          </cell>
          <cell r="G211">
            <v>20.67</v>
          </cell>
          <cell r="H211">
            <v>22.490000000000002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2.0299999999999998</v>
          </cell>
          <cell r="G212">
            <v>23.47</v>
          </cell>
          <cell r="H212">
            <v>25.5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2.23</v>
          </cell>
          <cell r="G213">
            <v>29.27</v>
          </cell>
          <cell r="H213">
            <v>31.5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2.4300000000000002</v>
          </cell>
          <cell r="G214">
            <v>35.07</v>
          </cell>
          <cell r="H214">
            <v>37.5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7.0000000000000007E-2</v>
          </cell>
          <cell r="G215">
            <v>7.0000000000000007E-2</v>
          </cell>
          <cell r="H215">
            <v>2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7.0000000000000007E-2</v>
          </cell>
          <cell r="G216">
            <v>7.0000000000000007E-2</v>
          </cell>
          <cell r="H216">
            <v>2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7.0000000000000007E-2</v>
          </cell>
          <cell r="G217">
            <v>7.0000000000000007E-2</v>
          </cell>
          <cell r="H217">
            <v>2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7.0000000000000007E-2</v>
          </cell>
          <cell r="G218">
            <v>7.0000000000000007E-2</v>
          </cell>
          <cell r="H218">
            <v>2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7.0000000000000007E-2</v>
          </cell>
          <cell r="G219">
            <v>7.0000000000000007E-2</v>
          </cell>
          <cell r="H219">
            <v>2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7.0000000000000007E-2</v>
          </cell>
          <cell r="G220">
            <v>7.0000000000000007E-2</v>
          </cell>
          <cell r="H220">
            <v>2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7.0000000000000007E-2</v>
          </cell>
          <cell r="G221">
            <v>0</v>
          </cell>
          <cell r="H221">
            <v>7.0000000000000007E-2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7.0000000000000007E-2</v>
          </cell>
          <cell r="G222">
            <v>0</v>
          </cell>
          <cell r="H222">
            <v>7.0000000000000007E-2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7.0000000000000007E-2</v>
          </cell>
          <cell r="G224">
            <v>0</v>
          </cell>
          <cell r="H224">
            <v>7.0000000000000007E-2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7.0000000000000007E-2</v>
          </cell>
          <cell r="G225">
            <v>0</v>
          </cell>
          <cell r="H225">
            <v>7.0000000000000007E-2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7.0000000000000007E-2</v>
          </cell>
          <cell r="G226">
            <v>0</v>
          </cell>
          <cell r="H226">
            <v>7.0000000000000007E-2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7.0000000000000007E-2</v>
          </cell>
          <cell r="G227">
            <v>0</v>
          </cell>
          <cell r="H227">
            <v>7.0000000000000007E-2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7.0000000000000007E-2</v>
          </cell>
          <cell r="G228">
            <v>0</v>
          </cell>
          <cell r="H228">
            <v>7.0000000000000007E-2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7.0000000000000007E-2</v>
          </cell>
          <cell r="G229">
            <v>0</v>
          </cell>
          <cell r="H229">
            <v>7.0000000000000007E-2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0.15</v>
          </cell>
          <cell r="G230">
            <v>0</v>
          </cell>
          <cell r="H230">
            <v>0.15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0.15</v>
          </cell>
          <cell r="G231">
            <v>0</v>
          </cell>
          <cell r="H231">
            <v>0.15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0.15</v>
          </cell>
          <cell r="G232">
            <v>0</v>
          </cell>
          <cell r="H232">
            <v>0.15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0.13</v>
          </cell>
          <cell r="G233">
            <v>0.17</v>
          </cell>
          <cell r="H233">
            <v>0.30000000000000004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0.13</v>
          </cell>
          <cell r="G234">
            <v>0.17</v>
          </cell>
          <cell r="H234">
            <v>0.30000000000000004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0.13</v>
          </cell>
          <cell r="G235">
            <v>0.17</v>
          </cell>
          <cell r="H235">
            <v>0.30000000000000004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0.15</v>
          </cell>
          <cell r="G236">
            <v>0.15</v>
          </cell>
          <cell r="H236">
            <v>0.3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0.15</v>
          </cell>
          <cell r="G237">
            <v>0.15</v>
          </cell>
          <cell r="H237">
            <v>0.3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R237">
            <v>0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0.15</v>
          </cell>
          <cell r="G238">
            <v>0.15</v>
          </cell>
          <cell r="H238">
            <v>0.3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0.2</v>
          </cell>
          <cell r="G239">
            <v>0.25</v>
          </cell>
          <cell r="H239">
            <v>0.45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0.2</v>
          </cell>
          <cell r="G240">
            <v>0.25</v>
          </cell>
          <cell r="H240">
            <v>0.45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0.2</v>
          </cell>
          <cell r="G241">
            <v>0.25</v>
          </cell>
          <cell r="H241">
            <v>0.45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0.25</v>
          </cell>
          <cell r="G242">
            <v>0.5</v>
          </cell>
          <cell r="H242">
            <v>0.75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0.3</v>
          </cell>
          <cell r="G243">
            <v>0.6</v>
          </cell>
          <cell r="H243">
            <v>0.89999999999999991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0.35</v>
          </cell>
          <cell r="G244">
            <v>0.85</v>
          </cell>
          <cell r="H244">
            <v>1.2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0.41</v>
          </cell>
          <cell r="G245">
            <v>0.93</v>
          </cell>
          <cell r="H245">
            <v>1.34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0.51</v>
          </cell>
          <cell r="G246">
            <v>1.59</v>
          </cell>
          <cell r="H246">
            <v>2.1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0.61</v>
          </cell>
          <cell r="G247">
            <v>2.69</v>
          </cell>
          <cell r="H247">
            <v>3.3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0.81</v>
          </cell>
          <cell r="G248">
            <v>4.58</v>
          </cell>
          <cell r="H248">
            <v>5.3900000000000006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1.01</v>
          </cell>
          <cell r="G249">
            <v>7.99</v>
          </cell>
          <cell r="H249">
            <v>9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1.22</v>
          </cell>
          <cell r="G250">
            <v>11.68</v>
          </cell>
          <cell r="H250">
            <v>12.9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1.42</v>
          </cell>
          <cell r="G251">
            <v>12.68</v>
          </cell>
          <cell r="H251">
            <v>14.1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1.62</v>
          </cell>
          <cell r="G252">
            <v>19.37</v>
          </cell>
          <cell r="H252">
            <v>20.990000000000002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1.82</v>
          </cell>
          <cell r="G253">
            <v>26.68</v>
          </cell>
          <cell r="H253">
            <v>28.5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2.0299999999999998</v>
          </cell>
          <cell r="G254">
            <v>36.96</v>
          </cell>
          <cell r="H254">
            <v>38.99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2.23</v>
          </cell>
          <cell r="G255">
            <v>45.77</v>
          </cell>
          <cell r="H255">
            <v>48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2.4300000000000002</v>
          </cell>
          <cell r="G256">
            <v>53.07</v>
          </cell>
          <cell r="H256">
            <v>55.5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7.0000000000000007E-2</v>
          </cell>
          <cell r="G257">
            <v>7.0000000000000007E-2</v>
          </cell>
          <cell r="H257">
            <v>2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7.0000000000000007E-2</v>
          </cell>
          <cell r="G258">
            <v>7.0000000000000007E-2</v>
          </cell>
          <cell r="H258">
            <v>2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7.0000000000000007E-2</v>
          </cell>
          <cell r="G259">
            <v>7.0000000000000007E-2</v>
          </cell>
          <cell r="H259">
            <v>2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7.0000000000000007E-2</v>
          </cell>
          <cell r="G260">
            <v>7.0000000000000007E-2</v>
          </cell>
          <cell r="H260">
            <v>2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A261">
            <v>0</v>
          </cell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7.0000000000000007E-2</v>
          </cell>
          <cell r="G261">
            <v>7.0000000000000007E-2</v>
          </cell>
          <cell r="H261">
            <v>2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0</v>
          </cell>
          <cell r="R261">
            <v>0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7.0000000000000007E-2</v>
          </cell>
          <cell r="G262">
            <v>7.0000000000000007E-2</v>
          </cell>
          <cell r="H262">
            <v>2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7.0000000000000007E-2</v>
          </cell>
          <cell r="G263">
            <v>0</v>
          </cell>
          <cell r="H263">
            <v>7.0000000000000007E-2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7.0000000000000007E-2</v>
          </cell>
          <cell r="G264">
            <v>0</v>
          </cell>
          <cell r="H264">
            <v>7.0000000000000007E-2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7.0000000000000007E-2</v>
          </cell>
          <cell r="G265">
            <v>0</v>
          </cell>
          <cell r="H265">
            <v>7.0000000000000007E-2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7.0000000000000007E-2</v>
          </cell>
          <cell r="G266">
            <v>0</v>
          </cell>
          <cell r="H266">
            <v>7.0000000000000007E-2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7.0000000000000007E-2</v>
          </cell>
          <cell r="G267">
            <v>0</v>
          </cell>
          <cell r="H267">
            <v>7.0000000000000007E-2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7.0000000000000007E-2</v>
          </cell>
          <cell r="G268">
            <v>0</v>
          </cell>
          <cell r="H268">
            <v>7.0000000000000007E-2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7.0000000000000007E-2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7.0000000000000007E-2</v>
          </cell>
          <cell r="G270">
            <v>0</v>
          </cell>
          <cell r="H270">
            <v>7.0000000000000007E-2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7.0000000000000007E-2</v>
          </cell>
          <cell r="G271">
            <v>0</v>
          </cell>
          <cell r="H271">
            <v>7.0000000000000007E-2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0</v>
          </cell>
          <cell r="R271">
            <v>0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0.15</v>
          </cell>
          <cell r="G272">
            <v>0</v>
          </cell>
          <cell r="H272">
            <v>0.15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0.15</v>
          </cell>
          <cell r="G273">
            <v>0</v>
          </cell>
          <cell r="H273">
            <v>0.15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0.15</v>
          </cell>
          <cell r="G274">
            <v>0</v>
          </cell>
          <cell r="H274">
            <v>0.15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0.13</v>
          </cell>
          <cell r="G275">
            <v>0.17</v>
          </cell>
          <cell r="H275">
            <v>0.30000000000000004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0.13</v>
          </cell>
          <cell r="G276">
            <v>0.17</v>
          </cell>
          <cell r="H276">
            <v>0.30000000000000004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0.13</v>
          </cell>
          <cell r="G277">
            <v>0.17</v>
          </cell>
          <cell r="H277">
            <v>0.30000000000000004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0.15</v>
          </cell>
          <cell r="G278">
            <v>0.15</v>
          </cell>
          <cell r="H278">
            <v>0.3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0.15</v>
          </cell>
          <cell r="G279">
            <v>0.15</v>
          </cell>
          <cell r="H279">
            <v>0.3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0.15</v>
          </cell>
          <cell r="G280">
            <v>0.15</v>
          </cell>
          <cell r="H280">
            <v>0.3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0.2</v>
          </cell>
          <cell r="G281">
            <v>0.25</v>
          </cell>
          <cell r="H281">
            <v>0.45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0.2</v>
          </cell>
          <cell r="G282">
            <v>0.25</v>
          </cell>
          <cell r="H282">
            <v>0.45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0.2</v>
          </cell>
          <cell r="G283">
            <v>0.25</v>
          </cell>
          <cell r="H283">
            <v>0.45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0.25</v>
          </cell>
          <cell r="G284">
            <v>0.5</v>
          </cell>
          <cell r="H284">
            <v>0.75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0.3</v>
          </cell>
          <cell r="G285">
            <v>0.6</v>
          </cell>
          <cell r="H285">
            <v>0.89999999999999991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0.35</v>
          </cell>
          <cell r="G286">
            <v>0.85</v>
          </cell>
          <cell r="H286">
            <v>1.2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0.41</v>
          </cell>
          <cell r="G287">
            <v>0.93</v>
          </cell>
          <cell r="H287">
            <v>1.34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0.51</v>
          </cell>
          <cell r="G288">
            <v>1.59</v>
          </cell>
          <cell r="H288">
            <v>2.1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0.61</v>
          </cell>
          <cell r="G289">
            <v>2.69</v>
          </cell>
          <cell r="H289">
            <v>3.3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0.81</v>
          </cell>
          <cell r="G290">
            <v>4.58</v>
          </cell>
          <cell r="H290">
            <v>5.3900000000000006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1.01</v>
          </cell>
          <cell r="G291">
            <v>5.74</v>
          </cell>
          <cell r="H291">
            <v>6.75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1.22</v>
          </cell>
          <cell r="G292">
            <v>6.73</v>
          </cell>
          <cell r="H292">
            <v>7.95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0.81</v>
          </cell>
          <cell r="G293">
            <v>6.09</v>
          </cell>
          <cell r="H293">
            <v>6.9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1.01</v>
          </cell>
          <cell r="G294">
            <v>11.44</v>
          </cell>
          <cell r="H294">
            <v>12.45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1.22</v>
          </cell>
          <cell r="G295">
            <v>15.28</v>
          </cell>
          <cell r="H295">
            <v>16.5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1.42</v>
          </cell>
          <cell r="G296">
            <v>21.07</v>
          </cell>
          <cell r="H296">
            <v>22.490000000000002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1.62</v>
          </cell>
          <cell r="G297">
            <v>28.38</v>
          </cell>
          <cell r="H297">
            <v>30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1.82</v>
          </cell>
          <cell r="G298">
            <v>37.17</v>
          </cell>
          <cell r="H298">
            <v>38.99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2.0299999999999998</v>
          </cell>
          <cell r="G299">
            <v>45.97</v>
          </cell>
          <cell r="H299">
            <v>48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2.23</v>
          </cell>
          <cell r="G300">
            <v>65.27</v>
          </cell>
          <cell r="H300">
            <v>67.5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2.4300000000000002</v>
          </cell>
          <cell r="G301">
            <v>75.56</v>
          </cell>
          <cell r="H301">
            <v>77.990000000000009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0.41</v>
          </cell>
          <cell r="G302">
            <v>1.84</v>
          </cell>
          <cell r="H302">
            <v>2.25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0.51</v>
          </cell>
          <cell r="G303">
            <v>2.94</v>
          </cell>
          <cell r="H303">
            <v>3.45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0.61</v>
          </cell>
          <cell r="G304">
            <v>4.1900000000000004</v>
          </cell>
          <cell r="H304">
            <v>4.8000000000000007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0.81</v>
          </cell>
          <cell r="G305">
            <v>9.23</v>
          </cell>
          <cell r="H305">
            <v>10.040000000000001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1.01</v>
          </cell>
          <cell r="G306">
            <v>12.49</v>
          </cell>
          <cell r="H306">
            <v>13.5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1.22</v>
          </cell>
          <cell r="G307">
            <v>21.27</v>
          </cell>
          <cell r="H307">
            <v>22.49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1.42</v>
          </cell>
          <cell r="G308">
            <v>25.58</v>
          </cell>
          <cell r="H308">
            <v>27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1.62</v>
          </cell>
          <cell r="G309">
            <v>35.880000000000003</v>
          </cell>
          <cell r="H309">
            <v>37.5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1.82</v>
          </cell>
          <cell r="G310">
            <v>47.68</v>
          </cell>
          <cell r="H310">
            <v>49.5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2.0299999999999998</v>
          </cell>
          <cell r="G311">
            <v>62.47</v>
          </cell>
          <cell r="H311">
            <v>64.5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2.23</v>
          </cell>
          <cell r="G312">
            <v>84.76</v>
          </cell>
          <cell r="H312">
            <v>86.990000000000009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2.4300000000000002</v>
          </cell>
          <cell r="G313">
            <v>98.07</v>
          </cell>
          <cell r="H313">
            <v>100.5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  <cell r="Q313">
            <v>0</v>
          </cell>
          <cell r="R313">
            <v>0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0.81</v>
          </cell>
          <cell r="G314">
            <v>10.130000000000001</v>
          </cell>
          <cell r="H314">
            <v>10.940000000000001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1.01</v>
          </cell>
          <cell r="G315">
            <v>18.48</v>
          </cell>
          <cell r="H315">
            <v>19.490000000000002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1.22</v>
          </cell>
          <cell r="G316">
            <v>25.78</v>
          </cell>
          <cell r="H316">
            <v>27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1.42</v>
          </cell>
          <cell r="G317">
            <v>31.58</v>
          </cell>
          <cell r="H317">
            <v>33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1.62</v>
          </cell>
          <cell r="G318">
            <v>44.87</v>
          </cell>
          <cell r="H318">
            <v>46.489999999999995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1.82</v>
          </cell>
          <cell r="G319">
            <v>59.68</v>
          </cell>
          <cell r="H319">
            <v>61.5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2.0299999999999998</v>
          </cell>
          <cell r="G320">
            <v>78.959999999999994</v>
          </cell>
          <cell r="H320">
            <v>80.989999999999995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2.23</v>
          </cell>
          <cell r="G321">
            <v>108.77</v>
          </cell>
          <cell r="H321">
            <v>111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2.4300000000000002</v>
          </cell>
          <cell r="G322">
            <v>126.57</v>
          </cell>
          <cell r="H322">
            <v>129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7.0000000000000007E-2</v>
          </cell>
          <cell r="G323">
            <v>0.08</v>
          </cell>
          <cell r="H323">
            <v>0.15000000000000002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7.0000000000000007E-2</v>
          </cell>
          <cell r="G324">
            <v>0.08</v>
          </cell>
          <cell r="H324">
            <v>0.15000000000000002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7.0000000000000007E-2</v>
          </cell>
          <cell r="G325">
            <v>0.08</v>
          </cell>
          <cell r="H325">
            <v>0.15000000000000002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0.08</v>
          </cell>
          <cell r="G326">
            <v>7.0000000000000007E-2</v>
          </cell>
          <cell r="H326">
            <v>0.15000000000000002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0.08</v>
          </cell>
          <cell r="G327">
            <v>7.0000000000000007E-2</v>
          </cell>
          <cell r="H327">
            <v>0.15000000000000002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0.08</v>
          </cell>
          <cell r="G328">
            <v>7.0000000000000007E-2</v>
          </cell>
          <cell r="H328">
            <v>0.15000000000000002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0.1</v>
          </cell>
          <cell r="G329">
            <v>0.35</v>
          </cell>
          <cell r="H329">
            <v>0.44999999999999996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0.1</v>
          </cell>
          <cell r="G330">
            <v>0.35</v>
          </cell>
          <cell r="H330">
            <v>0.44999999999999996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0.1</v>
          </cell>
          <cell r="G331">
            <v>0.35</v>
          </cell>
          <cell r="H331">
            <v>0.44999999999999996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0.13</v>
          </cell>
          <cell r="G332">
            <v>0.32</v>
          </cell>
          <cell r="H332">
            <v>0.45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0.13</v>
          </cell>
          <cell r="G333">
            <v>0.32</v>
          </cell>
          <cell r="H333">
            <v>0.45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0.13</v>
          </cell>
          <cell r="G334">
            <v>0.32</v>
          </cell>
          <cell r="H334">
            <v>0.45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0.15</v>
          </cell>
          <cell r="G335">
            <v>0.45</v>
          </cell>
          <cell r="H335">
            <v>0.6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0.15</v>
          </cell>
          <cell r="G336">
            <v>0.45</v>
          </cell>
          <cell r="H336">
            <v>0.6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0.15</v>
          </cell>
          <cell r="G337">
            <v>0.45</v>
          </cell>
          <cell r="H337">
            <v>0.6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0.2</v>
          </cell>
          <cell r="G338">
            <v>0.7</v>
          </cell>
          <cell r="H338">
            <v>0.89999999999999991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0.2</v>
          </cell>
          <cell r="G339">
            <v>0.7</v>
          </cell>
          <cell r="H339">
            <v>0.89999999999999991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0.2</v>
          </cell>
          <cell r="G340">
            <v>0.7</v>
          </cell>
          <cell r="H340">
            <v>0.89999999999999991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0.25</v>
          </cell>
          <cell r="G341">
            <v>0.8</v>
          </cell>
          <cell r="H341">
            <v>1.05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0.3</v>
          </cell>
          <cell r="G342">
            <v>1.5</v>
          </cell>
          <cell r="H342">
            <v>1.8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0.41</v>
          </cell>
          <cell r="G343">
            <v>2.59</v>
          </cell>
          <cell r="H343">
            <v>3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4.29</v>
          </cell>
          <cell r="H344">
            <v>4.8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0.61</v>
          </cell>
          <cell r="G345">
            <v>7.04</v>
          </cell>
          <cell r="H345">
            <v>7.65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0.81</v>
          </cell>
          <cell r="G346">
            <v>11.19</v>
          </cell>
          <cell r="H346">
            <v>12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1.01</v>
          </cell>
          <cell r="G347">
            <v>21.48</v>
          </cell>
          <cell r="H347">
            <v>22.490000000000002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1.22</v>
          </cell>
          <cell r="G348">
            <v>31.78</v>
          </cell>
          <cell r="H348">
            <v>33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1.42</v>
          </cell>
          <cell r="G349">
            <v>39.07</v>
          </cell>
          <cell r="H349">
            <v>40.49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1.62</v>
          </cell>
          <cell r="G350">
            <v>53.88</v>
          </cell>
          <cell r="H350">
            <v>55.5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1.82</v>
          </cell>
          <cell r="G351">
            <v>71.680000000000007</v>
          </cell>
          <cell r="H351">
            <v>73.5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2.0299999999999998</v>
          </cell>
          <cell r="G352">
            <v>93.97</v>
          </cell>
          <cell r="H352">
            <v>96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2.23</v>
          </cell>
          <cell r="G353">
            <v>132.77000000000001</v>
          </cell>
          <cell r="H353">
            <v>135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2.4300000000000002</v>
          </cell>
          <cell r="G354">
            <v>162.56</v>
          </cell>
          <cell r="H354">
            <v>164.99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7.0000000000000007E-2</v>
          </cell>
          <cell r="G355">
            <v>7.0000000000000007E-2</v>
          </cell>
          <cell r="H355">
            <v>2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7.0000000000000007E-2</v>
          </cell>
          <cell r="G356">
            <v>7.0000000000000007E-2</v>
          </cell>
          <cell r="H356">
            <v>2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7.0000000000000007E-2</v>
          </cell>
          <cell r="G357">
            <v>7.0000000000000007E-2</v>
          </cell>
          <cell r="H357">
            <v>2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7.0000000000000007E-2</v>
          </cell>
          <cell r="G358">
            <v>7.0000000000000007E-2</v>
          </cell>
          <cell r="H358">
            <v>2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7.0000000000000007E-2</v>
          </cell>
          <cell r="G359">
            <v>7.0000000000000007E-2</v>
          </cell>
          <cell r="H359">
            <v>2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7.0000000000000007E-2</v>
          </cell>
          <cell r="G360">
            <v>7.0000000000000007E-2</v>
          </cell>
          <cell r="H360">
            <v>2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7.0000000000000007E-2</v>
          </cell>
          <cell r="G361">
            <v>0</v>
          </cell>
          <cell r="H361">
            <v>7.0000000000000007E-2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7.0000000000000007E-2</v>
          </cell>
          <cell r="G362">
            <v>0</v>
          </cell>
          <cell r="H362">
            <v>7.0000000000000007E-2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7.0000000000000007E-2</v>
          </cell>
          <cell r="G363">
            <v>0</v>
          </cell>
          <cell r="H363">
            <v>7.0000000000000007E-2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7.0000000000000007E-2</v>
          </cell>
          <cell r="G364">
            <v>0</v>
          </cell>
          <cell r="H364">
            <v>7.0000000000000007E-2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7.0000000000000007E-2</v>
          </cell>
          <cell r="G365">
            <v>0</v>
          </cell>
          <cell r="H365">
            <v>7.0000000000000007E-2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7.0000000000000007E-2</v>
          </cell>
          <cell r="G366">
            <v>0</v>
          </cell>
          <cell r="H366">
            <v>7.0000000000000007E-2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7.0000000000000007E-2</v>
          </cell>
          <cell r="G367">
            <v>0</v>
          </cell>
          <cell r="H367">
            <v>7.0000000000000007E-2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7.0000000000000007E-2</v>
          </cell>
          <cell r="G368">
            <v>0</v>
          </cell>
          <cell r="H368">
            <v>7.0000000000000007E-2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7.0000000000000007E-2</v>
          </cell>
          <cell r="G369">
            <v>0</v>
          </cell>
          <cell r="H369">
            <v>7.0000000000000007E-2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0.12</v>
          </cell>
          <cell r="G370">
            <v>0</v>
          </cell>
          <cell r="H370">
            <v>0.12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0.12</v>
          </cell>
          <cell r="G371">
            <v>0</v>
          </cell>
          <cell r="H371">
            <v>0.12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0.12</v>
          </cell>
          <cell r="G372">
            <v>0</v>
          </cell>
          <cell r="H372">
            <v>0.12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0.15</v>
          </cell>
          <cell r="G373">
            <v>0.15</v>
          </cell>
          <cell r="H373">
            <v>2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0.15</v>
          </cell>
          <cell r="G374">
            <v>0.15</v>
          </cell>
          <cell r="H374">
            <v>2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0.15</v>
          </cell>
          <cell r="G375">
            <v>0.15</v>
          </cell>
          <cell r="H375">
            <v>2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0.15</v>
          </cell>
          <cell r="G376">
            <v>0</v>
          </cell>
          <cell r="H376">
            <v>0.15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0.15</v>
          </cell>
          <cell r="G377">
            <v>0</v>
          </cell>
          <cell r="H377">
            <v>0.15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0.15</v>
          </cell>
          <cell r="G378">
            <v>0</v>
          </cell>
          <cell r="H378">
            <v>0.15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0.3</v>
          </cell>
          <cell r="G379">
            <v>0</v>
          </cell>
          <cell r="H379">
            <v>0.3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0.3</v>
          </cell>
          <cell r="G380">
            <v>0</v>
          </cell>
          <cell r="H380">
            <v>0.3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0.3</v>
          </cell>
          <cell r="G381">
            <v>0</v>
          </cell>
          <cell r="H381">
            <v>0.3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0.25</v>
          </cell>
          <cell r="G382">
            <v>0.2</v>
          </cell>
          <cell r="H382">
            <v>0.45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0.3</v>
          </cell>
          <cell r="G383">
            <v>0.3</v>
          </cell>
          <cell r="H383">
            <v>0.6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0.35</v>
          </cell>
          <cell r="G384">
            <v>0.4</v>
          </cell>
          <cell r="H384">
            <v>0.75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0.41</v>
          </cell>
          <cell r="G385">
            <v>0.49</v>
          </cell>
          <cell r="H385">
            <v>0.89999999999999991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0.51</v>
          </cell>
          <cell r="G386">
            <v>0.54</v>
          </cell>
          <cell r="H386">
            <v>1.05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0.61</v>
          </cell>
          <cell r="G387">
            <v>1.04</v>
          </cell>
          <cell r="H387">
            <v>1.65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0.81</v>
          </cell>
          <cell r="G388">
            <v>1.73</v>
          </cell>
          <cell r="H388">
            <v>2.54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1.01</v>
          </cell>
          <cell r="G389">
            <v>3.04</v>
          </cell>
          <cell r="H389">
            <v>4.05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1.22</v>
          </cell>
          <cell r="G390">
            <v>3.28</v>
          </cell>
          <cell r="H390">
            <v>4.5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1.42</v>
          </cell>
          <cell r="G391">
            <v>3.97</v>
          </cell>
          <cell r="H391">
            <v>5.3900000000000006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1.62</v>
          </cell>
          <cell r="G392">
            <v>4.68</v>
          </cell>
          <cell r="H392">
            <v>6.3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1.82</v>
          </cell>
          <cell r="G393">
            <v>5.38</v>
          </cell>
          <cell r="H393">
            <v>7.2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2.0299999999999998</v>
          </cell>
          <cell r="G394">
            <v>5.47</v>
          </cell>
          <cell r="H394">
            <v>7.5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2.23</v>
          </cell>
          <cell r="G395">
            <v>6.47</v>
          </cell>
          <cell r="H395">
            <v>8.6999999999999993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2.4300000000000002</v>
          </cell>
          <cell r="G396">
            <v>6.57</v>
          </cell>
          <cell r="H396">
            <v>9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2.64</v>
          </cell>
          <cell r="G397">
            <v>7.7</v>
          </cell>
          <cell r="H397">
            <v>10.34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2.84</v>
          </cell>
          <cell r="G398">
            <v>8.25</v>
          </cell>
          <cell r="H398">
            <v>11.09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3.04</v>
          </cell>
          <cell r="G399">
            <v>8.9600000000000009</v>
          </cell>
          <cell r="H399">
            <v>12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3.24</v>
          </cell>
          <cell r="G400">
            <v>9.51</v>
          </cell>
          <cell r="H400">
            <v>12.75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3.45</v>
          </cell>
          <cell r="G401">
            <v>10.050000000000001</v>
          </cell>
          <cell r="H401">
            <v>13.5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3.65</v>
          </cell>
          <cell r="G402">
            <v>10.6</v>
          </cell>
          <cell r="H402">
            <v>14.25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3.85</v>
          </cell>
          <cell r="G403">
            <v>11.23</v>
          </cell>
          <cell r="H403">
            <v>15.08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4.0599999999999996</v>
          </cell>
          <cell r="G404">
            <v>11.66</v>
          </cell>
          <cell r="H404">
            <v>15.719999999999999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4.26</v>
          </cell>
          <cell r="G405">
            <v>12.24</v>
          </cell>
          <cell r="H405">
            <v>16.5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4.47</v>
          </cell>
          <cell r="G406">
            <v>17.54</v>
          </cell>
          <cell r="H406">
            <v>22.009999999999998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4.67</v>
          </cell>
          <cell r="G407">
            <v>18.329999999999998</v>
          </cell>
          <cell r="H407">
            <v>23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4.87</v>
          </cell>
          <cell r="G408">
            <v>19.13</v>
          </cell>
          <cell r="H408">
            <v>24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7.0000000000000007E-2</v>
          </cell>
          <cell r="G409">
            <v>7.0000000000000007E-2</v>
          </cell>
          <cell r="H409">
            <v>2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7.0000000000000007E-2</v>
          </cell>
          <cell r="G410">
            <v>7.0000000000000007E-2</v>
          </cell>
          <cell r="H410">
            <v>2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7.0000000000000007E-2</v>
          </cell>
          <cell r="G411">
            <v>7.0000000000000007E-2</v>
          </cell>
          <cell r="H411">
            <v>2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7.0000000000000007E-2</v>
          </cell>
          <cell r="H412">
            <v>2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7.0000000000000007E-2</v>
          </cell>
          <cell r="G413">
            <v>7.0000000000000007E-2</v>
          </cell>
          <cell r="H413">
            <v>2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7.0000000000000007E-2</v>
          </cell>
          <cell r="G414">
            <v>7.0000000000000007E-2</v>
          </cell>
          <cell r="H414">
            <v>2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7.0000000000000007E-2</v>
          </cell>
          <cell r="G416">
            <v>0</v>
          </cell>
          <cell r="H416">
            <v>7.0000000000000007E-2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7.0000000000000007E-2</v>
          </cell>
          <cell r="G417">
            <v>0</v>
          </cell>
          <cell r="H417">
            <v>7.0000000000000007E-2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7.0000000000000007E-2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0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7.0000000000000007E-2</v>
          </cell>
          <cell r="G420">
            <v>0</v>
          </cell>
          <cell r="H420">
            <v>7.0000000000000007E-2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7.0000000000000007E-2</v>
          </cell>
          <cell r="G421">
            <v>0</v>
          </cell>
          <cell r="H421">
            <v>7.0000000000000007E-2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7.0000000000000007E-2</v>
          </cell>
          <cell r="G422">
            <v>0</v>
          </cell>
          <cell r="H422">
            <v>7.0000000000000007E-2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7.0000000000000007E-2</v>
          </cell>
          <cell r="G423">
            <v>0</v>
          </cell>
          <cell r="H423">
            <v>7.0000000000000007E-2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0.15</v>
          </cell>
          <cell r="G424">
            <v>0</v>
          </cell>
          <cell r="H424">
            <v>0.15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0.15</v>
          </cell>
          <cell r="G425">
            <v>0</v>
          </cell>
          <cell r="H425">
            <v>0.15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0.15</v>
          </cell>
          <cell r="G426">
            <v>0</v>
          </cell>
          <cell r="H426">
            <v>0.15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0.13</v>
          </cell>
          <cell r="G427">
            <v>0.17</v>
          </cell>
          <cell r="H427">
            <v>0.30000000000000004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0.13</v>
          </cell>
          <cell r="G428">
            <v>0.17</v>
          </cell>
          <cell r="H428">
            <v>0.30000000000000004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0.15</v>
          </cell>
          <cell r="G430">
            <v>0.15</v>
          </cell>
          <cell r="H430">
            <v>0.3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0.15</v>
          </cell>
          <cell r="G431">
            <v>0.15</v>
          </cell>
          <cell r="H431">
            <v>0.3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0.15</v>
          </cell>
          <cell r="G432">
            <v>0.15</v>
          </cell>
          <cell r="H432">
            <v>0.3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0.2</v>
          </cell>
          <cell r="G433">
            <v>0.25</v>
          </cell>
          <cell r="H433">
            <v>0.45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0.2</v>
          </cell>
          <cell r="G434">
            <v>0.25</v>
          </cell>
          <cell r="H434">
            <v>0.45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0.2</v>
          </cell>
          <cell r="G435">
            <v>0.25</v>
          </cell>
          <cell r="H435">
            <v>0.45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0.25</v>
          </cell>
          <cell r="G436">
            <v>0.5</v>
          </cell>
          <cell r="H436">
            <v>0.75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0.3</v>
          </cell>
          <cell r="G437">
            <v>0.6</v>
          </cell>
          <cell r="H437">
            <v>0.89999999999999991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0.35</v>
          </cell>
          <cell r="G438">
            <v>0.85</v>
          </cell>
          <cell r="H438">
            <v>1.2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0.41</v>
          </cell>
          <cell r="G439">
            <v>0.93</v>
          </cell>
          <cell r="H439">
            <v>1.34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0.61</v>
          </cell>
          <cell r="G441">
            <v>2.69</v>
          </cell>
          <cell r="H441">
            <v>3.3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0.81</v>
          </cell>
          <cell r="G442">
            <v>4.58</v>
          </cell>
          <cell r="H442">
            <v>5.3900000000000006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1.01</v>
          </cell>
          <cell r="G443">
            <v>5.74</v>
          </cell>
          <cell r="H443">
            <v>6.75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1.22</v>
          </cell>
          <cell r="G444">
            <v>6.73</v>
          </cell>
          <cell r="H444">
            <v>7.95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1.42</v>
          </cell>
          <cell r="G445">
            <v>7.28</v>
          </cell>
          <cell r="H445">
            <v>8.6999999999999993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1.62</v>
          </cell>
          <cell r="G446">
            <v>8.42</v>
          </cell>
          <cell r="H446">
            <v>10.039999999999999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1.82</v>
          </cell>
          <cell r="G447">
            <v>9.42</v>
          </cell>
          <cell r="H447">
            <v>11.24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2.0299999999999998</v>
          </cell>
          <cell r="G448">
            <v>10.42</v>
          </cell>
          <cell r="H448">
            <v>12.45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2.23</v>
          </cell>
          <cell r="G449">
            <v>11.72</v>
          </cell>
          <cell r="H449">
            <v>13.950000000000001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2.4300000000000002</v>
          </cell>
          <cell r="G450">
            <v>12.57</v>
          </cell>
          <cell r="H450">
            <v>15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2.84</v>
          </cell>
          <cell r="G452">
            <v>15.16</v>
          </cell>
          <cell r="H452">
            <v>18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3.04</v>
          </cell>
          <cell r="G453">
            <v>16.45</v>
          </cell>
          <cell r="H453">
            <v>19.489999999999998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3.24</v>
          </cell>
          <cell r="G454">
            <v>17.75</v>
          </cell>
          <cell r="H454">
            <v>20.990000000000002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3.45</v>
          </cell>
          <cell r="G455">
            <v>18.54</v>
          </cell>
          <cell r="H455">
            <v>21.99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3.65</v>
          </cell>
          <cell r="G456">
            <v>18.84</v>
          </cell>
          <cell r="H456">
            <v>22.49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3.85</v>
          </cell>
          <cell r="G457">
            <v>19.89</v>
          </cell>
          <cell r="H457">
            <v>23.740000000000002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4.0599999999999996</v>
          </cell>
          <cell r="G458">
            <v>21.66</v>
          </cell>
          <cell r="H458">
            <v>25.72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4.26</v>
          </cell>
          <cell r="G459">
            <v>22.74</v>
          </cell>
          <cell r="H459">
            <v>27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4.47</v>
          </cell>
          <cell r="G460">
            <v>27.16</v>
          </cell>
          <cell r="H460">
            <v>31.63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4.67</v>
          </cell>
          <cell r="G461">
            <v>28.4</v>
          </cell>
          <cell r="H461">
            <v>33.07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4.87</v>
          </cell>
          <cell r="G462">
            <v>29.63</v>
          </cell>
          <cell r="H462">
            <v>34.5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7.0000000000000007E-2</v>
          </cell>
          <cell r="G463">
            <v>0.23</v>
          </cell>
          <cell r="H463">
            <v>0.30000000000000004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7.0000000000000007E-2</v>
          </cell>
          <cell r="G464">
            <v>0.23</v>
          </cell>
          <cell r="H464">
            <v>0.30000000000000004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7.0000000000000007E-2</v>
          </cell>
          <cell r="G465">
            <v>0.23</v>
          </cell>
          <cell r="H465">
            <v>0.30000000000000004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0.08</v>
          </cell>
          <cell r="G466">
            <v>0.22</v>
          </cell>
          <cell r="H466">
            <v>0.3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0.08</v>
          </cell>
          <cell r="G467">
            <v>0.22</v>
          </cell>
          <cell r="H467">
            <v>0.3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0.08</v>
          </cell>
          <cell r="G468">
            <v>0.22</v>
          </cell>
          <cell r="H468">
            <v>0.3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0.1</v>
          </cell>
          <cell r="G469">
            <v>0.5</v>
          </cell>
          <cell r="H469">
            <v>0.6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0.1</v>
          </cell>
          <cell r="G470">
            <v>0.5</v>
          </cell>
          <cell r="H470">
            <v>0.6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0.1</v>
          </cell>
          <cell r="G471">
            <v>0.5</v>
          </cell>
          <cell r="H471">
            <v>0.6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0.13</v>
          </cell>
          <cell r="G472">
            <v>0.67</v>
          </cell>
          <cell r="H472">
            <v>0.8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0.13</v>
          </cell>
          <cell r="G473">
            <v>0.67</v>
          </cell>
          <cell r="H473">
            <v>0.8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0.13</v>
          </cell>
          <cell r="G474">
            <v>0.67</v>
          </cell>
          <cell r="H474">
            <v>0.8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0.15</v>
          </cell>
          <cell r="G475">
            <v>0.75</v>
          </cell>
          <cell r="H475">
            <v>0.9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0.15</v>
          </cell>
          <cell r="G476">
            <v>0.75</v>
          </cell>
          <cell r="H476">
            <v>0.9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0.15</v>
          </cell>
          <cell r="G477">
            <v>0.75</v>
          </cell>
          <cell r="H477">
            <v>0.9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1</v>
          </cell>
          <cell r="H478">
            <v>1.2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0.2</v>
          </cell>
          <cell r="G479">
            <v>1</v>
          </cell>
          <cell r="H479">
            <v>1.2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0.2</v>
          </cell>
          <cell r="G480">
            <v>1</v>
          </cell>
          <cell r="H480">
            <v>1.2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0.25</v>
          </cell>
          <cell r="G481">
            <v>1.7</v>
          </cell>
          <cell r="H481">
            <v>1.95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0.3</v>
          </cell>
          <cell r="G482">
            <v>2.39</v>
          </cell>
          <cell r="H482">
            <v>2.69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0.41</v>
          </cell>
          <cell r="G483">
            <v>4.09</v>
          </cell>
          <cell r="H483">
            <v>4.5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0.51</v>
          </cell>
          <cell r="G484">
            <v>4.43</v>
          </cell>
          <cell r="H484">
            <v>4.9399999999999995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0.61</v>
          </cell>
          <cell r="G485">
            <v>8.09</v>
          </cell>
          <cell r="H485">
            <v>8.6999999999999993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0.81</v>
          </cell>
          <cell r="G486">
            <v>11.49</v>
          </cell>
          <cell r="H486">
            <v>12.3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1.01</v>
          </cell>
          <cell r="G487">
            <v>18.489999999999998</v>
          </cell>
          <cell r="H487">
            <v>19.5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1.22</v>
          </cell>
          <cell r="G488">
            <v>21.27</v>
          </cell>
          <cell r="H488">
            <v>22.49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6.49</v>
          </cell>
          <cell r="G489">
            <v>20.29</v>
          </cell>
          <cell r="H489">
            <v>26.78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 refreshError="1"/>
      <sheetData sheetId="889" refreshError="1"/>
      <sheetData sheetId="890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 refreshError="1"/>
      <sheetData sheetId="907" refreshError="1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ma-pt"/>
      <sheetName val="DanhMuc"/>
      <sheetName val="MTL$-INTER"/>
      <sheetName val="TDT"/>
      <sheetName val="2.74"/>
      <sheetName val="DTXL"/>
      <sheetName val="IBASE"/>
      <sheetName val="NS"/>
      <sheetName val="dongia (2)"/>
      <sheetName val="TiÕn_®é_thùc_hiÖn_KC"/>
      <sheetName val="ESTI_"/>
      <sheetName val="KP_giao_lan_3_(QD_673)"/>
      <sheetName val="phu_luc_giao_lan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  <sheetName val="2_74"/>
      <sheetName val="TiÕn_®é_thùc_hiÖn_KC"/>
      <sheetName val="ESTI_"/>
      <sheetName val="NS"/>
      <sheetName val="TONGKE3p "/>
      <sheetName val="TDTKP"/>
      <sheetName val="7 THAI NGUYEN"/>
      <sheetName val="2_741"/>
      <sheetName val="ESTI_1"/>
      <sheetName val="TiÕn_®é_thùc_hiÖn_KC1"/>
      <sheetName val="sat"/>
      <sheetName val="ptvt"/>
      <sheetName val="KH-Q1,Q2,01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 t="str">
            <v/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Vat tu"/>
      <sheetName val="Chi tiet"/>
      <sheetName val="I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>
        <row r="11">
          <cell r="A1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85" zoomScaleNormal="85" workbookViewId="0">
      <selection activeCell="J9" sqref="J9"/>
    </sheetView>
  </sheetViews>
  <sheetFormatPr defaultColWidth="10.28515625" defaultRowHeight="15.75"/>
  <cols>
    <col min="1" max="1" width="1.7109375" style="849" customWidth="1"/>
    <col min="2" max="2" width="40.7109375" style="849" customWidth="1"/>
    <col min="3" max="4" width="8.5703125" style="849" customWidth="1"/>
    <col min="5" max="5" width="9.42578125" style="849" customWidth="1"/>
    <col min="6" max="6" width="7" style="849" customWidth="1"/>
    <col min="7" max="7" width="7.5703125" style="849" customWidth="1"/>
    <col min="8" max="8" width="6.42578125" customWidth="1"/>
    <col min="9" max="13" width="10.28515625" style="849"/>
    <col min="14" max="14" width="12.28515625" style="849" bestFit="1" customWidth="1"/>
    <col min="15" max="16" width="12.42578125" style="849" customWidth="1"/>
    <col min="17" max="16384" width="10.28515625" style="849"/>
  </cols>
  <sheetData>
    <row r="1" spans="1:20" ht="18" customHeight="1">
      <c r="A1" s="848" t="s">
        <v>683</v>
      </c>
      <c r="B1" s="848"/>
    </row>
    <row r="2" spans="1:20" ht="18" customHeight="1">
      <c r="A2" s="848"/>
      <c r="B2" s="848"/>
    </row>
    <row r="3" spans="1:20" ht="18" customHeight="1">
      <c r="A3" s="850"/>
      <c r="B3" s="851"/>
      <c r="C3" s="852"/>
      <c r="D3" s="852"/>
      <c r="E3" s="852"/>
      <c r="F3" s="852"/>
      <c r="G3" s="852"/>
      <c r="H3" s="853" t="s">
        <v>274</v>
      </c>
    </row>
    <row r="4" spans="1:20" ht="16.149999999999999" customHeight="1">
      <c r="A4" s="854"/>
      <c r="B4" s="855"/>
      <c r="C4" s="84" t="s">
        <v>300</v>
      </c>
      <c r="D4" s="84" t="s">
        <v>142</v>
      </c>
      <c r="E4" s="84" t="s">
        <v>684</v>
      </c>
      <c r="F4" s="933" t="s">
        <v>685</v>
      </c>
      <c r="G4" s="933"/>
      <c r="H4" s="933"/>
      <c r="I4" s="377"/>
    </row>
    <row r="5" spans="1:20" ht="16.149999999999999" customHeight="1">
      <c r="A5" s="850"/>
      <c r="B5" s="856"/>
      <c r="C5" s="87" t="s">
        <v>39</v>
      </c>
      <c r="D5" s="87" t="s">
        <v>195</v>
      </c>
      <c r="E5" s="87" t="s">
        <v>686</v>
      </c>
      <c r="F5" s="87" t="s">
        <v>42</v>
      </c>
      <c r="G5" s="87" t="s">
        <v>43</v>
      </c>
      <c r="H5" s="87" t="s">
        <v>687</v>
      </c>
      <c r="I5" s="377"/>
    </row>
    <row r="6" spans="1:20" ht="16.149999999999999" customHeight="1">
      <c r="A6" s="850"/>
      <c r="B6" s="856"/>
      <c r="C6" s="87" t="s">
        <v>41</v>
      </c>
      <c r="D6" s="87" t="s">
        <v>41</v>
      </c>
      <c r="E6" s="87">
        <v>2025</v>
      </c>
      <c r="F6" s="87" t="s">
        <v>41</v>
      </c>
      <c r="G6" s="87" t="s">
        <v>41</v>
      </c>
      <c r="H6" s="87" t="s">
        <v>41</v>
      </c>
      <c r="I6" s="377"/>
    </row>
    <row r="7" spans="1:20" ht="16.149999999999999" customHeight="1">
      <c r="A7" s="850"/>
      <c r="B7" s="856"/>
      <c r="C7" s="90">
        <v>2025</v>
      </c>
      <c r="D7" s="90">
        <v>2025</v>
      </c>
      <c r="E7" s="90"/>
      <c r="F7" s="90">
        <v>2025</v>
      </c>
      <c r="G7" s="90">
        <v>2025</v>
      </c>
      <c r="H7" s="90">
        <v>2025</v>
      </c>
      <c r="I7" s="377"/>
    </row>
    <row r="8" spans="1:20" ht="13.5" customHeight="1">
      <c r="A8" s="850"/>
      <c r="B8" s="857"/>
      <c r="C8" s="858"/>
      <c r="D8" s="858"/>
      <c r="E8" s="858"/>
      <c r="F8" s="858"/>
    </row>
    <row r="9" spans="1:20" ht="20.100000000000001" customHeight="1">
      <c r="A9" s="934" t="s">
        <v>265</v>
      </c>
      <c r="B9" s="934"/>
      <c r="C9" s="859">
        <v>3237106.7014661157</v>
      </c>
      <c r="D9" s="859">
        <v>3710894.9274303191</v>
      </c>
      <c r="E9" s="859">
        <v>12847571.215993788</v>
      </c>
      <c r="F9" s="860">
        <v>100</v>
      </c>
      <c r="G9" s="860">
        <v>100</v>
      </c>
      <c r="H9" s="860">
        <v>100</v>
      </c>
      <c r="I9" s="860">
        <v>24976.91</v>
      </c>
      <c r="J9" s="861">
        <f>E9/I9</f>
        <v>514.37792809413929</v>
      </c>
      <c r="K9" s="861"/>
      <c r="L9" s="861"/>
      <c r="M9" s="862"/>
      <c r="N9" s="861"/>
      <c r="O9" s="861"/>
      <c r="P9" s="861"/>
      <c r="Q9" s="861"/>
      <c r="R9" s="861"/>
      <c r="S9" s="861"/>
      <c r="T9" s="861"/>
    </row>
    <row r="10" spans="1:20" ht="20.100000000000001" customHeight="1">
      <c r="A10" s="863"/>
      <c r="B10" s="864" t="s">
        <v>665</v>
      </c>
      <c r="C10" s="859">
        <v>369520.66887376772</v>
      </c>
      <c r="D10" s="859">
        <v>461207.1031834305</v>
      </c>
      <c r="E10" s="859">
        <v>1495975.0637101021</v>
      </c>
      <c r="F10" s="860">
        <v>11.415152571474039</v>
      </c>
      <c r="G10" s="860">
        <v>12.428460309513593</v>
      </c>
      <c r="H10" s="860">
        <v>11.644030132697615</v>
      </c>
      <c r="I10" s="860"/>
      <c r="J10" s="860"/>
      <c r="K10" s="860"/>
      <c r="L10" s="861"/>
      <c r="M10" s="862"/>
      <c r="N10" s="861"/>
      <c r="O10" s="861"/>
      <c r="P10" s="861"/>
      <c r="Q10" s="861"/>
      <c r="R10" s="861"/>
      <c r="S10" s="861"/>
      <c r="T10" s="861"/>
    </row>
    <row r="11" spans="1:20" ht="20.100000000000001" customHeight="1">
      <c r="A11" s="850"/>
      <c r="B11" s="865" t="s">
        <v>688</v>
      </c>
      <c r="C11" s="866">
        <v>265513.18185485952</v>
      </c>
      <c r="D11" s="866">
        <v>361298.77197840845</v>
      </c>
      <c r="E11" s="866">
        <v>1122476.9415364529</v>
      </c>
      <c r="F11" s="867">
        <v>8.2021757804463515</v>
      </c>
      <c r="G11" s="867">
        <v>9.7361628136584493</v>
      </c>
      <c r="H11" s="867">
        <v>8.7368804785381915</v>
      </c>
      <c r="I11" s="861"/>
      <c r="J11" s="861"/>
      <c r="K11" s="861"/>
      <c r="L11" s="861"/>
      <c r="O11" s="861"/>
      <c r="P11" s="861"/>
      <c r="Q11" s="861"/>
      <c r="R11" s="861"/>
      <c r="S11" s="861"/>
      <c r="T11" s="861"/>
    </row>
    <row r="12" spans="1:20" ht="20.100000000000001" customHeight="1">
      <c r="A12" s="850"/>
      <c r="B12" s="865" t="s">
        <v>689</v>
      </c>
      <c r="C12" s="866">
        <v>15750</v>
      </c>
      <c r="D12" s="866">
        <v>18972.418011902286</v>
      </c>
      <c r="E12" s="866">
        <v>64527.086713999168</v>
      </c>
      <c r="F12" s="867">
        <v>0.48652269596939557</v>
      </c>
      <c r="G12" s="867">
        <v>0.51126260330523843</v>
      </c>
      <c r="H12" s="867">
        <v>0.50225124756397665</v>
      </c>
      <c r="J12" s="861"/>
      <c r="K12" s="861"/>
      <c r="L12" s="861"/>
      <c r="O12" s="861"/>
      <c r="P12" s="861"/>
      <c r="Q12" s="861"/>
      <c r="R12" s="861"/>
      <c r="S12" s="861"/>
      <c r="T12" s="861"/>
    </row>
    <row r="13" spans="1:20" ht="20.100000000000001" customHeight="1">
      <c r="A13" s="850"/>
      <c r="B13" s="865" t="s">
        <v>429</v>
      </c>
      <c r="C13" s="866">
        <v>88258.228223529295</v>
      </c>
      <c r="D13" s="866">
        <v>80935.913193119777</v>
      </c>
      <c r="E13" s="866">
        <v>308971.03545964992</v>
      </c>
      <c r="F13" s="867">
        <v>2.7264540950582914</v>
      </c>
      <c r="G13" s="867">
        <v>2.1810348925499059</v>
      </c>
      <c r="H13" s="867">
        <v>2.4048984065954468</v>
      </c>
      <c r="J13" s="861"/>
      <c r="K13" s="861"/>
      <c r="L13" s="861"/>
      <c r="O13" s="861"/>
      <c r="P13" s="861"/>
      <c r="Q13" s="861"/>
      <c r="R13" s="861"/>
      <c r="S13" s="861"/>
      <c r="T13" s="861"/>
    </row>
    <row r="14" spans="1:20" ht="20.100000000000001" customHeight="1">
      <c r="A14" s="863"/>
      <c r="B14" s="864" t="s">
        <v>666</v>
      </c>
      <c r="C14" s="859">
        <v>1251742.2581116508</v>
      </c>
      <c r="D14" s="859">
        <v>1413048.0921367549</v>
      </c>
      <c r="E14" s="859">
        <v>4836997.9649703316</v>
      </c>
      <c r="F14" s="860">
        <v>38.66855107200282</v>
      </c>
      <c r="G14" s="860">
        <v>38.078364377599002</v>
      </c>
      <c r="H14" s="860">
        <v>37.649123586478431</v>
      </c>
      <c r="I14" s="860"/>
      <c r="J14" s="861"/>
      <c r="K14" s="861"/>
      <c r="L14" s="861"/>
      <c r="M14" s="862"/>
      <c r="N14" s="861"/>
      <c r="O14" s="861"/>
      <c r="P14" s="861"/>
      <c r="Q14" s="861"/>
      <c r="R14" s="861"/>
      <c r="S14" s="861"/>
      <c r="T14" s="861"/>
    </row>
    <row r="15" spans="1:20" ht="20.100000000000001" customHeight="1">
      <c r="A15" s="850"/>
      <c r="B15" s="865" t="s">
        <v>690</v>
      </c>
      <c r="C15" s="866">
        <v>1045265.3456411461</v>
      </c>
      <c r="D15" s="866">
        <v>1152022.2855294752</v>
      </c>
      <c r="E15" s="866">
        <v>4049821.1032487671</v>
      </c>
      <c r="F15" s="867">
        <v>32.290110955185249</v>
      </c>
      <c r="G15" s="867">
        <v>31.05</v>
      </c>
      <c r="H15" s="867">
        <v>31.5220755360141</v>
      </c>
      <c r="I15" s="867"/>
      <c r="J15" s="861"/>
      <c r="K15" s="861"/>
      <c r="L15" s="861"/>
      <c r="M15" s="862"/>
      <c r="N15" s="861"/>
      <c r="O15" s="861"/>
      <c r="P15" s="861"/>
      <c r="Q15" s="861"/>
      <c r="R15" s="861"/>
      <c r="S15" s="861"/>
      <c r="T15" s="861"/>
    </row>
    <row r="16" spans="1:20" ht="20.100000000000001" customHeight="1">
      <c r="A16" s="850"/>
      <c r="B16" s="868" t="s">
        <v>92</v>
      </c>
      <c r="C16" s="866">
        <v>59201.693404437086</v>
      </c>
      <c r="D16" s="866">
        <v>71069.239317268322</v>
      </c>
      <c r="E16" s="866">
        <v>270360.55482155789</v>
      </c>
      <c r="F16" s="867">
        <v>1.8288459066741325</v>
      </c>
      <c r="G16" s="867">
        <v>1.9151509462565566</v>
      </c>
      <c r="H16" s="867">
        <v>2.1043709373254087</v>
      </c>
      <c r="I16" s="861"/>
      <c r="J16" s="861"/>
      <c r="K16" s="861"/>
      <c r="L16" s="861"/>
      <c r="O16" s="861"/>
      <c r="P16" s="861"/>
      <c r="Q16" s="861"/>
      <c r="R16" s="861"/>
      <c r="S16" s="861"/>
      <c r="T16" s="861"/>
    </row>
    <row r="17" spans="1:20" ht="20.100000000000001" customHeight="1">
      <c r="A17" s="850"/>
      <c r="B17" s="868" t="s">
        <v>98</v>
      </c>
      <c r="C17" s="866">
        <v>814785.70226385363</v>
      </c>
      <c r="D17" s="866">
        <v>925684.88484843925</v>
      </c>
      <c r="E17" s="866">
        <v>3151254.3189642844</v>
      </c>
      <c r="F17" s="867">
        <v>25.170183667249201</v>
      </c>
      <c r="G17" s="867">
        <v>24.945057808183417</v>
      </c>
      <c r="H17" s="867">
        <v>24.528015964926706</v>
      </c>
      <c r="J17" s="869"/>
      <c r="K17" s="861"/>
      <c r="L17" s="861"/>
      <c r="O17" s="861"/>
      <c r="P17" s="861"/>
      <c r="Q17" s="861"/>
      <c r="R17" s="861"/>
      <c r="S17" s="861"/>
      <c r="T17" s="861"/>
    </row>
    <row r="18" spans="1:20" ht="35.450000000000003" customHeight="1">
      <c r="A18" s="850"/>
      <c r="B18" s="870" t="s">
        <v>123</v>
      </c>
      <c r="C18" s="866">
        <v>154743.36726052704</v>
      </c>
      <c r="D18" s="866">
        <v>138148.38046631066</v>
      </c>
      <c r="E18" s="866">
        <v>565573.58795791538</v>
      </c>
      <c r="F18" s="867">
        <v>4.7802986287242968</v>
      </c>
      <c r="G18" s="867">
        <v>3.7227780136036932</v>
      </c>
      <c r="H18" s="867">
        <v>4.4021829375332793</v>
      </c>
      <c r="J18" s="861"/>
      <c r="K18" s="861"/>
      <c r="L18" s="861"/>
      <c r="O18" s="861"/>
      <c r="P18" s="861"/>
      <c r="Q18" s="861"/>
      <c r="R18" s="861"/>
      <c r="S18" s="861"/>
      <c r="T18" s="861"/>
    </row>
    <row r="19" spans="1:20" ht="27" customHeight="1">
      <c r="A19" s="850"/>
      <c r="B19" s="870" t="s">
        <v>691</v>
      </c>
      <c r="C19" s="866">
        <v>16534.582712328443</v>
      </c>
      <c r="D19" s="866">
        <v>17119.780897456876</v>
      </c>
      <c r="E19" s="866">
        <v>62632.641505009371</v>
      </c>
      <c r="F19" s="867">
        <v>0.51078275253762184</v>
      </c>
      <c r="G19" s="867">
        <v>0.46133833569121824</v>
      </c>
      <c r="H19" s="867">
        <v>0.48750569622870615</v>
      </c>
      <c r="J19" s="861"/>
      <c r="K19" s="861"/>
      <c r="L19" s="861"/>
      <c r="O19" s="861"/>
      <c r="P19" s="861"/>
      <c r="Q19" s="861"/>
      <c r="R19" s="861"/>
      <c r="S19" s="861"/>
      <c r="T19" s="861"/>
    </row>
    <row r="20" spans="1:20" ht="20.100000000000001" customHeight="1">
      <c r="A20" s="850"/>
      <c r="B20" s="865" t="s">
        <v>621</v>
      </c>
      <c r="C20" s="866">
        <v>206476.91247050476</v>
      </c>
      <c r="D20" s="866">
        <v>261025.80660727975</v>
      </c>
      <c r="E20" s="866">
        <v>787176.8617215642</v>
      </c>
      <c r="F20" s="867">
        <v>6.3784401168175711</v>
      </c>
      <c r="G20" s="867">
        <v>7.0340392738641109</v>
      </c>
      <c r="H20" s="867">
        <v>6.1270480504643325</v>
      </c>
      <c r="J20" s="861"/>
      <c r="K20" s="861"/>
      <c r="L20" s="861"/>
      <c r="O20" s="861"/>
      <c r="P20" s="861"/>
      <c r="Q20" s="861"/>
      <c r="R20" s="861"/>
      <c r="S20" s="861"/>
      <c r="T20" s="861"/>
    </row>
    <row r="21" spans="1:20" ht="20.100000000000001" customHeight="1">
      <c r="A21" s="863"/>
      <c r="B21" s="871" t="s">
        <v>491</v>
      </c>
      <c r="C21" s="859">
        <v>1361413.0432781316</v>
      </c>
      <c r="D21" s="859">
        <v>1558419.1917887882</v>
      </c>
      <c r="E21" s="859">
        <v>5491545.4775174214</v>
      </c>
      <c r="F21" s="860">
        <v>42.05</v>
      </c>
      <c r="G21" s="860">
        <v>41.99</v>
      </c>
      <c r="H21" s="860">
        <v>42.75</v>
      </c>
      <c r="I21" s="860"/>
      <c r="J21" s="861"/>
      <c r="K21" s="861"/>
      <c r="L21" s="861"/>
      <c r="M21" s="862"/>
      <c r="N21" s="861"/>
      <c r="O21" s="861"/>
      <c r="P21" s="861"/>
      <c r="Q21" s="861"/>
      <c r="R21" s="861"/>
      <c r="S21" s="861"/>
      <c r="T21" s="861"/>
    </row>
    <row r="22" spans="1:20" ht="27" customHeight="1">
      <c r="A22" s="850"/>
      <c r="B22" s="872" t="s">
        <v>692</v>
      </c>
      <c r="C22" s="866">
        <v>299675.01014977955</v>
      </c>
      <c r="D22" s="866">
        <v>338436.57828718802</v>
      </c>
      <c r="E22" s="866">
        <v>1249099.6355306557</v>
      </c>
      <c r="F22" s="867">
        <v>9.2574955905547984</v>
      </c>
      <c r="G22" s="867">
        <v>9.1200797895278853</v>
      </c>
      <c r="H22" s="867">
        <v>9.722457377591077</v>
      </c>
      <c r="J22" s="861"/>
      <c r="K22" s="861"/>
      <c r="L22" s="861"/>
      <c r="M22" s="862"/>
      <c r="N22" s="862"/>
      <c r="O22" s="861"/>
      <c r="P22" s="861"/>
      <c r="Q22" s="861"/>
      <c r="R22" s="861"/>
      <c r="S22" s="861"/>
      <c r="T22" s="861"/>
    </row>
    <row r="23" spans="1:20" ht="18" customHeight="1">
      <c r="A23" s="850"/>
      <c r="B23" s="865" t="s">
        <v>693</v>
      </c>
      <c r="C23" s="866">
        <v>163006.70411010762</v>
      </c>
      <c r="D23" s="866">
        <v>174921.44063917495</v>
      </c>
      <c r="E23" s="866">
        <v>680857.79241877317</v>
      </c>
      <c r="F23" s="867">
        <v>5.0355678432311288</v>
      </c>
      <c r="G23" s="867">
        <v>4.7137265823988903</v>
      </c>
      <c r="H23" s="867">
        <v>5.299505883035553</v>
      </c>
      <c r="J23" s="861"/>
      <c r="K23" s="861"/>
      <c r="L23" s="861"/>
      <c r="O23" s="861"/>
      <c r="P23" s="861"/>
      <c r="Q23" s="861"/>
      <c r="R23" s="861"/>
      <c r="S23" s="861"/>
      <c r="T23" s="861"/>
    </row>
    <row r="24" spans="1:20" ht="18" customHeight="1">
      <c r="A24" s="850"/>
      <c r="B24" s="865" t="s">
        <v>493</v>
      </c>
      <c r="C24" s="866">
        <v>88567.12134830287</v>
      </c>
      <c r="D24" s="866">
        <v>90433.789010458742</v>
      </c>
      <c r="E24" s="866">
        <v>337051.21453563159</v>
      </c>
      <c r="F24" s="867">
        <v>2.7359963546518253</v>
      </c>
      <c r="G24" s="867">
        <v>2.4369805876740727</v>
      </c>
      <c r="H24" s="867">
        <v>2.6234625118562533</v>
      </c>
      <c r="J24" s="861"/>
      <c r="K24" s="861"/>
      <c r="L24" s="861"/>
      <c r="O24" s="861"/>
      <c r="P24" s="861"/>
      <c r="Q24" s="861"/>
      <c r="R24" s="861"/>
      <c r="S24" s="861"/>
      <c r="T24" s="861"/>
    </row>
    <row r="25" spans="1:20" ht="18" customHeight="1">
      <c r="A25" s="850"/>
      <c r="B25" s="865" t="s">
        <v>494</v>
      </c>
      <c r="C25" s="866">
        <v>108707.10603081596</v>
      </c>
      <c r="D25" s="866">
        <v>113473.40464810608</v>
      </c>
      <c r="E25" s="866">
        <v>419203.55133773485</v>
      </c>
      <c r="F25" s="867">
        <v>3.3581564049643937</v>
      </c>
      <c r="G25" s="867">
        <v>3.0578447212107656</v>
      </c>
      <c r="H25" s="867">
        <v>3.262901168556072</v>
      </c>
      <c r="J25" s="861"/>
      <c r="K25" s="861"/>
      <c r="L25" s="861"/>
      <c r="O25" s="861"/>
      <c r="P25" s="861"/>
      <c r="Q25" s="861"/>
      <c r="R25" s="861"/>
      <c r="S25" s="861"/>
      <c r="T25" s="861"/>
    </row>
    <row r="26" spans="1:20" ht="18" customHeight="1">
      <c r="A26" s="850"/>
      <c r="B26" s="865" t="s">
        <v>694</v>
      </c>
      <c r="C26" s="866">
        <v>160215.49615883979</v>
      </c>
      <c r="D26" s="866">
        <v>193636.53365280994</v>
      </c>
      <c r="E26" s="866">
        <v>616521.5322123284</v>
      </c>
      <c r="F26" s="867">
        <v>4.9493424509694623</v>
      </c>
      <c r="G26" s="867">
        <v>5.218054874620158</v>
      </c>
      <c r="H26" s="867">
        <v>4.7987399473982135</v>
      </c>
      <c r="J26" s="861"/>
      <c r="K26" s="861"/>
      <c r="L26" s="861"/>
      <c r="O26" s="861"/>
      <c r="P26" s="861"/>
      <c r="Q26" s="861"/>
      <c r="R26" s="861"/>
      <c r="S26" s="861"/>
      <c r="T26" s="861"/>
    </row>
    <row r="27" spans="1:20" ht="18" customHeight="1">
      <c r="A27" s="850"/>
      <c r="B27" s="872" t="s">
        <v>695</v>
      </c>
      <c r="C27" s="866">
        <v>110126.42959301246</v>
      </c>
      <c r="D27" s="866">
        <v>140537.55529579177</v>
      </c>
      <c r="E27" s="866">
        <v>448273.16011421726</v>
      </c>
      <c r="F27" s="867">
        <v>3.4020018414325106</v>
      </c>
      <c r="G27" s="867">
        <v>3.7871607265665621</v>
      </c>
      <c r="H27" s="867">
        <v>3.4891665714696902</v>
      </c>
      <c r="J27" s="861"/>
      <c r="K27" s="861"/>
      <c r="L27" s="861"/>
      <c r="O27" s="861"/>
      <c r="P27" s="861"/>
      <c r="Q27" s="861"/>
      <c r="R27" s="861"/>
      <c r="S27" s="861"/>
      <c r="T27" s="861"/>
    </row>
    <row r="28" spans="1:20" ht="18" customHeight="1">
      <c r="A28" s="850"/>
      <c r="B28" s="865" t="s">
        <v>696</v>
      </c>
      <c r="C28" s="866">
        <v>66195.513839162246</v>
      </c>
      <c r="D28" s="866">
        <v>72145.062802556844</v>
      </c>
      <c r="E28" s="866">
        <v>255907.41895714024</v>
      </c>
      <c r="F28" s="867">
        <v>2.0448974947035783</v>
      </c>
      <c r="G28" s="867">
        <v>1.9441418906601886</v>
      </c>
      <c r="H28" s="867">
        <v>1.9918739087319799</v>
      </c>
      <c r="J28" s="861"/>
      <c r="K28" s="861"/>
      <c r="L28" s="861"/>
      <c r="O28" s="861"/>
      <c r="P28" s="861"/>
      <c r="Q28" s="861"/>
      <c r="R28" s="861"/>
      <c r="S28" s="861"/>
      <c r="T28" s="861"/>
    </row>
    <row r="29" spans="1:20" ht="18" customHeight="1">
      <c r="A29" s="850"/>
      <c r="B29" s="865" t="s">
        <v>697</v>
      </c>
      <c r="C29" s="866">
        <v>38522.498223298498</v>
      </c>
      <c r="D29" s="866">
        <v>37951.99228509418</v>
      </c>
      <c r="E29" s="866">
        <v>158191.59383781033</v>
      </c>
      <c r="F29" s="867">
        <v>1.1900286822751718</v>
      </c>
      <c r="G29" s="867">
        <v>1.0227180512323149</v>
      </c>
      <c r="H29" s="867">
        <v>1.2312957147953343</v>
      </c>
      <c r="J29" s="861"/>
      <c r="K29" s="861"/>
      <c r="L29" s="861"/>
      <c r="O29" s="861"/>
      <c r="P29" s="861"/>
      <c r="Q29" s="861"/>
      <c r="R29" s="861"/>
      <c r="S29" s="861"/>
      <c r="T29" s="861"/>
    </row>
    <row r="30" spans="1:20" ht="39.75" customHeight="1">
      <c r="A30" s="850"/>
      <c r="B30" s="872" t="s">
        <v>698</v>
      </c>
      <c r="C30" s="866">
        <v>60779.851726037028</v>
      </c>
      <c r="D30" s="866">
        <v>87003.61594313485</v>
      </c>
      <c r="E30" s="866">
        <v>265177.78086799232</v>
      </c>
      <c r="F30" s="867">
        <v>1.8775980321720402</v>
      </c>
      <c r="G30" s="867">
        <v>2.3445453898470303</v>
      </c>
      <c r="H30" s="867">
        <v>2.0640304413169988</v>
      </c>
      <c r="J30" s="861"/>
      <c r="K30" s="861"/>
      <c r="L30" s="861"/>
      <c r="O30" s="861"/>
      <c r="P30" s="861"/>
      <c r="Q30" s="861"/>
      <c r="R30" s="861"/>
      <c r="S30" s="861"/>
      <c r="T30" s="861"/>
    </row>
    <row r="31" spans="1:20" ht="18" customHeight="1">
      <c r="A31" s="850"/>
      <c r="B31" s="872" t="s">
        <v>495</v>
      </c>
      <c r="C31" s="866">
        <v>120588.48650874407</v>
      </c>
      <c r="D31" s="866">
        <v>148151.39431021269</v>
      </c>
      <c r="E31" s="866">
        <v>498673.40873220767</v>
      </c>
      <c r="F31" s="867">
        <v>3.7251934406156098</v>
      </c>
      <c r="G31" s="867">
        <v>3.9923360053959542</v>
      </c>
      <c r="H31" s="867">
        <v>3.8814605527262236</v>
      </c>
      <c r="J31" s="861"/>
      <c r="K31" s="861"/>
      <c r="L31" s="861"/>
      <c r="O31" s="861"/>
      <c r="P31" s="861"/>
      <c r="Q31" s="861"/>
      <c r="R31" s="861"/>
      <c r="S31" s="861"/>
      <c r="T31" s="861"/>
    </row>
    <row r="32" spans="1:20" ht="18" customHeight="1">
      <c r="A32" s="850"/>
      <c r="B32" s="865" t="s">
        <v>496</v>
      </c>
      <c r="C32" s="866">
        <v>101894.10604869961</v>
      </c>
      <c r="D32" s="866">
        <v>110756.60138224022</v>
      </c>
      <c r="E32" s="866">
        <v>378818.26172885171</v>
      </c>
      <c r="F32" s="867">
        <v>3.147690683243491</v>
      </c>
      <c r="G32" s="867">
        <v>2.9846331827814852</v>
      </c>
      <c r="H32" s="867">
        <v>2.9485593452657057</v>
      </c>
      <c r="J32" s="861"/>
      <c r="K32" s="861"/>
      <c r="L32" s="861"/>
      <c r="O32" s="861"/>
      <c r="P32" s="861"/>
      <c r="Q32" s="861"/>
      <c r="R32" s="861"/>
      <c r="S32" s="861"/>
      <c r="T32" s="861"/>
    </row>
    <row r="33" spans="1:20" ht="18" customHeight="1">
      <c r="A33" s="850"/>
      <c r="B33" s="865" t="s">
        <v>497</v>
      </c>
      <c r="C33" s="866">
        <v>19206.061146853921</v>
      </c>
      <c r="D33" s="866">
        <v>23525.522647781982</v>
      </c>
      <c r="E33" s="866">
        <v>80922.119669664215</v>
      </c>
      <c r="F33" s="867">
        <v>0.59330948646689086</v>
      </c>
      <c r="G33" s="867">
        <v>0.63395819897473316</v>
      </c>
      <c r="H33" s="867">
        <v>0.62986317265107061</v>
      </c>
      <c r="J33" s="861"/>
      <c r="K33" s="861"/>
      <c r="L33" s="861"/>
      <c r="O33" s="861"/>
      <c r="P33" s="861"/>
      <c r="Q33" s="861"/>
      <c r="R33" s="861"/>
      <c r="S33" s="861"/>
      <c r="T33" s="861"/>
    </row>
    <row r="34" spans="1:20" ht="18" customHeight="1">
      <c r="A34" s="850"/>
      <c r="B34" s="865" t="s">
        <v>627</v>
      </c>
      <c r="C34" s="866">
        <v>19978.476523123332</v>
      </c>
      <c r="D34" s="866">
        <v>23183.044083778419</v>
      </c>
      <c r="E34" s="866">
        <v>87009.839974310438</v>
      </c>
      <c r="F34" s="867">
        <v>0.61717077518868613</v>
      </c>
      <c r="G34" s="867">
        <v>0.62472919705737839</v>
      </c>
      <c r="H34" s="867">
        <v>0.67724738405024698</v>
      </c>
      <c r="J34" s="861"/>
      <c r="K34" s="861"/>
      <c r="L34" s="861"/>
      <c r="O34" s="861"/>
      <c r="P34" s="861"/>
      <c r="Q34" s="861"/>
      <c r="R34" s="861"/>
      <c r="S34" s="861"/>
      <c r="T34" s="861"/>
    </row>
    <row r="35" spans="1:20" s="876" customFormat="1" ht="39.75" customHeight="1">
      <c r="A35" s="873"/>
      <c r="B35" s="872" t="s">
        <v>699</v>
      </c>
      <c r="C35" s="874">
        <v>3950.1818713545981</v>
      </c>
      <c r="D35" s="874">
        <v>4262.6568004592791</v>
      </c>
      <c r="E35" s="874">
        <v>15838.16760010345</v>
      </c>
      <c r="F35" s="875">
        <v>0.12202816390221317</v>
      </c>
      <c r="G35" s="875">
        <v>0.11486870104972328</v>
      </c>
      <c r="H35" s="875">
        <v>0.12327752330640288</v>
      </c>
      <c r="J35" s="861"/>
      <c r="K35" s="861"/>
      <c r="L35" s="861"/>
      <c r="O35" s="861"/>
      <c r="P35" s="861"/>
      <c r="Q35" s="861"/>
      <c r="R35" s="861"/>
      <c r="S35" s="861"/>
      <c r="T35" s="861"/>
    </row>
    <row r="36" spans="1:20" ht="20.100000000000001" customHeight="1">
      <c r="A36" s="863"/>
      <c r="B36" s="864" t="s">
        <v>700</v>
      </c>
      <c r="C36" s="859">
        <v>254430.7312025654</v>
      </c>
      <c r="D36" s="859">
        <v>278220.54032134579</v>
      </c>
      <c r="E36" s="859">
        <v>1023052.7097959333</v>
      </c>
      <c r="F36" s="860">
        <v>7.8598191121513334</v>
      </c>
      <c r="G36" s="860">
        <v>7.4973974138902655</v>
      </c>
      <c r="H36" s="860">
        <v>7.9630047780731292</v>
      </c>
      <c r="J36" s="861"/>
      <c r="K36" s="861"/>
      <c r="L36" s="861"/>
      <c r="O36" s="861"/>
      <c r="P36" s="861"/>
      <c r="Q36" s="861"/>
      <c r="R36" s="861"/>
      <c r="S36" s="861"/>
      <c r="T36" s="861"/>
    </row>
    <row r="37" spans="1:20" ht="15">
      <c r="A37" s="863"/>
      <c r="B37" s="863"/>
      <c r="C37" s="87"/>
      <c r="D37" s="87"/>
      <c r="E37" s="87"/>
      <c r="F37" s="87"/>
      <c r="G37" s="87"/>
      <c r="H37" s="87"/>
    </row>
  </sheetData>
  <mergeCells count="2">
    <mergeCell ref="F4:H4"/>
    <mergeCell ref="A9:B9"/>
  </mergeCells>
  <pageMargins left="0.74803149606299202" right="0.17" top="0.74803149606299202" bottom="0.511811023622047" header="0.43307086614173201" footer="0.31496062992126"/>
  <pageSetup paperSize="9" firstPageNumber="53" orientation="portrait" useFirstPageNumber="1" r:id="rId1"/>
  <headerFooter alignWithMargins="0">
    <oddHeader>&amp;C&amp;"Times New Roman,Regular"&amp;13&amp;P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topLeftCell="A25" zoomScale="90" zoomScaleNormal="90" workbookViewId="0">
      <selection activeCell="L12" sqref="L12"/>
    </sheetView>
  </sheetViews>
  <sheetFormatPr defaultColWidth="10.28515625" defaultRowHeight="15.75"/>
  <cols>
    <col min="1" max="1" width="1.7109375" style="849" customWidth="1"/>
    <col min="2" max="2" width="38.42578125" style="849" customWidth="1"/>
    <col min="3" max="4" width="8.28515625" style="849" customWidth="1"/>
    <col min="5" max="5" width="7.7109375" style="849" customWidth="1"/>
    <col min="6" max="6" width="8.28515625" style="849" customWidth="1"/>
    <col min="7" max="7" width="7.7109375" style="849" customWidth="1"/>
    <col min="8" max="8" width="8" customWidth="1"/>
    <col min="9" max="16384" width="10.28515625" style="849"/>
  </cols>
  <sheetData>
    <row r="1" spans="1:10" ht="18" customHeight="1">
      <c r="A1" s="848" t="s">
        <v>701</v>
      </c>
      <c r="B1" s="848"/>
    </row>
    <row r="2" spans="1:10" ht="18" customHeight="1">
      <c r="A2" s="848"/>
      <c r="B2" s="848"/>
    </row>
    <row r="3" spans="1:10" ht="18" customHeight="1">
      <c r="A3" s="850"/>
      <c r="B3" s="851"/>
      <c r="C3" s="852"/>
      <c r="D3" s="852"/>
      <c r="E3" s="852"/>
      <c r="F3" s="852"/>
      <c r="G3" s="852"/>
      <c r="H3" s="853" t="s">
        <v>274</v>
      </c>
    </row>
    <row r="4" spans="1:10" ht="18" customHeight="1">
      <c r="A4" s="854"/>
      <c r="B4" s="855"/>
      <c r="C4" s="84" t="s">
        <v>300</v>
      </c>
      <c r="D4" s="84" t="s">
        <v>142</v>
      </c>
      <c r="E4" s="84" t="s">
        <v>702</v>
      </c>
      <c r="F4" s="933" t="s">
        <v>194</v>
      </c>
      <c r="G4" s="933"/>
      <c r="H4" s="933"/>
    </row>
    <row r="5" spans="1:10" ht="18" customHeight="1">
      <c r="A5" s="850"/>
      <c r="B5" s="856"/>
      <c r="C5" s="87" t="s">
        <v>39</v>
      </c>
      <c r="D5" s="87" t="s">
        <v>195</v>
      </c>
      <c r="E5" s="87" t="s">
        <v>703</v>
      </c>
      <c r="F5" s="87" t="s">
        <v>42</v>
      </c>
      <c r="G5" s="87" t="s">
        <v>43</v>
      </c>
      <c r="H5" s="87" t="s">
        <v>687</v>
      </c>
    </row>
    <row r="6" spans="1:10" ht="18" customHeight="1">
      <c r="A6" s="850"/>
      <c r="B6" s="856"/>
      <c r="C6" s="87" t="s">
        <v>41</v>
      </c>
      <c r="D6" s="87" t="s">
        <v>41</v>
      </c>
      <c r="E6" s="87" t="s">
        <v>686</v>
      </c>
      <c r="F6" s="87" t="s">
        <v>41</v>
      </c>
      <c r="G6" s="87" t="s">
        <v>41</v>
      </c>
      <c r="H6" s="87" t="s">
        <v>41</v>
      </c>
    </row>
    <row r="7" spans="1:10" ht="18" customHeight="1">
      <c r="A7" s="850"/>
      <c r="B7" s="857"/>
      <c r="C7" s="90">
        <v>2025</v>
      </c>
      <c r="D7" s="90">
        <v>2025</v>
      </c>
      <c r="E7" s="90">
        <v>2025</v>
      </c>
      <c r="F7" s="90">
        <v>2025</v>
      </c>
      <c r="G7" s="90">
        <v>2025</v>
      </c>
      <c r="H7" s="90">
        <v>2025</v>
      </c>
    </row>
    <row r="8" spans="1:10" ht="20.100000000000001" customHeight="1">
      <c r="A8" s="850"/>
      <c r="B8" s="857"/>
      <c r="C8" s="87"/>
      <c r="D8" s="87"/>
      <c r="E8" s="87"/>
      <c r="F8" s="87"/>
      <c r="G8" s="87"/>
      <c r="H8" s="87"/>
    </row>
    <row r="9" spans="1:10" ht="20.100000000000001" customHeight="1">
      <c r="A9" s="934" t="s">
        <v>265</v>
      </c>
      <c r="B9" s="934"/>
      <c r="C9" s="859">
        <v>1694327.5846901177</v>
      </c>
      <c r="D9" s="859">
        <v>1922776.0854836002</v>
      </c>
      <c r="E9" s="859">
        <v>6763098.1657598317</v>
      </c>
      <c r="F9" s="877">
        <v>108.25214164741845</v>
      </c>
      <c r="G9" s="877">
        <v>108.45952141445375</v>
      </c>
      <c r="H9" s="877">
        <v>108.01882998978387</v>
      </c>
      <c r="I9" s="861"/>
      <c r="J9" s="861"/>
    </row>
    <row r="10" spans="1:10" ht="18" customHeight="1">
      <c r="B10" s="864" t="s">
        <v>665</v>
      </c>
      <c r="C10" s="859">
        <v>168550.67237518259</v>
      </c>
      <c r="D10" s="859">
        <v>200732.66639201372</v>
      </c>
      <c r="E10" s="859">
        <v>680208.12593639013</v>
      </c>
      <c r="F10" s="877">
        <v>103.71218276900002</v>
      </c>
      <c r="G10" s="877">
        <v>103.69812373657406</v>
      </c>
      <c r="H10" s="877">
        <v>103.78279864922307</v>
      </c>
      <c r="I10" s="861"/>
      <c r="J10" s="861"/>
    </row>
    <row r="11" spans="1:10" ht="18" customHeight="1">
      <c r="A11" s="850"/>
      <c r="B11" s="865" t="s">
        <v>688</v>
      </c>
      <c r="C11" s="866">
        <v>118351.52035863875</v>
      </c>
      <c r="D11" s="866">
        <v>151896.33531261102</v>
      </c>
      <c r="E11" s="866">
        <v>499684.78880768688</v>
      </c>
      <c r="F11" s="878">
        <v>103.25462855111327</v>
      </c>
      <c r="G11" s="878">
        <v>103.58339612945824</v>
      </c>
      <c r="H11" s="878">
        <v>103.47690450910801</v>
      </c>
    </row>
    <row r="12" spans="1:10" ht="18" customHeight="1">
      <c r="A12" s="850"/>
      <c r="B12" s="865" t="s">
        <v>689</v>
      </c>
      <c r="C12" s="866">
        <v>7799.1611890081913</v>
      </c>
      <c r="D12" s="866">
        <v>9877</v>
      </c>
      <c r="E12" s="866">
        <v>32687</v>
      </c>
      <c r="F12" s="878">
        <v>104.60466478868069</v>
      </c>
      <c r="G12" s="878">
        <v>103.91748446597273</v>
      </c>
      <c r="H12" s="878">
        <v>105.70432209182192</v>
      </c>
    </row>
    <row r="13" spans="1:10" ht="18" customHeight="1">
      <c r="A13" s="850"/>
      <c r="B13" s="865" t="s">
        <v>429</v>
      </c>
      <c r="C13" s="866">
        <v>42399.990827535657</v>
      </c>
      <c r="D13" s="866">
        <v>38959.868257955532</v>
      </c>
      <c r="E13" s="866">
        <v>147835.81322821358</v>
      </c>
      <c r="F13" s="878">
        <v>104.84448188677821</v>
      </c>
      <c r="G13" s="878">
        <v>104.09191641838918</v>
      </c>
      <c r="H13" s="878">
        <v>104.40636205497411</v>
      </c>
    </row>
    <row r="14" spans="1:10" ht="18" customHeight="1">
      <c r="B14" s="864" t="s">
        <v>666</v>
      </c>
      <c r="C14" s="859">
        <v>642090.62700691936</v>
      </c>
      <c r="D14" s="859">
        <v>720672.43084992841</v>
      </c>
      <c r="E14" s="859">
        <v>2483979.9024262168</v>
      </c>
      <c r="F14" s="877">
        <v>109.39219779714404</v>
      </c>
      <c r="G14" s="877">
        <v>109.73017217214351</v>
      </c>
      <c r="H14" s="877">
        <v>108.94571141518929</v>
      </c>
      <c r="I14" s="861"/>
      <c r="J14" s="861"/>
    </row>
    <row r="15" spans="1:10" ht="18" customHeight="1">
      <c r="A15" s="850"/>
      <c r="B15" s="865" t="s">
        <v>690</v>
      </c>
      <c r="C15" s="866">
        <v>523549.63381131866</v>
      </c>
      <c r="D15" s="866">
        <v>577071.10086511041</v>
      </c>
      <c r="E15" s="866">
        <v>2032829.5290632707</v>
      </c>
      <c r="F15" s="878">
        <v>109.42506820390744</v>
      </c>
      <c r="G15" s="878">
        <v>109.87359062029192</v>
      </c>
      <c r="H15" s="878">
        <v>108.79689738983367</v>
      </c>
      <c r="I15" s="861"/>
      <c r="J15" s="861"/>
    </row>
    <row r="16" spans="1:10" ht="18" customHeight="1">
      <c r="A16" s="850"/>
      <c r="B16" s="868" t="s">
        <v>92</v>
      </c>
      <c r="C16" s="866">
        <v>34071.882847915615</v>
      </c>
      <c r="D16" s="866">
        <v>35353.56424214939</v>
      </c>
      <c r="E16" s="866">
        <v>141226.61956529814</v>
      </c>
      <c r="F16" s="878">
        <v>106.7616439838436</v>
      </c>
      <c r="G16" s="878">
        <v>104.83881418153101</v>
      </c>
      <c r="H16" s="878">
        <v>100.42298249879053</v>
      </c>
    </row>
    <row r="17" spans="1:10" ht="18" customHeight="1">
      <c r="A17" s="850"/>
      <c r="B17" s="868" t="s">
        <v>98</v>
      </c>
      <c r="C17" s="866">
        <v>416664.7358200383</v>
      </c>
      <c r="D17" s="866">
        <v>476534.06190857867</v>
      </c>
      <c r="E17" s="866">
        <v>1624660.8226201208</v>
      </c>
      <c r="F17" s="878">
        <v>109.61211466180256</v>
      </c>
      <c r="G17" s="878">
        <v>110.56097945187466</v>
      </c>
      <c r="H17" s="878">
        <v>109.96745166346713</v>
      </c>
    </row>
    <row r="18" spans="1:10" ht="27" customHeight="1">
      <c r="A18" s="850"/>
      <c r="B18" s="870" t="s">
        <v>704</v>
      </c>
      <c r="C18" s="866">
        <v>62659.174733733205</v>
      </c>
      <c r="D18" s="866">
        <v>54777.113929754734</v>
      </c>
      <c r="E18" s="866">
        <v>228548.74755559172</v>
      </c>
      <c r="F18" s="878">
        <v>109.87221901911808</v>
      </c>
      <c r="G18" s="878">
        <v>107.63749116140325</v>
      </c>
      <c r="H18" s="878">
        <v>106.39106608662733</v>
      </c>
    </row>
    <row r="19" spans="1:10" ht="27" customHeight="1">
      <c r="A19" s="850"/>
      <c r="B19" s="870" t="s">
        <v>691</v>
      </c>
      <c r="C19" s="866">
        <v>10153.840409631519</v>
      </c>
      <c r="D19" s="866">
        <v>10406.360784627601</v>
      </c>
      <c r="E19" s="866">
        <v>38393.339322260021</v>
      </c>
      <c r="F19" s="878">
        <v>108.18893154529394</v>
      </c>
      <c r="G19" s="878">
        <v>108.54917195000424</v>
      </c>
      <c r="H19" s="878">
        <v>107.81625250510108</v>
      </c>
    </row>
    <row r="20" spans="1:10" ht="20.100000000000001" customHeight="1">
      <c r="A20" s="850"/>
      <c r="B20" s="865" t="s">
        <v>621</v>
      </c>
      <c r="C20" s="866">
        <v>118540.99319560066</v>
      </c>
      <c r="D20" s="866">
        <v>143601.329984818</v>
      </c>
      <c r="E20" s="866">
        <v>451150.37336294603</v>
      </c>
      <c r="F20" s="878">
        <v>109.24725785095085</v>
      </c>
      <c r="G20" s="878">
        <v>109.15759172837451</v>
      </c>
      <c r="H20" s="878">
        <v>109.62133073989872</v>
      </c>
    </row>
    <row r="21" spans="1:10" ht="20.100000000000001" customHeight="1">
      <c r="B21" s="871" t="s">
        <v>491</v>
      </c>
      <c r="C21" s="859">
        <v>737635</v>
      </c>
      <c r="D21" s="859">
        <v>844425.39521028381</v>
      </c>
      <c r="E21" s="859">
        <v>3010140.3958135885</v>
      </c>
      <c r="F21" s="877">
        <v>108.68270937225779</v>
      </c>
      <c r="G21" s="877">
        <v>108.82454772885777</v>
      </c>
      <c r="H21" s="877">
        <v>108.61877906388968</v>
      </c>
      <c r="I21" s="861"/>
      <c r="J21" s="861"/>
    </row>
    <row r="22" spans="1:10" ht="27" customHeight="1">
      <c r="A22" s="850"/>
      <c r="B22" s="872" t="s">
        <v>692</v>
      </c>
      <c r="C22" s="866">
        <v>151757.46361813921</v>
      </c>
      <c r="D22" s="866">
        <v>171689.70580178525</v>
      </c>
      <c r="E22" s="866">
        <v>632410.45641320862</v>
      </c>
      <c r="F22" s="878">
        <v>108.94078287889248</v>
      </c>
      <c r="G22" s="878">
        <v>109.20681304728978</v>
      </c>
      <c r="H22" s="878">
        <v>108.51975991167502</v>
      </c>
      <c r="I22" s="862"/>
    </row>
    <row r="23" spans="1:10" ht="18" customHeight="1">
      <c r="A23" s="850"/>
      <c r="B23" s="865" t="s">
        <v>693</v>
      </c>
      <c r="C23" s="866">
        <v>97925.490727276891</v>
      </c>
      <c r="D23" s="866">
        <v>105405.67534708997</v>
      </c>
      <c r="E23" s="866">
        <v>410308.01771090017</v>
      </c>
      <c r="F23" s="878">
        <v>111.81133102333895</v>
      </c>
      <c r="G23" s="878">
        <v>110.82705262890751</v>
      </c>
      <c r="H23" s="878">
        <v>110.98805338700966</v>
      </c>
    </row>
    <row r="24" spans="1:10" ht="18" customHeight="1">
      <c r="A24" s="850"/>
      <c r="B24" s="865" t="s">
        <v>493</v>
      </c>
      <c r="C24" s="866">
        <v>44091.971195282342</v>
      </c>
      <c r="D24" s="866">
        <v>46966.053680775389</v>
      </c>
      <c r="E24" s="866">
        <v>171578.62355199573</v>
      </c>
      <c r="F24" s="878">
        <v>110.15758697699512</v>
      </c>
      <c r="G24" s="878">
        <v>110.0109021832375</v>
      </c>
      <c r="H24" s="878">
        <v>110.02236106827885</v>
      </c>
    </row>
    <row r="25" spans="1:10" ht="18" customHeight="1">
      <c r="A25" s="850"/>
      <c r="B25" s="865" t="s">
        <v>494</v>
      </c>
      <c r="C25" s="866">
        <v>96397.107966327952</v>
      </c>
      <c r="D25" s="866">
        <v>105519.48707863387</v>
      </c>
      <c r="E25" s="866">
        <v>386400.37639429694</v>
      </c>
      <c r="F25" s="878">
        <v>107.8730927955813</v>
      </c>
      <c r="G25" s="878">
        <v>108.40812333365494</v>
      </c>
      <c r="H25" s="878">
        <v>107.81549024674808</v>
      </c>
    </row>
    <row r="26" spans="1:10" ht="18" customHeight="1">
      <c r="A26" s="850"/>
      <c r="B26" s="865" t="s">
        <v>694</v>
      </c>
      <c r="C26" s="866">
        <v>93643.670096549991</v>
      </c>
      <c r="D26" s="866">
        <v>111759.91151757646</v>
      </c>
      <c r="E26" s="866">
        <v>368731.73457113781</v>
      </c>
      <c r="F26" s="878">
        <v>107.75643629671822</v>
      </c>
      <c r="G26" s="878">
        <v>109.34987994196781</v>
      </c>
      <c r="H26" s="878">
        <v>107.81691124098896</v>
      </c>
    </row>
    <row r="27" spans="1:10" ht="18" customHeight="1">
      <c r="A27" s="850"/>
      <c r="B27" s="872" t="s">
        <v>695</v>
      </c>
      <c r="C27" s="866">
        <v>54108.196734619945</v>
      </c>
      <c r="D27" s="866">
        <v>67818.73617123437</v>
      </c>
      <c r="E27" s="866">
        <v>223768.36917655508</v>
      </c>
      <c r="F27" s="878">
        <v>105.26426581490918</v>
      </c>
      <c r="G27" s="878">
        <v>104.48065074406563</v>
      </c>
      <c r="H27" s="878">
        <v>104.62786835221361</v>
      </c>
    </row>
    <row r="28" spans="1:10" ht="27" customHeight="1">
      <c r="A28" s="850"/>
      <c r="B28" s="872" t="s">
        <v>705</v>
      </c>
      <c r="C28" s="866">
        <v>43973.447791897139</v>
      </c>
      <c r="D28" s="866">
        <v>48639.159981282704</v>
      </c>
      <c r="E28" s="866">
        <v>171779.38857691005</v>
      </c>
      <c r="F28" s="878">
        <v>107.6732088980192</v>
      </c>
      <c r="G28" s="878">
        <v>108.9290134208029</v>
      </c>
      <c r="H28" s="878">
        <v>107.50646811215302</v>
      </c>
    </row>
    <row r="29" spans="1:10" ht="20.100000000000001" customHeight="1">
      <c r="A29" s="850"/>
      <c r="B29" s="865" t="s">
        <v>697</v>
      </c>
      <c r="C29" s="866">
        <v>26051.317003867287</v>
      </c>
      <c r="D29" s="866">
        <v>25618.229354722251</v>
      </c>
      <c r="E29" s="866">
        <v>108997.94094631134</v>
      </c>
      <c r="F29" s="878">
        <v>113.67564579895873</v>
      </c>
      <c r="G29" s="878">
        <v>113.11895554770706</v>
      </c>
      <c r="H29" s="878">
        <v>113.34992675192342</v>
      </c>
    </row>
    <row r="30" spans="1:10" ht="40.5" customHeight="1">
      <c r="A30" s="850"/>
      <c r="B30" s="872" t="s">
        <v>698</v>
      </c>
      <c r="C30" s="866">
        <v>31719.353317729525</v>
      </c>
      <c r="D30" s="866">
        <v>45507.658251476838</v>
      </c>
      <c r="E30" s="866">
        <v>138145.92983175206</v>
      </c>
      <c r="F30" s="878">
        <v>106.89547491302997</v>
      </c>
      <c r="G30" s="878">
        <v>107.68461011142571</v>
      </c>
      <c r="H30" s="878">
        <v>109.8140652812228</v>
      </c>
    </row>
    <row r="31" spans="1:10" ht="18" customHeight="1">
      <c r="A31" s="850"/>
      <c r="B31" s="872" t="s">
        <v>495</v>
      </c>
      <c r="C31" s="866">
        <v>50333.367357036899</v>
      </c>
      <c r="D31" s="866">
        <v>61301.852762990398</v>
      </c>
      <c r="E31" s="866">
        <v>208528.50778380557</v>
      </c>
      <c r="F31" s="878">
        <v>107.31298103219147</v>
      </c>
      <c r="G31" s="878">
        <v>107.52140935439058</v>
      </c>
      <c r="H31" s="878">
        <v>108.81999999999985</v>
      </c>
    </row>
    <row r="32" spans="1:10" ht="18" customHeight="1">
      <c r="A32" s="850"/>
      <c r="B32" s="865" t="s">
        <v>496</v>
      </c>
      <c r="C32" s="866">
        <v>23013.061940567259</v>
      </c>
      <c r="D32" s="866">
        <v>25414.356051685802</v>
      </c>
      <c r="E32" s="866">
        <v>86194.549820209097</v>
      </c>
      <c r="F32" s="878">
        <v>106.08277613493114</v>
      </c>
      <c r="G32" s="878">
        <v>107.05063788130933</v>
      </c>
      <c r="H32" s="878">
        <v>105.81614783591151</v>
      </c>
    </row>
    <row r="33" spans="1:10" ht="18" customHeight="1">
      <c r="A33" s="850"/>
      <c r="B33" s="865" t="s">
        <v>497</v>
      </c>
      <c r="C33" s="866">
        <v>12916.581861798695</v>
      </c>
      <c r="D33" s="866">
        <v>15184.326637688613</v>
      </c>
      <c r="E33" s="866">
        <v>52910.163196607464</v>
      </c>
      <c r="F33" s="878">
        <v>113.81961817293795</v>
      </c>
      <c r="G33" s="878">
        <v>111.54131179358619</v>
      </c>
      <c r="H33" s="878">
        <v>111.30143456107457</v>
      </c>
    </row>
    <row r="34" spans="1:10" ht="18" customHeight="1">
      <c r="A34" s="850"/>
      <c r="B34" s="865" t="s">
        <v>627</v>
      </c>
      <c r="C34" s="866">
        <v>9938.7068985898459</v>
      </c>
      <c r="D34" s="866">
        <v>11715.539698992434</v>
      </c>
      <c r="E34" s="866">
        <v>43288.869001750085</v>
      </c>
      <c r="F34" s="878">
        <v>109.04076499984166</v>
      </c>
      <c r="G34" s="878">
        <v>108.23316393925946</v>
      </c>
      <c r="H34" s="878">
        <v>109.10112599846732</v>
      </c>
    </row>
    <row r="35" spans="1:10" ht="39.75" customHeight="1">
      <c r="A35" s="850"/>
      <c r="B35" s="872" t="s">
        <v>699</v>
      </c>
      <c r="C35" s="866">
        <v>1765.9504791380787</v>
      </c>
      <c r="D35" s="866">
        <v>1884.7028743495548</v>
      </c>
      <c r="E35" s="866">
        <v>7097.4688381491642</v>
      </c>
      <c r="F35" s="878">
        <v>107.76279250040879</v>
      </c>
      <c r="G35" s="878">
        <v>108.64337621802829</v>
      </c>
      <c r="H35" s="878">
        <v>107.72</v>
      </c>
      <c r="I35" s="876"/>
      <c r="J35" s="876"/>
    </row>
    <row r="36" spans="1:10" ht="20.100000000000001" customHeight="1">
      <c r="B36" s="864" t="s">
        <v>700</v>
      </c>
      <c r="C36" s="859">
        <v>146050.59831919469</v>
      </c>
      <c r="D36" s="859">
        <v>156945.5930313743</v>
      </c>
      <c r="E36" s="859">
        <v>588769.7415836358</v>
      </c>
      <c r="F36" s="877">
        <v>106.62</v>
      </c>
      <c r="G36" s="877">
        <v>107.12118879999998</v>
      </c>
      <c r="H36" s="877">
        <v>106.21556546175559</v>
      </c>
    </row>
    <row r="37" spans="1:10" ht="20.100000000000001" customHeight="1">
      <c r="G37" s="861"/>
    </row>
    <row r="38" spans="1:10" ht="20.100000000000001" customHeight="1"/>
  </sheetData>
  <mergeCells count="2">
    <mergeCell ref="F4:H4"/>
    <mergeCell ref="A9:B9"/>
  </mergeCells>
  <pageMargins left="0.74803149606299202" right="0.17" top="0.74803149606299202" bottom="0.511811023622047" header="0.43307086614173201" footer="0.31496062992126"/>
  <pageSetup paperSize="9" firstPageNumber="39" orientation="portrait" r:id="rId1"/>
  <headerFooter alignWithMargins="0">
    <oddHeader>&amp;C&amp;"Times New Roman,Regular"&amp;13&amp;P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R38"/>
  <sheetViews>
    <sheetView workbookViewId="0">
      <selection activeCell="L15" sqref="L15"/>
    </sheetView>
  </sheetViews>
  <sheetFormatPr defaultColWidth="10.28515625" defaultRowHeight="21.75" customHeight="1"/>
  <cols>
    <col min="1" max="1" width="39" style="5" customWidth="1"/>
    <col min="2" max="2" width="14.28515625" style="5" customWidth="1"/>
    <col min="3" max="3" width="11.7109375" style="5" customWidth="1"/>
    <col min="4" max="4" width="16.7109375" style="5" customWidth="1"/>
    <col min="5" max="16384" width="10.28515625" style="5"/>
  </cols>
  <sheetData>
    <row r="1" spans="1:252" ht="21.75" customHeight="1">
      <c r="A1" s="1" t="s">
        <v>53</v>
      </c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</row>
    <row r="2" spans="1:252" ht="21.75" customHeight="1">
      <c r="A2" s="2"/>
      <c r="B2" s="6"/>
      <c r="C2" s="6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</row>
    <row r="3" spans="1:252" ht="20.100000000000001" customHeight="1">
      <c r="A3" s="7"/>
      <c r="B3" s="8"/>
      <c r="C3" s="7"/>
      <c r="D3" s="9" t="s">
        <v>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</row>
    <row r="4" spans="1:252" ht="20.100000000000001" customHeight="1">
      <c r="A4" s="10"/>
      <c r="B4" s="11" t="s">
        <v>1</v>
      </c>
      <c r="C4" s="11" t="s">
        <v>1</v>
      </c>
      <c r="D4" s="11" t="s">
        <v>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</row>
    <row r="5" spans="1:252" ht="20.100000000000001" customHeight="1">
      <c r="A5" s="7"/>
      <c r="B5" s="12" t="s">
        <v>3</v>
      </c>
      <c r="C5" s="12" t="s">
        <v>4</v>
      </c>
      <c r="D5" s="12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</row>
    <row r="6" spans="1:252" ht="20.100000000000001" customHeight="1">
      <c r="A6" s="7"/>
      <c r="B6" s="13" t="s">
        <v>6</v>
      </c>
      <c r="C6" s="13"/>
      <c r="D6" s="13" t="s">
        <v>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</row>
    <row r="7" spans="1:252" ht="20.100000000000001" customHeight="1">
      <c r="A7" s="14"/>
      <c r="B7" s="14"/>
      <c r="C7" s="14"/>
      <c r="D7" s="15"/>
    </row>
    <row r="8" spans="1:252" ht="20.100000000000001" customHeight="1">
      <c r="A8" s="98" t="s">
        <v>57</v>
      </c>
      <c r="B8" s="99">
        <v>905.30000000000007</v>
      </c>
      <c r="C8" s="99">
        <v>746.8</v>
      </c>
      <c r="D8" s="17">
        <f>C8/B8*100</f>
        <v>82.491991604992805</v>
      </c>
    </row>
    <row r="9" spans="1:252" ht="20.100000000000001" customHeight="1">
      <c r="A9" s="100" t="s">
        <v>58</v>
      </c>
      <c r="B9" s="101">
        <v>905.30000000000007</v>
      </c>
      <c r="C9" s="101">
        <v>746.8</v>
      </c>
      <c r="D9" s="20">
        <f>C9/B9*100</f>
        <v>82.491991604992805</v>
      </c>
    </row>
    <row r="10" spans="1:252" ht="20.100000000000001" customHeight="1">
      <c r="A10" s="98" t="s">
        <v>59</v>
      </c>
      <c r="B10" s="103">
        <v>1483.6100000000001</v>
      </c>
      <c r="C10" s="103">
        <v>1496.1</v>
      </c>
      <c r="D10" s="17">
        <v>100.84186544981497</v>
      </c>
    </row>
    <row r="11" spans="1:252" ht="20.100000000000001" customHeight="1">
      <c r="A11" s="100" t="s">
        <v>60</v>
      </c>
      <c r="B11" s="101">
        <v>935.93999999999994</v>
      </c>
      <c r="C11" s="101">
        <v>945.80000000000007</v>
      </c>
      <c r="D11" s="20">
        <v>101.05348633459413</v>
      </c>
    </row>
    <row r="12" spans="1:252" ht="20.100000000000001" customHeight="1">
      <c r="A12" s="100" t="s">
        <v>58</v>
      </c>
      <c r="B12" s="101">
        <v>547.67000000000007</v>
      </c>
      <c r="C12" s="101">
        <v>550.29999999999995</v>
      </c>
      <c r="D12" s="20">
        <v>100.4802161885807</v>
      </c>
    </row>
    <row r="13" spans="1:252" ht="20.100000000000001" customHeight="1">
      <c r="A13" s="98" t="s">
        <v>61</v>
      </c>
      <c r="B13" s="99">
        <v>717.8</v>
      </c>
      <c r="C13" s="99">
        <v>681.49999999999989</v>
      </c>
      <c r="D13" s="17">
        <v>94.942881025355234</v>
      </c>
    </row>
    <row r="14" spans="1:252" ht="20.100000000000001" customHeight="1">
      <c r="A14" s="98" t="s">
        <v>62</v>
      </c>
      <c r="B14" s="101"/>
      <c r="C14" s="101"/>
      <c r="D14" s="17"/>
    </row>
    <row r="15" spans="1:252" ht="20.100000000000001" customHeight="1">
      <c r="A15" s="102" t="s">
        <v>8</v>
      </c>
      <c r="B15" s="101">
        <v>132</v>
      </c>
      <c r="C15" s="101">
        <v>124.89999999999998</v>
      </c>
      <c r="D15" s="20">
        <v>94.62121212121211</v>
      </c>
    </row>
    <row r="16" spans="1:252" ht="21.75" customHeight="1">
      <c r="A16" s="102" t="s">
        <v>9</v>
      </c>
      <c r="B16" s="101">
        <v>24.799999999999997</v>
      </c>
      <c r="C16" s="101">
        <v>22.900000000000002</v>
      </c>
      <c r="D16" s="20">
        <v>92.338709677419374</v>
      </c>
    </row>
    <row r="17" spans="1:4" ht="21.75" customHeight="1">
      <c r="A17" s="102" t="s">
        <v>10</v>
      </c>
      <c r="B17" s="101">
        <v>3.4000000000000004</v>
      </c>
      <c r="C17" s="101">
        <v>3</v>
      </c>
      <c r="D17" s="20">
        <v>88.235294117647044</v>
      </c>
    </row>
    <row r="18" spans="1:4" ht="21.75" customHeight="1">
      <c r="A18" s="102" t="s">
        <v>11</v>
      </c>
      <c r="B18" s="101">
        <v>10.1</v>
      </c>
      <c r="C18" s="101">
        <v>9.1999999999999993</v>
      </c>
      <c r="D18" s="20">
        <v>91.089108910891085</v>
      </c>
    </row>
    <row r="19" spans="1:4" ht="21.75" customHeight="1">
      <c r="A19" s="102" t="s">
        <v>31</v>
      </c>
      <c r="B19" s="101">
        <v>208.7</v>
      </c>
      <c r="C19" s="101">
        <v>208.70999999999998</v>
      </c>
      <c r="D19" s="20">
        <v>100.00479156684234</v>
      </c>
    </row>
    <row r="20" spans="1:4" ht="21.75" customHeight="1">
      <c r="A20" s="102" t="s">
        <v>63</v>
      </c>
      <c r="B20" s="101">
        <v>4.6000000000000005</v>
      </c>
      <c r="C20" s="101">
        <v>4.9000000000000004</v>
      </c>
      <c r="D20" s="20">
        <v>106.52173913043477</v>
      </c>
    </row>
    <row r="21" spans="1:4" ht="21.75" customHeight="1">
      <c r="A21" s="14"/>
      <c r="B21" s="18"/>
      <c r="C21" s="19"/>
      <c r="D21" s="20"/>
    </row>
    <row r="22" spans="1:4" ht="21.75" customHeight="1">
      <c r="A22" s="14"/>
      <c r="B22" s="18"/>
      <c r="C22" s="19"/>
      <c r="D22" s="20"/>
    </row>
    <row r="23" spans="1:4" ht="21.75" customHeight="1">
      <c r="A23" s="14"/>
      <c r="B23" s="18"/>
      <c r="C23" s="19"/>
      <c r="D23" s="20"/>
    </row>
    <row r="24" spans="1:4" ht="21.75" customHeight="1">
      <c r="A24" s="14"/>
      <c r="B24" s="18"/>
      <c r="C24" s="19"/>
      <c r="D24" s="20"/>
    </row>
    <row r="25" spans="1:4" ht="21.75" customHeight="1">
      <c r="A25" s="22"/>
      <c r="B25" s="22"/>
      <c r="C25" s="22"/>
      <c r="D25" s="22"/>
    </row>
    <row r="26" spans="1:4" ht="21.75" customHeight="1">
      <c r="A26" s="22"/>
      <c r="B26" s="22"/>
    </row>
    <row r="27" spans="1:4" ht="21.75" customHeight="1">
      <c r="A27" s="22"/>
      <c r="B27" s="22"/>
      <c r="D27" s="22"/>
    </row>
    <row r="28" spans="1:4" ht="21.75" customHeight="1">
      <c r="A28" s="22"/>
      <c r="B28" s="22"/>
      <c r="D28" s="22"/>
    </row>
    <row r="29" spans="1:4" ht="21.75" customHeight="1">
      <c r="A29" s="22"/>
      <c r="B29" s="22"/>
      <c r="D29" s="22"/>
    </row>
    <row r="30" spans="1:4" ht="21.75" customHeight="1">
      <c r="A30" s="22"/>
      <c r="B30" s="22"/>
      <c r="D30" s="22"/>
    </row>
    <row r="31" spans="1:4" ht="21.75" customHeight="1">
      <c r="A31" s="22"/>
      <c r="B31" s="22"/>
      <c r="D31" s="22"/>
    </row>
    <row r="32" spans="1:4" ht="21.75" customHeight="1">
      <c r="A32" s="22"/>
      <c r="B32" s="22"/>
      <c r="D32" s="22"/>
    </row>
    <row r="33" spans="1:4" ht="21.75" customHeight="1">
      <c r="A33" s="22"/>
      <c r="B33" s="22"/>
      <c r="D33" s="22"/>
    </row>
    <row r="34" spans="1:4" ht="21.75" customHeight="1">
      <c r="A34" s="22"/>
      <c r="B34" s="22"/>
      <c r="D34" s="22"/>
    </row>
    <row r="35" spans="1:4" ht="21.75" customHeight="1">
      <c r="A35" s="22"/>
      <c r="B35" s="22"/>
      <c r="D35" s="22"/>
    </row>
    <row r="36" spans="1:4" ht="21.75" customHeight="1">
      <c r="A36" s="22"/>
      <c r="B36" s="22"/>
      <c r="D36" s="22"/>
    </row>
    <row r="37" spans="1:4" ht="21.75" customHeight="1">
      <c r="A37" s="22"/>
      <c r="B37" s="22"/>
      <c r="D37" s="22"/>
    </row>
    <row r="38" spans="1:4" ht="21.75" customHeight="1">
      <c r="A38" s="22"/>
      <c r="B38" s="22"/>
      <c r="D38" s="22"/>
    </row>
  </sheetData>
  <pageMargins left="0.74803149606299202" right="0.17" top="0.74803149606299202" bottom="0.511811023622047" header="0.43307086614173201" footer="0.31496062992126"/>
  <pageSetup paperSize="9" firstPageNumber="39" orientation="portrait" r:id="rId1"/>
  <headerFooter alignWithMargins="0">
    <oddHeader>&amp;C&amp;"Times New Roman,Regular"&amp;13&amp;P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zoomScale="160" zoomScaleNormal="160" workbookViewId="0">
      <selection activeCell="L15" sqref="L15"/>
    </sheetView>
  </sheetViews>
  <sheetFormatPr defaultColWidth="10.28515625" defaultRowHeight="12.75"/>
  <cols>
    <col min="1" max="1" width="40.140625" style="27" customWidth="1"/>
    <col min="2" max="2" width="12.42578125" style="27" customWidth="1"/>
    <col min="3" max="3" width="13" style="27" customWidth="1"/>
    <col min="4" max="4" width="13.7109375" style="27" customWidth="1"/>
    <col min="5" max="5" width="0" style="27" hidden="1" customWidth="1"/>
    <col min="6" max="16384" width="10.28515625" style="27"/>
  </cols>
  <sheetData>
    <row r="1" spans="1:7" s="25" customFormat="1" ht="25.5" customHeight="1">
      <c r="A1" s="23" t="s">
        <v>12</v>
      </c>
      <c r="B1" s="24"/>
      <c r="C1" s="24"/>
      <c r="D1" s="24"/>
    </row>
    <row r="2" spans="1:7">
      <c r="A2" s="26"/>
      <c r="B2" s="26"/>
      <c r="C2" s="26"/>
      <c r="D2" s="26"/>
    </row>
    <row r="3" spans="1:7" ht="36" customHeight="1">
      <c r="A3" s="28"/>
      <c r="B3" s="29" t="s">
        <v>54</v>
      </c>
      <c r="C3" s="30" t="s">
        <v>55</v>
      </c>
      <c r="D3" s="30" t="s">
        <v>56</v>
      </c>
    </row>
    <row r="4" spans="1:7" ht="18.75" customHeight="1">
      <c r="A4" s="31" t="s">
        <v>13</v>
      </c>
    </row>
    <row r="5" spans="1:7" ht="18.75" customHeight="1">
      <c r="A5" s="32" t="s">
        <v>14</v>
      </c>
    </row>
    <row r="6" spans="1:7" ht="18.75" customHeight="1">
      <c r="A6" s="33" t="s">
        <v>15</v>
      </c>
      <c r="B6" s="34">
        <v>7127.1</v>
      </c>
      <c r="C6" s="34">
        <v>7126.0400000000009</v>
      </c>
      <c r="D6" s="37">
        <v>99.99</v>
      </c>
      <c r="E6" s="35">
        <f t="shared" ref="E6:E28" si="0">C6-B6</f>
        <v>-1.0599999999994907</v>
      </c>
      <c r="F6" s="932"/>
      <c r="G6" s="35"/>
    </row>
    <row r="7" spans="1:7" ht="18.75" customHeight="1">
      <c r="A7" s="33" t="s">
        <v>16</v>
      </c>
      <c r="B7" s="34">
        <v>61</v>
      </c>
      <c r="C7" s="34">
        <v>61.100134155856537</v>
      </c>
      <c r="D7" s="34">
        <v>100.2</v>
      </c>
      <c r="E7" s="35">
        <f t="shared" si="0"/>
        <v>0.10013415585653718</v>
      </c>
      <c r="F7" s="35"/>
      <c r="G7" s="35"/>
    </row>
    <row r="8" spans="1:7" ht="18.75" customHeight="1">
      <c r="A8" s="36" t="s">
        <v>17</v>
      </c>
      <c r="B8" s="34">
        <v>43451.6</v>
      </c>
      <c r="C8" s="34">
        <v>43540.2</v>
      </c>
      <c r="D8" s="37">
        <v>100.2</v>
      </c>
      <c r="E8" s="35">
        <f t="shared" si="0"/>
        <v>88.599999999998545</v>
      </c>
      <c r="F8" s="35"/>
      <c r="G8" s="35"/>
    </row>
    <row r="9" spans="1:7" ht="18.75" customHeight="1">
      <c r="A9" s="32" t="s">
        <v>18</v>
      </c>
      <c r="B9" s="34"/>
      <c r="C9" s="34"/>
      <c r="D9" s="37"/>
      <c r="E9" s="35">
        <f t="shared" si="0"/>
        <v>0</v>
      </c>
    </row>
    <row r="10" spans="1:7" ht="18.75" customHeight="1">
      <c r="A10" s="33" t="s">
        <v>15</v>
      </c>
      <c r="B10" s="34">
        <v>2954.1</v>
      </c>
      <c r="C10" s="34">
        <v>2969.8</v>
      </c>
      <c r="D10" s="34">
        <v>100.5</v>
      </c>
      <c r="E10" s="35">
        <f t="shared" si="0"/>
        <v>15.700000000000273</v>
      </c>
    </row>
    <row r="11" spans="1:7" ht="18.75" customHeight="1">
      <c r="A11" s="33" t="s">
        <v>16</v>
      </c>
      <c r="B11" s="34">
        <v>68.8</v>
      </c>
      <c r="C11" s="34">
        <v>68.576873863559825</v>
      </c>
      <c r="D11" s="34">
        <v>99.7</v>
      </c>
      <c r="E11" s="35">
        <f t="shared" si="0"/>
        <v>-0.22312613644017176</v>
      </c>
    </row>
    <row r="12" spans="1:7" ht="18.75" customHeight="1">
      <c r="A12" s="36" t="s">
        <v>17</v>
      </c>
      <c r="B12" s="34">
        <v>20333.900000000001</v>
      </c>
      <c r="C12" s="34">
        <v>20365.96</v>
      </c>
      <c r="D12" s="34">
        <v>100.2</v>
      </c>
      <c r="E12" s="35">
        <f t="shared" si="0"/>
        <v>32.059999999997672</v>
      </c>
    </row>
    <row r="13" spans="1:7" ht="18.75" customHeight="1">
      <c r="A13" s="32" t="s">
        <v>19</v>
      </c>
      <c r="B13" s="34"/>
      <c r="C13" s="34"/>
      <c r="D13" s="34"/>
      <c r="E13" s="35">
        <f t="shared" si="0"/>
        <v>0</v>
      </c>
    </row>
    <row r="14" spans="1:7" ht="18.75" customHeight="1">
      <c r="A14" s="33" t="s">
        <v>15</v>
      </c>
      <c r="B14" s="34">
        <v>1909.2</v>
      </c>
      <c r="C14" s="34">
        <v>1898.4028799999999</v>
      </c>
      <c r="D14" s="34">
        <v>99.4</v>
      </c>
      <c r="E14" s="35">
        <f t="shared" si="0"/>
        <v>-10.797120000000177</v>
      </c>
    </row>
    <row r="15" spans="1:7" ht="18.75" customHeight="1">
      <c r="A15" s="33" t="s">
        <v>16</v>
      </c>
      <c r="B15" s="34">
        <v>58.4</v>
      </c>
      <c r="C15" s="34">
        <v>57.360947594537997</v>
      </c>
      <c r="D15" s="34">
        <v>98.2</v>
      </c>
      <c r="E15" s="35">
        <f t="shared" si="0"/>
        <v>-1.0390524054620016</v>
      </c>
    </row>
    <row r="16" spans="1:7" ht="18.75" customHeight="1">
      <c r="A16" s="36" t="s">
        <v>17</v>
      </c>
      <c r="B16" s="34">
        <v>11158.5</v>
      </c>
      <c r="C16" s="34">
        <v>10889.4188113</v>
      </c>
      <c r="D16" s="34">
        <v>97.6</v>
      </c>
      <c r="E16" s="35">
        <f t="shared" si="0"/>
        <v>-269.08118869999998</v>
      </c>
    </row>
    <row r="17" spans="1:7" ht="18.75" customHeight="1">
      <c r="A17" s="32" t="s">
        <v>20</v>
      </c>
      <c r="B17" s="34"/>
      <c r="C17" s="34"/>
      <c r="D17" s="34"/>
      <c r="E17" s="35">
        <f t="shared" si="0"/>
        <v>0</v>
      </c>
    </row>
    <row r="18" spans="1:7" ht="18.75" customHeight="1">
      <c r="A18" s="33" t="s">
        <v>15</v>
      </c>
      <c r="B18" s="34">
        <v>717.9</v>
      </c>
      <c r="C18" s="34">
        <v>716.56000000000006</v>
      </c>
      <c r="D18" s="34">
        <v>99.8</v>
      </c>
      <c r="E18" s="35">
        <f t="shared" si="0"/>
        <v>-1.3399999999999181</v>
      </c>
    </row>
    <row r="19" spans="1:7" ht="18.75" customHeight="1">
      <c r="A19" s="33" t="s">
        <v>16</v>
      </c>
      <c r="B19" s="34">
        <v>58.4</v>
      </c>
      <c r="C19" s="34">
        <v>58.710645305347754</v>
      </c>
      <c r="D19" s="34">
        <v>100.5</v>
      </c>
      <c r="E19" s="35">
        <f t="shared" si="0"/>
        <v>0.31064530534775514</v>
      </c>
    </row>
    <row r="20" spans="1:7" ht="18.75" customHeight="1">
      <c r="A20" s="36" t="s">
        <v>17</v>
      </c>
      <c r="B20" s="34">
        <v>4194.5</v>
      </c>
      <c r="C20" s="34">
        <v>4206.9699999999993</v>
      </c>
      <c r="D20" s="34">
        <v>100.3</v>
      </c>
      <c r="E20" s="35">
        <f t="shared" si="0"/>
        <v>12.469999999999345</v>
      </c>
    </row>
    <row r="21" spans="1:7" ht="18.75" customHeight="1">
      <c r="A21" s="32" t="s">
        <v>21</v>
      </c>
      <c r="B21" s="34"/>
      <c r="C21" s="34"/>
      <c r="D21" s="34"/>
      <c r="E21" s="35">
        <f t="shared" si="0"/>
        <v>0</v>
      </c>
    </row>
    <row r="22" spans="1:7" ht="18.75" customHeight="1">
      <c r="A22" s="33" t="s">
        <v>15</v>
      </c>
      <c r="B22" s="34">
        <v>1545.9</v>
      </c>
      <c r="C22" s="34">
        <v>1541.29</v>
      </c>
      <c r="D22" s="34">
        <v>99.7</v>
      </c>
      <c r="E22" s="35">
        <f t="shared" si="0"/>
        <v>-4.6100000000001273</v>
      </c>
    </row>
    <row r="23" spans="1:7" ht="18.75" customHeight="1">
      <c r="A23" s="33" t="s">
        <v>16</v>
      </c>
      <c r="B23" s="34">
        <v>50.2</v>
      </c>
      <c r="C23" s="34">
        <v>52.384366342479353</v>
      </c>
      <c r="D23" s="34">
        <v>104.4</v>
      </c>
      <c r="E23" s="35">
        <f t="shared" si="0"/>
        <v>2.1843663424793505</v>
      </c>
    </row>
    <row r="24" spans="1:7" ht="18.75" customHeight="1">
      <c r="A24" s="36" t="s">
        <v>17</v>
      </c>
      <c r="B24" s="34">
        <v>7759.2</v>
      </c>
      <c r="C24" s="34">
        <v>8073.95</v>
      </c>
      <c r="D24" s="34">
        <v>104.1</v>
      </c>
      <c r="E24" s="35">
        <f t="shared" si="0"/>
        <v>314.75</v>
      </c>
    </row>
    <row r="25" spans="1:7" ht="18.75" customHeight="1">
      <c r="A25" s="32" t="s">
        <v>8</v>
      </c>
      <c r="B25" s="34"/>
      <c r="C25" s="34"/>
      <c r="D25" s="34"/>
      <c r="E25" s="35">
        <f t="shared" si="0"/>
        <v>0</v>
      </c>
    </row>
    <row r="26" spans="1:7" ht="18.75" customHeight="1">
      <c r="A26" s="33" t="s">
        <v>15</v>
      </c>
      <c r="B26" s="34">
        <v>871.5</v>
      </c>
      <c r="C26" s="34">
        <v>865.6</v>
      </c>
      <c r="D26" s="34">
        <v>99.3</v>
      </c>
      <c r="E26" s="35">
        <f t="shared" si="0"/>
        <v>-5.8999999999999773</v>
      </c>
    </row>
    <row r="27" spans="1:7" ht="18.75" customHeight="1">
      <c r="A27" s="33" t="s">
        <v>16</v>
      </c>
      <c r="B27" s="34">
        <v>50.5</v>
      </c>
      <c r="C27" s="34">
        <v>50.9</v>
      </c>
      <c r="D27" s="34">
        <v>100.8</v>
      </c>
      <c r="E27" s="35">
        <f t="shared" si="0"/>
        <v>0.39999999999999858</v>
      </c>
    </row>
    <row r="28" spans="1:7" ht="18.75" customHeight="1">
      <c r="A28" s="36" t="s">
        <v>17</v>
      </c>
      <c r="B28" s="34">
        <v>4402.2</v>
      </c>
      <c r="C28" s="34">
        <v>4410</v>
      </c>
      <c r="D28" s="34">
        <v>100.2</v>
      </c>
      <c r="E28" s="35">
        <f t="shared" si="0"/>
        <v>7.8000000000001819</v>
      </c>
    </row>
    <row r="29" spans="1:7" ht="18.75" customHeight="1">
      <c r="A29" s="38" t="s">
        <v>22</v>
      </c>
      <c r="E29" s="35"/>
    </row>
    <row r="30" spans="1:7" ht="18.75" customHeight="1">
      <c r="A30" s="38" t="s">
        <v>23</v>
      </c>
      <c r="B30" s="39">
        <v>47853.799999999996</v>
      </c>
      <c r="C30" s="39">
        <v>47950.2</v>
      </c>
      <c r="D30" s="39">
        <v>100.2</v>
      </c>
      <c r="E30" s="35">
        <f>+C31-B31</f>
        <v>88.599999999998545</v>
      </c>
      <c r="F30" s="35"/>
    </row>
    <row r="31" spans="1:7" ht="18.75" customHeight="1">
      <c r="A31" s="40" t="s">
        <v>24</v>
      </c>
      <c r="B31" s="34">
        <v>43451.6</v>
      </c>
      <c r="C31" s="34">
        <v>43540.2</v>
      </c>
      <c r="D31" s="34">
        <v>100.2</v>
      </c>
      <c r="E31" s="35">
        <f>C32-B32</f>
        <v>7.8000000000001819</v>
      </c>
      <c r="F31" s="35"/>
      <c r="G31" s="34"/>
    </row>
    <row r="32" spans="1:7" ht="18.75" customHeight="1">
      <c r="A32" s="40" t="s">
        <v>25</v>
      </c>
      <c r="B32" s="34">
        <v>4402.2</v>
      </c>
      <c r="C32" s="34">
        <v>4410</v>
      </c>
      <c r="D32" s="34">
        <v>100.2</v>
      </c>
      <c r="E32" s="35" t="e">
        <f>+#REF!-#REF!</f>
        <v>#REF!</v>
      </c>
      <c r="F32" s="35"/>
    </row>
    <row r="33" spans="1:5" ht="18.75" customHeight="1">
      <c r="A33" s="41" t="s">
        <v>26</v>
      </c>
      <c r="B33" s="34"/>
      <c r="C33" s="34"/>
      <c r="D33" s="34"/>
      <c r="E33" s="35">
        <f t="shared" ref="E33:E41" si="1">+C33-B33</f>
        <v>0</v>
      </c>
    </row>
    <row r="34" spans="1:5" ht="18.75" customHeight="1">
      <c r="A34" s="42" t="s">
        <v>9</v>
      </c>
      <c r="B34" s="34"/>
      <c r="C34" s="34"/>
      <c r="D34" s="34"/>
      <c r="E34" s="35">
        <f t="shared" si="1"/>
        <v>0</v>
      </c>
    </row>
    <row r="35" spans="1:5" ht="18.75" customHeight="1">
      <c r="A35" s="33" t="s">
        <v>15</v>
      </c>
      <c r="B35" s="34">
        <v>81</v>
      </c>
      <c r="C35" s="34">
        <v>77</v>
      </c>
      <c r="D35" s="34">
        <v>95.1</v>
      </c>
      <c r="E35" s="35">
        <f t="shared" si="1"/>
        <v>-4</v>
      </c>
    </row>
    <row r="36" spans="1:5" ht="18.75" customHeight="1">
      <c r="A36" s="33" t="s">
        <v>16</v>
      </c>
      <c r="B36" s="34">
        <v>120.1</v>
      </c>
      <c r="C36" s="34">
        <v>120.6</v>
      </c>
      <c r="D36" s="34">
        <v>100.4</v>
      </c>
      <c r="E36" s="35">
        <f t="shared" si="1"/>
        <v>0.5</v>
      </c>
    </row>
    <row r="37" spans="1:5" ht="18.75" customHeight="1">
      <c r="A37" s="36" t="s">
        <v>17</v>
      </c>
      <c r="B37" s="34">
        <v>972.9</v>
      </c>
      <c r="C37" s="34">
        <v>929</v>
      </c>
      <c r="D37" s="34">
        <v>95.5</v>
      </c>
      <c r="E37" s="35">
        <f t="shared" si="1"/>
        <v>-43.899999999999977</v>
      </c>
    </row>
    <row r="38" spans="1:5" ht="18.75" customHeight="1">
      <c r="A38" s="42" t="s">
        <v>27</v>
      </c>
      <c r="B38" s="34"/>
      <c r="C38" s="34"/>
      <c r="D38" s="34"/>
      <c r="E38" s="35">
        <f t="shared" si="1"/>
        <v>0</v>
      </c>
    </row>
    <row r="39" spans="1:5" ht="18.75" customHeight="1">
      <c r="A39" s="33" t="s">
        <v>15</v>
      </c>
      <c r="B39" s="34">
        <v>517.70000000000005</v>
      </c>
      <c r="C39" s="34">
        <v>499.1</v>
      </c>
      <c r="D39" s="34">
        <v>96.4</v>
      </c>
      <c r="E39" s="35">
        <f t="shared" si="1"/>
        <v>-18.600000000000023</v>
      </c>
    </row>
    <row r="40" spans="1:5" ht="18.75" customHeight="1">
      <c r="A40" s="33" t="s">
        <v>16</v>
      </c>
      <c r="B40" s="34">
        <v>203.5</v>
      </c>
      <c r="C40" s="34">
        <v>205.1</v>
      </c>
      <c r="D40" s="34">
        <v>100.8</v>
      </c>
      <c r="E40" s="35">
        <f t="shared" si="1"/>
        <v>1.5999999999999943</v>
      </c>
    </row>
    <row r="41" spans="1:5" ht="18.75" customHeight="1">
      <c r="A41" s="36" t="s">
        <v>17</v>
      </c>
      <c r="B41" s="34">
        <v>10534</v>
      </c>
      <c r="C41" s="34">
        <v>10238.9</v>
      </c>
      <c r="D41" s="34">
        <v>97.2</v>
      </c>
      <c r="E41" s="35">
        <f t="shared" si="1"/>
        <v>-295.10000000000036</v>
      </c>
    </row>
  </sheetData>
  <pageMargins left="0.74803149606299202" right="0.17" top="0.74803149606299202" bottom="0.511811023622047" header="0.43307086614173201" footer="0.31496062992126"/>
  <pageSetup paperSize="9" scale="95" orientation="portrait" r:id="rId1"/>
  <headerFooter alignWithMargins="0">
    <oddHeader>&amp;C&amp;"Times New Roman,Regular"&amp;13&amp;P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7"/>
  <sheetViews>
    <sheetView zoomScale="175" zoomScaleNormal="175" workbookViewId="0">
      <selection activeCell="L15" sqref="L15"/>
    </sheetView>
  </sheetViews>
  <sheetFormatPr defaultColWidth="10.28515625" defaultRowHeight="12.75"/>
  <cols>
    <col min="1" max="1" width="34.7109375" style="7" customWidth="1"/>
    <col min="2" max="2" width="15.7109375" style="7" customWidth="1"/>
    <col min="3" max="3" width="18.7109375" style="7" customWidth="1"/>
    <col min="4" max="4" width="17.7109375" style="7" customWidth="1"/>
    <col min="5" max="5" width="14.7109375" style="7" hidden="1" customWidth="1"/>
    <col min="6" max="8" width="10.28515625" style="7" hidden="1" customWidth="1"/>
    <col min="9" max="16" width="0" style="7" hidden="1" customWidth="1"/>
    <col min="17" max="16384" width="10.28515625" style="7"/>
  </cols>
  <sheetData>
    <row r="1" spans="1:15" ht="20.100000000000001" customHeight="1">
      <c r="A1" s="43" t="s">
        <v>28</v>
      </c>
      <c r="B1" s="43"/>
      <c r="C1" s="44"/>
      <c r="D1" s="44"/>
    </row>
    <row r="2" spans="1:15" ht="20.100000000000001" customHeight="1">
      <c r="A2" s="45"/>
      <c r="B2" s="45"/>
      <c r="C2" s="45"/>
      <c r="D2" s="45"/>
    </row>
    <row r="3" spans="1:15" ht="20.100000000000001" customHeight="1">
      <c r="A3" s="45"/>
      <c r="B3" s="46"/>
      <c r="C3" s="45"/>
      <c r="D3" s="45"/>
    </row>
    <row r="4" spans="1:15" ht="27" customHeight="1">
      <c r="A4" s="47"/>
      <c r="B4" s="29" t="s">
        <v>54</v>
      </c>
      <c r="C4" s="30" t="s">
        <v>55</v>
      </c>
      <c r="D4" s="30" t="s">
        <v>56</v>
      </c>
    </row>
    <row r="5" spans="1:15" ht="13.5" customHeight="1">
      <c r="B5" s="48"/>
      <c r="C5" s="48"/>
      <c r="D5" s="48"/>
    </row>
    <row r="6" spans="1:15" s="21" customFormat="1" ht="20.100000000000001" customHeight="1">
      <c r="A6" s="49" t="s">
        <v>29</v>
      </c>
      <c r="B6" s="50"/>
      <c r="C6" s="50"/>
      <c r="D6" s="16"/>
    </row>
    <row r="7" spans="1:15" ht="20.100000000000001" customHeight="1" thickBot="1">
      <c r="A7" s="33" t="s">
        <v>15</v>
      </c>
      <c r="B7" s="18">
        <v>185.5</v>
      </c>
      <c r="C7" s="18">
        <v>196.5</v>
      </c>
      <c r="D7" s="51">
        <v>105.9</v>
      </c>
      <c r="F7" s="52"/>
      <c r="G7" s="53"/>
      <c r="H7" s="53"/>
      <c r="I7" s="52"/>
      <c r="J7" s="53"/>
      <c r="K7" s="53"/>
      <c r="L7" s="53"/>
      <c r="M7" s="52"/>
      <c r="N7" s="53"/>
      <c r="O7" s="53"/>
    </row>
    <row r="8" spans="1:15" ht="20.100000000000001" customHeight="1" thickBot="1">
      <c r="A8" s="33" t="s">
        <v>16</v>
      </c>
      <c r="B8" s="18">
        <v>683.3</v>
      </c>
      <c r="C8" s="18">
        <v>686.3</v>
      </c>
      <c r="D8" s="51">
        <v>100.4</v>
      </c>
      <c r="F8" s="52">
        <v>269.3</v>
      </c>
      <c r="G8" s="53">
        <v>88.8</v>
      </c>
      <c r="H8" s="53">
        <v>180.5</v>
      </c>
      <c r="I8" s="52">
        <v>233.6</v>
      </c>
      <c r="J8" s="53">
        <v>78.3</v>
      </c>
      <c r="K8" s="53">
        <v>155.30000000000001</v>
      </c>
      <c r="L8" s="53"/>
      <c r="M8" s="52">
        <v>86.7</v>
      </c>
      <c r="N8" s="53">
        <v>88.2</v>
      </c>
      <c r="O8" s="53">
        <v>86</v>
      </c>
    </row>
    <row r="9" spans="1:15" ht="20.100000000000001" customHeight="1" thickBot="1">
      <c r="A9" s="36" t="s">
        <v>17</v>
      </c>
      <c r="B9" s="18">
        <v>12674.6</v>
      </c>
      <c r="C9" s="18">
        <v>13487.8</v>
      </c>
      <c r="D9" s="51">
        <v>106.4</v>
      </c>
      <c r="F9" s="52">
        <v>666.4</v>
      </c>
      <c r="G9" s="53">
        <v>613.5</v>
      </c>
      <c r="H9" s="53">
        <v>692.4</v>
      </c>
      <c r="I9" s="52">
        <v>653.5</v>
      </c>
      <c r="J9" s="53">
        <v>606.6</v>
      </c>
      <c r="K9" s="53">
        <v>677.2</v>
      </c>
      <c r="L9" s="53"/>
      <c r="M9" s="52">
        <v>98.1</v>
      </c>
      <c r="N9" s="53">
        <v>98.9</v>
      </c>
      <c r="O9" s="53">
        <v>97.8</v>
      </c>
    </row>
    <row r="10" spans="1:15" s="21" customFormat="1" ht="20.100000000000001" customHeight="1" thickBot="1">
      <c r="A10" s="49" t="s">
        <v>30</v>
      </c>
      <c r="B10" s="18"/>
      <c r="D10" s="51"/>
      <c r="F10" s="52">
        <v>38.200000000000003</v>
      </c>
      <c r="G10" s="53">
        <v>20.9</v>
      </c>
      <c r="H10" s="53">
        <v>17.3</v>
      </c>
      <c r="I10" s="52">
        <v>36.4</v>
      </c>
      <c r="J10" s="53">
        <v>21</v>
      </c>
      <c r="K10" s="53">
        <v>15.4</v>
      </c>
      <c r="L10" s="53"/>
      <c r="M10" s="52">
        <v>95.3</v>
      </c>
      <c r="N10" s="53">
        <v>100.5</v>
      </c>
      <c r="O10" s="53">
        <v>89</v>
      </c>
    </row>
    <row r="11" spans="1:15" ht="20.100000000000001" customHeight="1" thickBot="1">
      <c r="A11" s="33" t="s">
        <v>15</v>
      </c>
      <c r="B11" s="18">
        <v>148.5</v>
      </c>
      <c r="C11" s="18">
        <v>144.30000000000001</v>
      </c>
      <c r="D11" s="51">
        <v>97.2</v>
      </c>
      <c r="F11" s="52"/>
      <c r="G11" s="53"/>
      <c r="H11" s="53"/>
      <c r="I11" s="52"/>
      <c r="J11" s="53"/>
      <c r="K11" s="53"/>
      <c r="L11" s="53"/>
      <c r="M11" s="52"/>
      <c r="N11" s="53"/>
      <c r="O11" s="53"/>
    </row>
    <row r="12" spans="1:15" ht="20.100000000000001" customHeight="1" thickBot="1">
      <c r="A12" s="33" t="s">
        <v>16</v>
      </c>
      <c r="B12" s="18">
        <v>26.8</v>
      </c>
      <c r="C12" s="18">
        <v>26.9</v>
      </c>
      <c r="D12" s="51">
        <v>100.4</v>
      </c>
      <c r="F12" s="52">
        <v>185.7</v>
      </c>
      <c r="G12" s="53">
        <v>119.9</v>
      </c>
      <c r="H12" s="53">
        <v>65.8</v>
      </c>
      <c r="I12" s="52">
        <v>176.8</v>
      </c>
      <c r="J12" s="53">
        <v>115.3</v>
      </c>
      <c r="K12" s="53">
        <v>61.5</v>
      </c>
      <c r="L12" s="53"/>
      <c r="M12" s="52">
        <v>95.2</v>
      </c>
      <c r="N12" s="53">
        <v>96.2</v>
      </c>
      <c r="O12" s="53">
        <v>93.5</v>
      </c>
    </row>
    <row r="13" spans="1:15" ht="20.100000000000001" customHeight="1" thickBot="1">
      <c r="A13" s="36" t="s">
        <v>17</v>
      </c>
      <c r="B13" s="18">
        <v>397.2</v>
      </c>
      <c r="C13" s="18">
        <v>388.1</v>
      </c>
      <c r="D13" s="51">
        <v>97.7</v>
      </c>
      <c r="F13" s="52">
        <v>24.6</v>
      </c>
      <c r="G13" s="53">
        <v>23.8</v>
      </c>
      <c r="H13" s="53">
        <v>26.1</v>
      </c>
      <c r="I13" s="52">
        <v>24.8</v>
      </c>
      <c r="J13" s="53">
        <v>24.2</v>
      </c>
      <c r="K13" s="53">
        <v>26</v>
      </c>
      <c r="L13" s="53"/>
      <c r="M13" s="54">
        <v>100.8</v>
      </c>
      <c r="N13" s="55">
        <v>101.7</v>
      </c>
      <c r="O13" s="55">
        <v>99.6</v>
      </c>
    </row>
    <row r="14" spans="1:15" s="21" customFormat="1" ht="20.100000000000001" customHeight="1" thickBot="1">
      <c r="A14" s="49" t="s">
        <v>10</v>
      </c>
      <c r="B14" s="18"/>
      <c r="C14" s="18"/>
      <c r="D14" s="51"/>
      <c r="F14" s="56">
        <v>17945.5</v>
      </c>
      <c r="G14" s="57">
        <v>5448.1</v>
      </c>
      <c r="H14" s="57">
        <v>12497.4</v>
      </c>
      <c r="I14" s="56">
        <v>15265.7</v>
      </c>
      <c r="J14" s="57">
        <v>4749.5</v>
      </c>
      <c r="K14" s="57">
        <v>10516.2</v>
      </c>
      <c r="L14" s="57"/>
      <c r="M14" s="52">
        <v>85.1</v>
      </c>
      <c r="N14" s="53">
        <v>87.2</v>
      </c>
      <c r="O14" s="53">
        <v>84.1</v>
      </c>
    </row>
    <row r="15" spans="1:15" ht="20.100000000000001" customHeight="1" thickBot="1">
      <c r="A15" s="33" t="s">
        <v>15</v>
      </c>
      <c r="B15" s="18">
        <v>28.5</v>
      </c>
      <c r="C15" s="18">
        <v>26.3</v>
      </c>
      <c r="D15" s="51">
        <v>92.3</v>
      </c>
      <c r="F15" s="58"/>
      <c r="G15" s="58"/>
      <c r="H15" s="59"/>
      <c r="I15" s="58"/>
      <c r="J15" s="58"/>
      <c r="K15" s="59"/>
      <c r="L15" s="59"/>
      <c r="M15" s="52"/>
      <c r="N15" s="53"/>
      <c r="O15" s="53"/>
    </row>
    <row r="16" spans="1:15" ht="20.100000000000001" customHeight="1" thickBot="1">
      <c r="A16" s="33" t="s">
        <v>16</v>
      </c>
      <c r="B16" s="18">
        <v>16.2</v>
      </c>
      <c r="C16" s="18">
        <v>16.5</v>
      </c>
      <c r="D16" s="51">
        <v>101.9</v>
      </c>
      <c r="F16" s="52">
        <v>17.399999999999999</v>
      </c>
      <c r="G16" s="53">
        <v>10.199999999999999</v>
      </c>
      <c r="H16" s="53">
        <v>7.2</v>
      </c>
      <c r="I16" s="52">
        <v>16.3</v>
      </c>
      <c r="J16" s="53">
        <v>10.1</v>
      </c>
      <c r="K16" s="53">
        <v>6.2</v>
      </c>
      <c r="L16" s="53"/>
      <c r="M16" s="52">
        <v>93.7</v>
      </c>
      <c r="N16" s="53">
        <v>99</v>
      </c>
      <c r="O16" s="53">
        <v>86.1</v>
      </c>
    </row>
    <row r="17" spans="1:15" ht="20.100000000000001" customHeight="1" thickBot="1">
      <c r="A17" s="36" t="s">
        <v>17</v>
      </c>
      <c r="B17" s="18">
        <v>46.1</v>
      </c>
      <c r="C17" s="18">
        <v>43.3</v>
      </c>
      <c r="D17" s="51">
        <v>93.9</v>
      </c>
      <c r="F17" s="52">
        <v>22</v>
      </c>
      <c r="G17" s="53">
        <v>20.5</v>
      </c>
      <c r="H17" s="53">
        <v>24</v>
      </c>
      <c r="I17" s="52">
        <v>22.3</v>
      </c>
      <c r="J17" s="53">
        <v>20.8</v>
      </c>
      <c r="K17" s="53">
        <v>24.8</v>
      </c>
      <c r="L17" s="53"/>
      <c r="M17" s="54">
        <v>101.4</v>
      </c>
      <c r="N17" s="53">
        <v>101.5</v>
      </c>
      <c r="O17" s="53">
        <v>103.3</v>
      </c>
    </row>
    <row r="18" spans="1:15" ht="20.100000000000001" customHeight="1" thickBot="1">
      <c r="A18" s="49" t="s">
        <v>64</v>
      </c>
      <c r="B18" s="18"/>
      <c r="C18" s="18"/>
      <c r="D18" s="51"/>
      <c r="F18" s="52"/>
      <c r="G18" s="53"/>
      <c r="H18" s="53"/>
      <c r="I18" s="52"/>
      <c r="J18" s="53"/>
      <c r="K18" s="53"/>
      <c r="L18" s="53"/>
      <c r="M18" s="54"/>
      <c r="N18" s="53"/>
      <c r="O18" s="53"/>
    </row>
    <row r="19" spans="1:15" ht="20.100000000000001" customHeight="1" thickBot="1">
      <c r="A19" s="33" t="s">
        <v>15</v>
      </c>
      <c r="B19" s="18">
        <v>23.1</v>
      </c>
      <c r="C19" s="18">
        <v>23.6</v>
      </c>
      <c r="D19" s="51">
        <v>102.2</v>
      </c>
      <c r="F19" s="52"/>
      <c r="G19" s="53"/>
      <c r="H19" s="53"/>
      <c r="I19" s="52"/>
      <c r="J19" s="53"/>
      <c r="K19" s="53"/>
      <c r="L19" s="53"/>
      <c r="M19" s="54"/>
      <c r="N19" s="53"/>
      <c r="O19" s="53"/>
    </row>
    <row r="20" spans="1:15" ht="20.100000000000001" customHeight="1" thickBot="1">
      <c r="A20" s="33" t="s">
        <v>16</v>
      </c>
      <c r="B20" s="18">
        <v>8.5</v>
      </c>
      <c r="C20" s="18">
        <v>9</v>
      </c>
      <c r="D20" s="51">
        <v>105.9</v>
      </c>
      <c r="F20" s="52"/>
      <c r="G20" s="53"/>
      <c r="H20" s="53"/>
      <c r="I20" s="52"/>
      <c r="J20" s="53"/>
      <c r="K20" s="53"/>
      <c r="L20" s="53"/>
      <c r="M20" s="54"/>
      <c r="N20" s="53"/>
      <c r="O20" s="53"/>
    </row>
    <row r="21" spans="1:15" ht="20.100000000000001" customHeight="1" thickBot="1">
      <c r="A21" s="36" t="s">
        <v>17</v>
      </c>
      <c r="B21" s="18">
        <v>19.600000000000001</v>
      </c>
      <c r="C21" s="18">
        <v>21.2</v>
      </c>
      <c r="D21" s="51">
        <v>108.2</v>
      </c>
      <c r="F21" s="52"/>
      <c r="G21" s="53"/>
      <c r="H21" s="53"/>
      <c r="I21" s="52"/>
      <c r="J21" s="53"/>
      <c r="K21" s="53"/>
      <c r="L21" s="53"/>
      <c r="M21" s="54"/>
      <c r="N21" s="53"/>
      <c r="O21" s="53"/>
    </row>
    <row r="22" spans="1:15" s="21" customFormat="1" ht="20.100000000000001" customHeight="1" thickBot="1">
      <c r="A22" s="49" t="s">
        <v>31</v>
      </c>
      <c r="F22" s="52">
        <v>457.3</v>
      </c>
      <c r="G22" s="53">
        <v>285.39999999999998</v>
      </c>
      <c r="H22" s="53">
        <v>171.9</v>
      </c>
      <c r="I22" s="52">
        <v>438.8</v>
      </c>
      <c r="J22" s="53">
        <v>278.60000000000002</v>
      </c>
      <c r="K22" s="53">
        <v>160.19999999999999</v>
      </c>
      <c r="L22" s="53"/>
      <c r="M22" s="54">
        <v>96</v>
      </c>
      <c r="N22" s="55">
        <v>97.6</v>
      </c>
      <c r="O22" s="53">
        <v>93.2</v>
      </c>
    </row>
    <row r="23" spans="1:15" ht="20.100000000000001" customHeight="1" thickBot="1">
      <c r="A23" s="33" t="s">
        <v>15</v>
      </c>
      <c r="B23" s="60">
        <v>999.8</v>
      </c>
      <c r="C23" s="60">
        <v>1002.9</v>
      </c>
      <c r="D23" s="61">
        <v>100.3</v>
      </c>
      <c r="F23" s="52"/>
      <c r="G23" s="53"/>
      <c r="H23" s="53"/>
      <c r="I23" s="52"/>
      <c r="J23" s="53"/>
      <c r="K23" s="53"/>
      <c r="L23" s="53"/>
      <c r="M23" s="52"/>
      <c r="N23" s="53"/>
      <c r="O23" s="53"/>
    </row>
    <row r="24" spans="1:15" ht="20.100000000000001" customHeight="1" thickBot="1">
      <c r="A24" s="33" t="s">
        <v>16</v>
      </c>
      <c r="B24" s="60">
        <v>191</v>
      </c>
      <c r="C24" s="60">
        <v>195.6</v>
      </c>
      <c r="D24" s="61">
        <v>102.4</v>
      </c>
      <c r="F24" s="52">
        <v>53.3</v>
      </c>
      <c r="G24" s="53">
        <v>44.5</v>
      </c>
      <c r="H24" s="53">
        <v>8.8000000000000007</v>
      </c>
      <c r="I24" s="52">
        <v>49.5</v>
      </c>
      <c r="J24" s="53">
        <v>41</v>
      </c>
      <c r="K24" s="53">
        <v>8.5</v>
      </c>
      <c r="L24" s="53"/>
      <c r="M24" s="52">
        <v>92.9</v>
      </c>
      <c r="N24" s="53">
        <v>92.1</v>
      </c>
      <c r="O24" s="53">
        <v>96.6</v>
      </c>
    </row>
    <row r="25" spans="1:15" ht="20.100000000000001" customHeight="1" thickBot="1">
      <c r="A25" s="36" t="s">
        <v>17</v>
      </c>
      <c r="B25" s="60">
        <v>19095.8</v>
      </c>
      <c r="C25" s="60">
        <v>19615.3</v>
      </c>
      <c r="D25" s="61">
        <v>102.7</v>
      </c>
      <c r="F25" s="52">
        <v>15.2</v>
      </c>
      <c r="G25" s="53">
        <v>14.9</v>
      </c>
      <c r="H25" s="53">
        <v>16.7</v>
      </c>
      <c r="I25" s="52">
        <v>15.3</v>
      </c>
      <c r="J25" s="53">
        <v>15</v>
      </c>
      <c r="K25" s="53">
        <v>16.899999999999999</v>
      </c>
      <c r="L25" s="53"/>
      <c r="M25" s="54">
        <v>100.7</v>
      </c>
      <c r="N25" s="53">
        <v>100.7</v>
      </c>
      <c r="O25" s="55">
        <v>101.2</v>
      </c>
    </row>
    <row r="26" spans="1:15" ht="20.100000000000001" customHeight="1" thickBot="1">
      <c r="F26" s="52"/>
      <c r="G26" s="53"/>
      <c r="H26" s="53"/>
      <c r="I26" s="52"/>
      <c r="J26" s="53"/>
      <c r="K26" s="53"/>
      <c r="L26" s="53"/>
      <c r="M26" s="52"/>
      <c r="N26" s="53"/>
      <c r="O26" s="53"/>
    </row>
    <row r="27" spans="1:15" ht="20.100000000000001" customHeight="1" thickBot="1">
      <c r="F27" s="52">
        <v>29</v>
      </c>
      <c r="G27" s="53">
        <v>7.2</v>
      </c>
      <c r="H27" s="53">
        <v>21.8</v>
      </c>
      <c r="I27" s="52">
        <v>28.9</v>
      </c>
      <c r="J27" s="53">
        <v>6.5</v>
      </c>
      <c r="K27" s="53">
        <v>22.4</v>
      </c>
      <c r="L27" s="53"/>
      <c r="M27" s="52">
        <v>99.7</v>
      </c>
      <c r="N27" s="53">
        <v>90.3</v>
      </c>
      <c r="O27" s="53">
        <v>102.8</v>
      </c>
    </row>
    <row r="28" spans="1:15" ht="20.100000000000001" customHeight="1" thickBot="1">
      <c r="F28" s="52">
        <v>7.1</v>
      </c>
      <c r="G28" s="53">
        <v>4.2</v>
      </c>
      <c r="H28" s="53">
        <v>8.1</v>
      </c>
      <c r="I28" s="52">
        <v>8</v>
      </c>
      <c r="J28" s="53">
        <v>6.5</v>
      </c>
      <c r="K28" s="53">
        <v>8.4</v>
      </c>
      <c r="L28" s="53"/>
      <c r="M28" s="54">
        <v>112.7</v>
      </c>
      <c r="N28" s="55">
        <v>154.80000000000001</v>
      </c>
      <c r="O28" s="55">
        <v>103.7</v>
      </c>
    </row>
    <row r="29" spans="1:15" ht="20.100000000000001" customHeight="1" thickBot="1">
      <c r="F29" s="52">
        <v>20.6</v>
      </c>
      <c r="G29" s="53">
        <v>3</v>
      </c>
      <c r="H29" s="53">
        <v>17.600000000000001</v>
      </c>
      <c r="I29" s="52">
        <v>23.1</v>
      </c>
      <c r="J29" s="53">
        <v>4.2</v>
      </c>
      <c r="K29" s="53">
        <v>18.899999999999999</v>
      </c>
      <c r="L29" s="53"/>
      <c r="M29" s="52">
        <v>112.1</v>
      </c>
      <c r="N29" s="53">
        <v>140</v>
      </c>
      <c r="O29" s="53">
        <v>107.4</v>
      </c>
    </row>
    <row r="30" spans="1:15" ht="20.100000000000001" customHeight="1" thickBot="1">
      <c r="F30" s="52"/>
      <c r="G30" s="53"/>
      <c r="H30" s="53"/>
      <c r="I30" s="52"/>
      <c r="J30" s="53"/>
      <c r="K30" s="53"/>
      <c r="L30" s="53"/>
      <c r="M30" s="52"/>
      <c r="N30" s="53"/>
      <c r="O30" s="53"/>
    </row>
    <row r="31" spans="1:15" ht="20.100000000000001" customHeight="1" thickBot="1">
      <c r="F31" s="52">
        <v>961.8</v>
      </c>
      <c r="G31" s="53">
        <v>442.9</v>
      </c>
      <c r="H31" s="53">
        <v>518.9</v>
      </c>
      <c r="I31" s="52">
        <v>987.9</v>
      </c>
      <c r="J31" s="53">
        <v>456.4</v>
      </c>
      <c r="K31" s="53">
        <v>531.5</v>
      </c>
      <c r="L31" s="53"/>
      <c r="M31" s="52">
        <v>102.7</v>
      </c>
      <c r="N31" s="53">
        <v>103</v>
      </c>
      <c r="O31" s="53">
        <v>102.4</v>
      </c>
    </row>
    <row r="32" spans="1:15" ht="20.100000000000001" customHeight="1" thickBot="1">
      <c r="F32" s="52">
        <v>177.7</v>
      </c>
      <c r="G32" s="53">
        <v>163.30000000000001</v>
      </c>
      <c r="H32" s="53">
        <v>190.1</v>
      </c>
      <c r="I32" s="52">
        <v>181.7</v>
      </c>
      <c r="J32" s="53">
        <v>165.9</v>
      </c>
      <c r="K32" s="53">
        <v>195.3</v>
      </c>
      <c r="L32" s="53"/>
      <c r="M32" s="54">
        <v>102.3</v>
      </c>
      <c r="N32" s="53">
        <v>101.6</v>
      </c>
      <c r="O32" s="53">
        <v>102.7</v>
      </c>
    </row>
    <row r="33" spans="6:15" ht="20.100000000000001" customHeight="1" thickBot="1">
      <c r="F33" s="56">
        <v>17094.099999999999</v>
      </c>
      <c r="G33" s="57">
        <v>7231.9</v>
      </c>
      <c r="H33" s="57">
        <v>9862.2000000000007</v>
      </c>
      <c r="I33" s="56">
        <v>17949.400000000001</v>
      </c>
      <c r="J33" s="57">
        <v>7571.1</v>
      </c>
      <c r="K33" s="57">
        <v>10378.299999999999</v>
      </c>
      <c r="L33" s="57"/>
      <c r="M33" s="52">
        <v>105</v>
      </c>
      <c r="N33" s="53">
        <v>104.7</v>
      </c>
      <c r="O33" s="53">
        <v>105.2</v>
      </c>
    </row>
    <row r="34" spans="6:15" ht="20.100000000000001" customHeight="1" thickBot="1">
      <c r="F34" s="62"/>
      <c r="G34" s="59"/>
      <c r="H34" s="59"/>
      <c r="I34" s="62"/>
      <c r="J34" s="59"/>
      <c r="K34" s="59"/>
      <c r="L34" s="59"/>
      <c r="M34" s="52"/>
      <c r="N34" s="53"/>
      <c r="O34" s="53"/>
    </row>
    <row r="35" spans="6:15" ht="20.100000000000001" customHeight="1" thickBot="1">
      <c r="F35" s="52">
        <v>142.5</v>
      </c>
      <c r="G35" s="53">
        <v>36.799999999999997</v>
      </c>
      <c r="H35" s="53">
        <v>105.7</v>
      </c>
      <c r="I35" s="52">
        <v>137.19999999999999</v>
      </c>
      <c r="J35" s="53">
        <v>34.799999999999997</v>
      </c>
      <c r="K35" s="53">
        <v>102.4</v>
      </c>
      <c r="L35" s="53"/>
      <c r="M35" s="52">
        <v>96.3</v>
      </c>
      <c r="N35" s="53">
        <v>94.6</v>
      </c>
      <c r="O35" s="53">
        <v>96.9</v>
      </c>
    </row>
    <row r="36" spans="6:15" ht="20.100000000000001" customHeight="1" thickBot="1">
      <c r="F36" s="52">
        <v>11.1</v>
      </c>
      <c r="G36" s="53">
        <v>10.5</v>
      </c>
      <c r="H36" s="53">
        <v>11.3</v>
      </c>
      <c r="I36" s="52">
        <v>11.8</v>
      </c>
      <c r="J36" s="53">
        <v>11.1</v>
      </c>
      <c r="K36" s="53">
        <v>12</v>
      </c>
      <c r="L36" s="53"/>
      <c r="M36" s="54">
        <v>106.3</v>
      </c>
      <c r="N36" s="55">
        <v>105.7</v>
      </c>
      <c r="O36" s="55">
        <v>106.2</v>
      </c>
    </row>
    <row r="37" spans="6:15" ht="17.25" thickBot="1">
      <c r="F37" s="52">
        <v>158.4</v>
      </c>
      <c r="G37" s="53">
        <v>38.700000000000003</v>
      </c>
      <c r="H37" s="53">
        <v>119.7</v>
      </c>
      <c r="I37" s="52">
        <v>161.9</v>
      </c>
      <c r="J37" s="53">
        <v>38.700000000000003</v>
      </c>
      <c r="K37" s="53">
        <v>123.2</v>
      </c>
      <c r="L37" s="53"/>
      <c r="M37" s="52">
        <v>102.2</v>
      </c>
      <c r="N37" s="53">
        <v>100</v>
      </c>
      <c r="O37" s="53">
        <v>102.9</v>
      </c>
    </row>
  </sheetData>
  <pageMargins left="0.74803149606299202" right="0.17" top="0.74803149606299202" bottom="0.511811023622047" header="0.43307086614173201" footer="0.31496062992126"/>
  <pageSetup paperSize="9" firstPageNumber="39" orientation="portrait" r:id="rId1"/>
  <headerFooter alignWithMargins="0">
    <oddHeader>&amp;C&amp;"Times New Roman,Regular"&amp;13&amp;P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>
      <selection activeCell="L15" sqref="L15"/>
    </sheetView>
  </sheetViews>
  <sheetFormatPr defaultColWidth="9.28515625" defaultRowHeight="12.75"/>
  <cols>
    <col min="1" max="1" width="34.7109375" style="33" customWidth="1"/>
    <col min="2" max="2" width="15.7109375" style="33" customWidth="1"/>
    <col min="3" max="3" width="18.7109375" style="33" customWidth="1"/>
    <col min="4" max="4" width="17.7109375" style="33" customWidth="1"/>
    <col min="5" max="5" width="5.28515625" style="33" hidden="1" customWidth="1"/>
    <col min="6" max="10" width="0" style="33" hidden="1" customWidth="1"/>
    <col min="11" max="16384" width="9.28515625" style="33"/>
  </cols>
  <sheetData>
    <row r="1" spans="1:9" ht="20.100000000000001" customHeight="1">
      <c r="A1" s="43" t="s">
        <v>749</v>
      </c>
      <c r="B1" s="43"/>
      <c r="C1" s="44"/>
      <c r="D1" s="44"/>
      <c r="E1" s="44"/>
    </row>
    <row r="2" spans="1:9" ht="20.100000000000001" customHeight="1">
      <c r="A2" s="63"/>
      <c r="B2" s="63"/>
      <c r="C2" s="64"/>
      <c r="D2" s="64"/>
    </row>
    <row r="3" spans="1:9" ht="20.100000000000001" customHeight="1">
      <c r="A3" s="65"/>
      <c r="B3" s="65"/>
      <c r="C3" s="66"/>
      <c r="D3" s="931" t="s">
        <v>74</v>
      </c>
    </row>
    <row r="4" spans="1:9" ht="31.5" customHeight="1">
      <c r="A4" s="10"/>
      <c r="B4" s="29" t="s">
        <v>54</v>
      </c>
      <c r="C4" s="30" t="s">
        <v>55</v>
      </c>
      <c r="D4" s="30" t="s">
        <v>56</v>
      </c>
      <c r="E4" s="67"/>
    </row>
    <row r="5" spans="1:9" ht="18" customHeight="1">
      <c r="A5" s="68"/>
      <c r="B5" s="69"/>
      <c r="C5" s="69"/>
      <c r="D5" s="69"/>
      <c r="E5" s="67"/>
    </row>
    <row r="6" spans="1:9" s="49" customFormat="1" ht="18" customHeight="1">
      <c r="A6" s="70" t="s">
        <v>750</v>
      </c>
      <c r="B6" s="71"/>
      <c r="C6" s="71"/>
      <c r="D6" s="70"/>
      <c r="E6" s="70"/>
      <c r="F6" s="72"/>
    </row>
    <row r="7" spans="1:9" s="49" customFormat="1" ht="18" customHeight="1">
      <c r="A7" s="76" t="s">
        <v>751</v>
      </c>
      <c r="B7" s="73">
        <v>1093.9000000000001</v>
      </c>
      <c r="C7" s="73">
        <v>1187.98</v>
      </c>
      <c r="D7" s="74">
        <f>C7/B7*100</f>
        <v>108.60042051375811</v>
      </c>
      <c r="E7" s="70"/>
      <c r="F7" s="72"/>
    </row>
    <row r="8" spans="1:9" s="49" customFormat="1" ht="18" customHeight="1">
      <c r="A8" s="76" t="s">
        <v>752</v>
      </c>
      <c r="B8" s="73">
        <v>1915.5</v>
      </c>
      <c r="C8" s="73">
        <v>1886.77</v>
      </c>
      <c r="D8" s="74">
        <f t="shared" ref="D8:D13" si="0">C8/B8*100</f>
        <v>98.500130514226043</v>
      </c>
      <c r="E8" s="70"/>
      <c r="F8" s="72"/>
    </row>
    <row r="9" spans="1:9" ht="18" customHeight="1">
      <c r="A9" s="76" t="s">
        <v>753</v>
      </c>
      <c r="B9" s="73">
        <v>591.20000000000005</v>
      </c>
      <c r="C9" s="73">
        <v>666.28</v>
      </c>
      <c r="D9" s="74">
        <f t="shared" si="0"/>
        <v>112.69959404600812</v>
      </c>
      <c r="E9" s="67">
        <v>99.9</v>
      </c>
      <c r="F9" s="33">
        <v>680739.4800000001</v>
      </c>
      <c r="G9" s="33">
        <v>688394.46</v>
      </c>
      <c r="H9" s="75">
        <f t="shared" ref="H9:H12" si="1">D9-100</f>
        <v>12.699594046008116</v>
      </c>
    </row>
    <row r="10" spans="1:9" ht="18" customHeight="1">
      <c r="A10" s="76" t="s">
        <v>754</v>
      </c>
      <c r="B10" s="73">
        <v>300.39999999999998</v>
      </c>
      <c r="C10" s="73">
        <v>310.91000000000003</v>
      </c>
      <c r="D10" s="74">
        <f t="shared" si="0"/>
        <v>103.49866844207725</v>
      </c>
      <c r="E10" s="67">
        <v>99.9</v>
      </c>
      <c r="F10" s="33">
        <v>961782.32000000007</v>
      </c>
      <c r="G10" s="33">
        <v>947549.11999999988</v>
      </c>
      <c r="H10" s="77">
        <f t="shared" si="1"/>
        <v>3.4986684420772463</v>
      </c>
    </row>
    <row r="11" spans="1:9" ht="18" customHeight="1">
      <c r="A11" s="76" t="s">
        <v>450</v>
      </c>
      <c r="B11" s="73">
        <v>255</v>
      </c>
      <c r="C11" s="73">
        <v>408.77</v>
      </c>
      <c r="D11" s="74">
        <f t="shared" si="0"/>
        <v>160.30196078431371</v>
      </c>
      <c r="E11" s="67">
        <v>95.6</v>
      </c>
      <c r="F11" s="33">
        <v>147505.59</v>
      </c>
      <c r="G11" s="33">
        <v>137736.71729729729</v>
      </c>
      <c r="H11" s="77">
        <f t="shared" si="1"/>
        <v>60.301960784313707</v>
      </c>
      <c r="I11" s="33">
        <f>137.7/147.5*100-100</f>
        <v>-6.6440677966101731</v>
      </c>
    </row>
    <row r="12" spans="1:9" ht="18" customHeight="1">
      <c r="A12" s="76" t="s">
        <v>755</v>
      </c>
      <c r="B12" s="73">
        <v>1187.0999999999999</v>
      </c>
      <c r="C12" s="73">
        <v>1203.72</v>
      </c>
      <c r="D12" s="74">
        <f t="shared" si="0"/>
        <v>101.40005054334091</v>
      </c>
      <c r="E12" s="67">
        <v>99.1</v>
      </c>
      <c r="F12" s="33">
        <v>299490.96999999997</v>
      </c>
      <c r="G12" s="33">
        <v>297211.97000000003</v>
      </c>
      <c r="H12" s="75">
        <f t="shared" si="1"/>
        <v>1.4000505433409103</v>
      </c>
    </row>
    <row r="13" spans="1:9" ht="18" customHeight="1">
      <c r="A13" s="76" t="s">
        <v>756</v>
      </c>
      <c r="B13" s="73">
        <v>1532.7</v>
      </c>
      <c r="C13" s="73">
        <v>1820.85</v>
      </c>
      <c r="D13" s="74">
        <f t="shared" si="0"/>
        <v>118.80015658641612</v>
      </c>
      <c r="E13" s="67"/>
    </row>
    <row r="14" spans="1:9" s="49" customFormat="1" ht="18" customHeight="1">
      <c r="A14" s="78" t="s">
        <v>757</v>
      </c>
      <c r="B14" s="73"/>
      <c r="C14" s="73"/>
      <c r="D14" s="74"/>
      <c r="E14" s="79"/>
      <c r="F14" s="72"/>
    </row>
    <row r="15" spans="1:9" ht="20.100000000000001" customHeight="1">
      <c r="A15" s="76" t="s">
        <v>758</v>
      </c>
      <c r="B15" s="80">
        <v>1154.5</v>
      </c>
      <c r="C15" s="80">
        <v>1161.43</v>
      </c>
      <c r="D15" s="74">
        <f t="shared" ref="D15:D20" si="2">C15/B15*100</f>
        <v>100.60025985275011</v>
      </c>
      <c r="E15" s="67">
        <v>103.4</v>
      </c>
      <c r="F15" s="33">
        <v>994215.19706300006</v>
      </c>
      <c r="G15" s="33">
        <v>1019878.2281152381</v>
      </c>
    </row>
    <row r="16" spans="1:9" ht="20.100000000000001" customHeight="1">
      <c r="A16" s="76" t="s">
        <v>759</v>
      </c>
      <c r="B16" s="80">
        <v>2015.3</v>
      </c>
      <c r="C16" s="80">
        <v>2116.0700000000002</v>
      </c>
      <c r="D16" s="74">
        <f t="shared" si="2"/>
        <v>105.00024810201955</v>
      </c>
      <c r="E16" s="67">
        <v>102.8</v>
      </c>
      <c r="F16" s="33">
        <v>1616306.5043200001</v>
      </c>
      <c r="G16" s="33">
        <v>1656939.9415331231</v>
      </c>
    </row>
    <row r="17" spans="1:7" ht="20.100000000000001" customHeight="1">
      <c r="A17" s="76" t="s">
        <v>760</v>
      </c>
      <c r="B17" s="80">
        <v>1327.5</v>
      </c>
      <c r="C17" s="80">
        <v>1346.09</v>
      </c>
      <c r="D17" s="74">
        <f t="shared" si="2"/>
        <v>101.40037664783428</v>
      </c>
      <c r="E17" s="67">
        <v>101.5</v>
      </c>
      <c r="F17" s="33">
        <v>1137703.77112064</v>
      </c>
      <c r="G17" s="33">
        <v>1177096.4520700001</v>
      </c>
    </row>
    <row r="18" spans="1:7" ht="20.100000000000001" customHeight="1">
      <c r="A18" s="76" t="s">
        <v>761</v>
      </c>
      <c r="B18" s="80">
        <v>2280.3000000000002</v>
      </c>
      <c r="C18" s="80">
        <v>2373.79</v>
      </c>
      <c r="D18" s="74">
        <f t="shared" si="2"/>
        <v>104.09989913607858</v>
      </c>
      <c r="E18" s="67">
        <v>97.9</v>
      </c>
      <c r="F18" s="33">
        <v>262738.72452918033</v>
      </c>
      <c r="G18" s="33">
        <v>263601.34443</v>
      </c>
    </row>
    <row r="19" spans="1:7" ht="20.100000000000001" customHeight="1">
      <c r="A19" s="76" t="s">
        <v>762</v>
      </c>
      <c r="B19" s="80">
        <v>262.2</v>
      </c>
      <c r="C19" s="80">
        <v>274.79000000000002</v>
      </c>
      <c r="D19" s="74">
        <f t="shared" si="2"/>
        <v>104.80167810831426</v>
      </c>
      <c r="E19" s="67">
        <v>84</v>
      </c>
      <c r="F19" s="33">
        <v>266423.45783235657</v>
      </c>
      <c r="G19" s="33">
        <v>286314.93185208266</v>
      </c>
    </row>
    <row r="20" spans="1:7" ht="20.100000000000001" customHeight="1">
      <c r="A20" s="76" t="s">
        <v>763</v>
      </c>
      <c r="B20" s="80">
        <v>306.2</v>
      </c>
      <c r="C20" s="80">
        <v>293.02999999999997</v>
      </c>
      <c r="D20" s="74">
        <f t="shared" si="2"/>
        <v>95.698889614630957</v>
      </c>
    </row>
    <row r="21" spans="1:7" ht="20.100000000000001" customHeight="1"/>
    <row r="22" spans="1:7" ht="20.100000000000001" customHeight="1"/>
    <row r="23" spans="1:7" ht="20.100000000000001" customHeight="1"/>
    <row r="24" spans="1:7" ht="20.100000000000001" customHeight="1"/>
    <row r="25" spans="1:7" ht="20.100000000000001" customHeight="1"/>
    <row r="26" spans="1:7" ht="20.100000000000001" customHeight="1"/>
    <row r="27" spans="1:7" ht="20.100000000000001" customHeight="1"/>
    <row r="28" spans="1:7" ht="20.100000000000001" customHeight="1"/>
    <row r="29" spans="1:7" ht="20.100000000000001" customHeight="1"/>
    <row r="30" spans="1:7" ht="20.100000000000001" customHeight="1"/>
    <row r="31" spans="1:7" ht="20.100000000000001" customHeight="1"/>
    <row r="32" spans="1:7" ht="20.100000000000001" customHeight="1"/>
    <row r="33" ht="20.100000000000001" customHeight="1"/>
    <row r="34" ht="20.100000000000001" customHeight="1"/>
    <row r="35" ht="20.100000000000001" customHeight="1"/>
  </sheetData>
  <pageMargins left="0.74803149606299202" right="0.17" top="0.74803149606299202" bottom="0.511811023622047" header="0.43307086614173201" footer="0.31496062992126"/>
  <pageSetup paperSize="9" firstPageNumber="39" orientation="portrait" r:id="rId1"/>
  <headerFooter alignWithMargins="0">
    <oddHeader>&amp;C&amp;"Times New Roman,Regular"&amp;13&amp;P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workbookViewId="0">
      <selection activeCell="L15" sqref="L15"/>
    </sheetView>
  </sheetViews>
  <sheetFormatPr defaultRowHeight="15"/>
  <cols>
    <col min="1" max="1" width="41" customWidth="1"/>
    <col min="2" max="4" width="7.7109375" customWidth="1"/>
    <col min="5" max="6" width="7.42578125" customWidth="1"/>
    <col min="7" max="7" width="8.28515625" customWidth="1"/>
  </cols>
  <sheetData>
    <row r="1" spans="1:7" ht="20.100000000000001" customHeight="1">
      <c r="A1" s="81" t="s">
        <v>32</v>
      </c>
      <c r="B1" s="82"/>
    </row>
    <row r="2" spans="1:7" ht="20.100000000000001" customHeight="1">
      <c r="A2" s="82"/>
      <c r="B2" s="82"/>
    </row>
    <row r="3" spans="1:7" s="85" customFormat="1" ht="16.149999999999999" customHeight="1">
      <c r="A3" s="83"/>
      <c r="B3" s="84" t="s">
        <v>33</v>
      </c>
      <c r="C3" s="84" t="s">
        <v>34</v>
      </c>
      <c r="D3" s="84" t="s">
        <v>34</v>
      </c>
      <c r="E3" s="935" t="s">
        <v>35</v>
      </c>
      <c r="F3" s="935"/>
      <c r="G3" s="84" t="s">
        <v>36</v>
      </c>
    </row>
    <row r="4" spans="1:7" s="85" customFormat="1" ht="16.149999999999999" customHeight="1">
      <c r="A4" s="86"/>
      <c r="B4" s="87" t="s">
        <v>37</v>
      </c>
      <c r="C4" s="87" t="s">
        <v>38</v>
      </c>
      <c r="D4" s="87" t="s">
        <v>38</v>
      </c>
      <c r="E4" s="936" t="s">
        <v>7</v>
      </c>
      <c r="F4" s="936"/>
      <c r="G4" s="87">
        <v>2025</v>
      </c>
    </row>
    <row r="5" spans="1:7" s="85" customFormat="1" ht="16.149999999999999" customHeight="1">
      <c r="A5" s="88"/>
      <c r="B5" s="87" t="s">
        <v>39</v>
      </c>
      <c r="C5" s="87" t="s">
        <v>40</v>
      </c>
      <c r="D5" s="87" t="s">
        <v>41</v>
      </c>
      <c r="E5" s="87" t="s">
        <v>42</v>
      </c>
      <c r="F5" s="87" t="s">
        <v>43</v>
      </c>
      <c r="G5" s="87" t="s">
        <v>44</v>
      </c>
    </row>
    <row r="6" spans="1:7" s="85" customFormat="1" ht="16.149999999999999" customHeight="1">
      <c r="A6" s="89"/>
      <c r="B6" s="87" t="s">
        <v>41</v>
      </c>
      <c r="C6" s="87" t="s">
        <v>41</v>
      </c>
      <c r="D6" s="87">
        <v>2025</v>
      </c>
      <c r="E6" s="87" t="s">
        <v>41</v>
      </c>
      <c r="F6" s="87" t="s">
        <v>41</v>
      </c>
      <c r="G6" s="87" t="s">
        <v>41</v>
      </c>
    </row>
    <row r="7" spans="1:7" s="85" customFormat="1" ht="16.149999999999999" customHeight="1">
      <c r="A7" s="7"/>
      <c r="B7" s="90">
        <v>2025</v>
      </c>
      <c r="C7" s="90">
        <v>2025</v>
      </c>
      <c r="D7" s="90"/>
      <c r="E7" s="90">
        <v>2025</v>
      </c>
      <c r="F7" s="90">
        <v>2025</v>
      </c>
      <c r="G7" s="90">
        <v>2024</v>
      </c>
    </row>
    <row r="8" spans="1:7" s="85" customFormat="1" ht="20.100000000000001" customHeight="1"/>
    <row r="9" spans="1:7" s="85" customFormat="1" ht="22.15" customHeight="1">
      <c r="A9" s="91" t="s">
        <v>45</v>
      </c>
    </row>
    <row r="10" spans="1:7" s="85" customFormat="1" ht="22.15" customHeight="1">
      <c r="A10" s="92" t="s">
        <v>46</v>
      </c>
      <c r="B10" s="93">
        <v>1339.8006835926194</v>
      </c>
      <c r="C10" s="93">
        <v>1349.1052875854991</v>
      </c>
      <c r="D10" s="93">
        <v>5389.2191767743689</v>
      </c>
      <c r="E10" s="93">
        <v>102.02</v>
      </c>
      <c r="F10" s="93">
        <v>101.8</v>
      </c>
      <c r="G10" s="93">
        <v>103.89</v>
      </c>
    </row>
    <row r="11" spans="1:7" s="85" customFormat="1" ht="22.15" customHeight="1">
      <c r="A11" s="92" t="s">
        <v>47</v>
      </c>
      <c r="B11" s="93">
        <v>653.66248692609122</v>
      </c>
      <c r="C11" s="93">
        <v>655.88577050452761</v>
      </c>
      <c r="D11" s="93">
        <v>2601.9229368583101</v>
      </c>
      <c r="E11" s="93">
        <v>106.61</v>
      </c>
      <c r="F11" s="93">
        <v>106.76</v>
      </c>
      <c r="G11" s="93">
        <v>105.87</v>
      </c>
    </row>
    <row r="12" spans="1:7" s="85" customFormat="1" ht="22.15" customHeight="1">
      <c r="A12" s="95" t="s">
        <v>48</v>
      </c>
      <c r="B12" s="93">
        <v>29.592527568238602</v>
      </c>
      <c r="C12" s="93">
        <v>30.543535373594299</v>
      </c>
      <c r="D12" s="93">
        <v>125.17102194210602</v>
      </c>
      <c r="E12" s="93">
        <v>99.65</v>
      </c>
      <c r="F12" s="93">
        <v>99.35</v>
      </c>
      <c r="G12" s="93">
        <v>99.91</v>
      </c>
    </row>
    <row r="13" spans="1:7" s="85" customFormat="1" ht="22.15" customHeight="1">
      <c r="A13" s="92" t="s">
        <v>49</v>
      </c>
      <c r="B13" s="93">
        <v>120.89358640982215</v>
      </c>
      <c r="C13" s="93">
        <v>122.45873367655649</v>
      </c>
      <c r="D13" s="93">
        <v>499.12969975739173</v>
      </c>
      <c r="E13" s="93">
        <v>101.15</v>
      </c>
      <c r="F13" s="93">
        <v>101.21</v>
      </c>
      <c r="G13" s="93">
        <v>101.68</v>
      </c>
    </row>
    <row r="14" spans="1:7" s="85" customFormat="1" ht="22.15" customHeight="1">
      <c r="A14" s="91" t="s">
        <v>50</v>
      </c>
      <c r="B14" s="96"/>
      <c r="C14" s="96"/>
      <c r="D14" s="96"/>
      <c r="E14" s="96"/>
      <c r="F14" s="96"/>
      <c r="G14" s="96"/>
    </row>
    <row r="15" spans="1:7" ht="20.100000000000001" customHeight="1">
      <c r="A15" s="97" t="s">
        <v>51</v>
      </c>
      <c r="B15" s="93">
        <v>5250.347674279702</v>
      </c>
      <c r="C15" s="93">
        <v>5588.212185768718</v>
      </c>
      <c r="D15" s="93">
        <v>21433.252975876901</v>
      </c>
      <c r="E15" s="93">
        <v>106.2</v>
      </c>
      <c r="F15" s="93">
        <v>106.41</v>
      </c>
      <c r="G15" s="93">
        <v>105.31</v>
      </c>
    </row>
    <row r="16" spans="1:7" ht="20.100000000000001" customHeight="1">
      <c r="A16" s="97" t="s">
        <v>52</v>
      </c>
      <c r="B16" s="93">
        <v>312.68426185436334</v>
      </c>
      <c r="C16" s="93">
        <v>306.95641144908251</v>
      </c>
      <c r="D16" s="93">
        <v>1302.8794882623822</v>
      </c>
      <c r="E16" s="93">
        <v>104.33</v>
      </c>
      <c r="F16" s="93">
        <v>104.41</v>
      </c>
      <c r="G16" s="93">
        <v>105.5</v>
      </c>
    </row>
    <row r="17" spans="1:7" ht="20.100000000000001" customHeight="1">
      <c r="A17" s="97"/>
      <c r="B17" s="93"/>
      <c r="C17" s="93"/>
      <c r="D17" s="93"/>
      <c r="E17" s="94"/>
      <c r="F17" s="94"/>
      <c r="G17" s="94"/>
    </row>
    <row r="18" spans="1:7" ht="20.100000000000001" customHeight="1">
      <c r="A18" s="97"/>
      <c r="B18" s="93"/>
      <c r="C18" s="93"/>
      <c r="D18" s="93"/>
      <c r="E18" s="94"/>
      <c r="F18" s="94"/>
      <c r="G18" s="94"/>
    </row>
    <row r="19" spans="1:7" ht="20.100000000000001" customHeight="1"/>
    <row r="20" spans="1:7" ht="20.100000000000001" customHeight="1"/>
  </sheetData>
  <mergeCells count="2">
    <mergeCell ref="E3:F3"/>
    <mergeCell ref="E4:F4"/>
  </mergeCells>
  <pageMargins left="0.74803149606299202" right="0.17" top="0.74803149606299202" bottom="0.511811023622047" header="0.43307086614173201" footer="0.31496062992126"/>
  <pageSetup paperSize="9" firstPageNumber="39" orientation="portrait" r:id="rId1"/>
  <headerFooter alignWithMargins="0">
    <oddHeader>&amp;C&amp;"Times New Roman,Regular"&amp;13&amp;P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zoomScale="85" zoomScaleNormal="85" workbookViewId="0">
      <pane xSplit="1" ySplit="8" topLeftCell="B9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RowHeight="15"/>
  <cols>
    <col min="1" max="1" width="38.28515625" customWidth="1"/>
    <col min="2" max="4" width="7.7109375" customWidth="1"/>
    <col min="5" max="6" width="7.42578125" customWidth="1"/>
    <col min="7" max="7" width="8.28515625" customWidth="1"/>
  </cols>
  <sheetData>
    <row r="1" spans="1:10" ht="20.100000000000001" customHeight="1">
      <c r="A1" s="81" t="s">
        <v>65</v>
      </c>
      <c r="B1" s="104"/>
      <c r="C1" s="104"/>
      <c r="D1" s="105"/>
      <c r="E1" s="105"/>
      <c r="F1" s="105"/>
      <c r="G1" s="105"/>
    </row>
    <row r="2" spans="1:10" ht="20.100000000000001" customHeight="1">
      <c r="A2" s="104"/>
      <c r="B2" s="104"/>
      <c r="C2" s="104"/>
      <c r="D2" s="105"/>
      <c r="E2" s="105"/>
      <c r="F2" s="105"/>
      <c r="G2" s="105"/>
    </row>
    <row r="3" spans="1:10" s="85" customFormat="1" ht="16.149999999999999" customHeight="1">
      <c r="A3" s="86"/>
      <c r="B3" s="86"/>
      <c r="C3" s="86"/>
      <c r="D3" s="105"/>
      <c r="E3" s="105"/>
      <c r="F3" s="105"/>
      <c r="G3" s="105"/>
    </row>
    <row r="4" spans="1:10" s="85" customFormat="1" ht="16.149999999999999" customHeight="1">
      <c r="A4" s="83"/>
      <c r="B4" s="84" t="s">
        <v>33</v>
      </c>
      <c r="C4" s="84" t="s">
        <v>34</v>
      </c>
      <c r="D4" s="84" t="s">
        <v>34</v>
      </c>
      <c r="E4" s="935" t="s">
        <v>35</v>
      </c>
      <c r="F4" s="935"/>
      <c r="G4" s="84" t="s">
        <v>36</v>
      </c>
    </row>
    <row r="5" spans="1:10" s="85" customFormat="1" ht="16.149999999999999" customHeight="1">
      <c r="A5" s="88"/>
      <c r="B5" s="87" t="s">
        <v>37</v>
      </c>
      <c r="C5" s="87" t="s">
        <v>38</v>
      </c>
      <c r="D5" s="87" t="s">
        <v>38</v>
      </c>
      <c r="E5" s="936" t="s">
        <v>7</v>
      </c>
      <c r="F5" s="936"/>
      <c r="G5" s="87">
        <v>2025</v>
      </c>
    </row>
    <row r="6" spans="1:10" s="85" customFormat="1" ht="16.149999999999999" customHeight="1">
      <c r="A6" s="89"/>
      <c r="B6" s="87" t="s">
        <v>39</v>
      </c>
      <c r="C6" s="87" t="s">
        <v>40</v>
      </c>
      <c r="D6" s="87" t="s">
        <v>41</v>
      </c>
      <c r="E6" s="87" t="s">
        <v>42</v>
      </c>
      <c r="F6" s="87" t="s">
        <v>43</v>
      </c>
      <c r="G6" s="87" t="s">
        <v>44</v>
      </c>
    </row>
    <row r="7" spans="1:10" s="85" customFormat="1" ht="16.149999999999999" customHeight="1">
      <c r="A7" s="7"/>
      <c r="B7" s="87" t="s">
        <v>41</v>
      </c>
      <c r="C7" s="87" t="s">
        <v>41</v>
      </c>
      <c r="D7" s="87">
        <v>2025</v>
      </c>
      <c r="E7" s="87" t="s">
        <v>41</v>
      </c>
      <c r="F7" s="87" t="s">
        <v>41</v>
      </c>
      <c r="G7" s="87" t="s">
        <v>41</v>
      </c>
    </row>
    <row r="8" spans="1:10" s="85" customFormat="1" ht="20.100000000000001" customHeight="1">
      <c r="A8" s="7"/>
      <c r="B8" s="90">
        <v>2025</v>
      </c>
      <c r="C8" s="90">
        <v>2025</v>
      </c>
      <c r="D8" s="90"/>
      <c r="E8" s="90">
        <v>2025</v>
      </c>
      <c r="F8" s="90">
        <v>2025</v>
      </c>
      <c r="G8" s="90" t="s">
        <v>66</v>
      </c>
    </row>
    <row r="9" spans="1:10" s="85" customFormat="1" ht="22.15" customHeight="1">
      <c r="A9" s="7"/>
      <c r="B9" s="87"/>
      <c r="C9" s="87"/>
      <c r="D9" s="87"/>
      <c r="E9" s="87"/>
      <c r="F9" s="87"/>
      <c r="G9" s="87"/>
    </row>
    <row r="10" spans="1:10" s="85" customFormat="1" ht="22.15" customHeight="1">
      <c r="A10" s="106" t="s">
        <v>67</v>
      </c>
      <c r="B10" s="107">
        <v>69.133554082805233</v>
      </c>
      <c r="C10" s="108">
        <v>103.50479075026209</v>
      </c>
      <c r="D10" s="108">
        <v>323.31834483306733</v>
      </c>
      <c r="E10" s="108">
        <v>97.82</v>
      </c>
      <c r="F10" s="108">
        <v>99.33</v>
      </c>
      <c r="G10" s="108">
        <v>106.36</v>
      </c>
      <c r="H10" s="109"/>
      <c r="I10" s="109"/>
      <c r="J10" s="109"/>
    </row>
    <row r="11" spans="1:10" s="85" customFormat="1" ht="22.15" customHeight="1">
      <c r="A11" s="110" t="s">
        <v>68</v>
      </c>
      <c r="B11" s="107">
        <v>21.094400000000007</v>
      </c>
      <c r="C11" s="108">
        <v>15.654494361616003</v>
      </c>
      <c r="D11" s="108">
        <v>85.348894361616004</v>
      </c>
      <c r="E11" s="108">
        <v>97.72</v>
      </c>
      <c r="F11" s="108">
        <v>94.07</v>
      </c>
      <c r="G11" s="108">
        <v>99.72</v>
      </c>
      <c r="H11" s="109"/>
      <c r="I11" s="109"/>
      <c r="J11" s="109"/>
    </row>
    <row r="12" spans="1:10" s="85" customFormat="1" ht="22.15" customHeight="1">
      <c r="A12" s="7" t="s">
        <v>69</v>
      </c>
      <c r="B12" s="107">
        <v>6603.6326261886907</v>
      </c>
      <c r="C12" s="108">
        <v>7752.3296941770168</v>
      </c>
      <c r="D12" s="108">
        <v>25615.962320365707</v>
      </c>
      <c r="E12" s="108">
        <v>105.33</v>
      </c>
      <c r="F12" s="108">
        <v>104.21</v>
      </c>
      <c r="G12" s="108">
        <v>106.87</v>
      </c>
      <c r="H12" s="109"/>
      <c r="I12" s="109"/>
      <c r="J12" s="109"/>
    </row>
    <row r="13" spans="1:10" s="85" customFormat="1" ht="22.15" customHeight="1">
      <c r="A13" s="105" t="s">
        <v>70</v>
      </c>
      <c r="B13" s="107">
        <v>150.51930000000016</v>
      </c>
      <c r="C13" s="108">
        <v>129.32000000000016</v>
      </c>
      <c r="D13" s="108">
        <v>1127.5993000000003</v>
      </c>
      <c r="E13" s="108">
        <v>53.67</v>
      </c>
      <c r="F13" s="108">
        <v>71.22</v>
      </c>
      <c r="G13" s="108">
        <v>69.290000000000006</v>
      </c>
      <c r="H13" s="109"/>
      <c r="I13" s="109"/>
      <c r="J13" s="109"/>
    </row>
    <row r="14" spans="1:10" s="85" customFormat="1" ht="22.15" customHeight="1">
      <c r="A14" s="111" t="s">
        <v>71</v>
      </c>
      <c r="B14" s="107">
        <v>31.599300000000099</v>
      </c>
      <c r="C14" s="108">
        <v>11.622000000000014</v>
      </c>
      <c r="D14" s="108">
        <v>326.36130000000009</v>
      </c>
      <c r="E14" s="108">
        <v>55.9</v>
      </c>
      <c r="F14" s="108">
        <v>843.4</v>
      </c>
      <c r="G14" s="108">
        <v>44</v>
      </c>
      <c r="H14" s="109"/>
      <c r="I14" s="109"/>
      <c r="J14" s="109"/>
    </row>
    <row r="15" spans="1:10" ht="20.100000000000001" customHeight="1">
      <c r="A15" s="111" t="s">
        <v>72</v>
      </c>
      <c r="B15" s="107">
        <v>118.9200000000001</v>
      </c>
      <c r="C15" s="108">
        <v>117.69800000000009</v>
      </c>
      <c r="D15" s="108">
        <v>801.23800000000017</v>
      </c>
      <c r="E15" s="108">
        <v>53.11</v>
      </c>
      <c r="F15" s="108">
        <v>65.319999999999993</v>
      </c>
      <c r="G15" s="108">
        <v>90.48</v>
      </c>
      <c r="H15" s="109"/>
      <c r="I15" s="109"/>
      <c r="J15" s="109"/>
    </row>
    <row r="16" spans="1:10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</sheetData>
  <mergeCells count="2">
    <mergeCell ref="E4:F4"/>
    <mergeCell ref="E5:F5"/>
  </mergeCells>
  <pageMargins left="0.74803149606299202" right="0.17" top="0.74803149606299202" bottom="0.511811023622047" header="0.43307086614173201" footer="0.31496062992126"/>
  <pageSetup paperSize="9" firstPageNumber="39" orientation="portrait" r:id="rId1"/>
  <headerFooter alignWithMargins="0">
    <oddHeader>&amp;C&amp;"Times New Roman,Regular"&amp;13&amp;P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zoomScale="90" zoomScaleNormal="90" workbookViewId="0">
      <pane xSplit="1" ySplit="8" topLeftCell="B9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11.28515625" defaultRowHeight="12.75"/>
  <cols>
    <col min="1" max="1" width="26.140625" style="114" customWidth="1"/>
    <col min="2" max="7" width="9.85546875" style="114" customWidth="1"/>
    <col min="8" max="16384" width="11.28515625" style="114"/>
  </cols>
  <sheetData>
    <row r="1" spans="1:7" ht="20.100000000000001" customHeight="1">
      <c r="A1" s="112" t="s">
        <v>73</v>
      </c>
      <c r="B1" s="113"/>
      <c r="C1" s="113"/>
      <c r="D1" s="113"/>
      <c r="E1" s="113"/>
      <c r="F1" s="113"/>
      <c r="G1" s="113"/>
    </row>
    <row r="2" spans="1:7" ht="20.100000000000001" customHeight="1">
      <c r="A2" s="2"/>
      <c r="B2" s="115"/>
      <c r="C2" s="115"/>
      <c r="D2" s="115"/>
      <c r="E2" s="113"/>
      <c r="F2" s="113"/>
      <c r="G2" s="113"/>
    </row>
    <row r="3" spans="1:7" ht="20.100000000000001" customHeight="1">
      <c r="A3" s="8"/>
      <c r="B3" s="116"/>
      <c r="C3" s="116"/>
      <c r="D3" s="116"/>
      <c r="E3" s="117"/>
      <c r="G3" s="117" t="s">
        <v>74</v>
      </c>
    </row>
    <row r="4" spans="1:7" s="118" customFormat="1" ht="18" customHeight="1">
      <c r="B4" s="84" t="s">
        <v>33</v>
      </c>
      <c r="C4" s="84" t="s">
        <v>34</v>
      </c>
      <c r="D4" s="84" t="s">
        <v>34</v>
      </c>
      <c r="E4" s="935" t="s">
        <v>35</v>
      </c>
      <c r="F4" s="935"/>
      <c r="G4" s="84" t="s">
        <v>36</v>
      </c>
    </row>
    <row r="5" spans="1:7" s="118" customFormat="1" ht="18" customHeight="1">
      <c r="B5" s="87" t="s">
        <v>37</v>
      </c>
      <c r="C5" s="87" t="s">
        <v>38</v>
      </c>
      <c r="D5" s="87" t="s">
        <v>38</v>
      </c>
      <c r="E5" s="936" t="s">
        <v>7</v>
      </c>
      <c r="F5" s="936"/>
      <c r="G5" s="87">
        <v>2025</v>
      </c>
    </row>
    <row r="6" spans="1:7" ht="18" customHeight="1">
      <c r="A6" s="119"/>
      <c r="B6" s="87" t="s">
        <v>39</v>
      </c>
      <c r="C6" s="87" t="s">
        <v>40</v>
      </c>
      <c r="D6" s="87" t="s">
        <v>41</v>
      </c>
      <c r="E6" s="87" t="s">
        <v>42</v>
      </c>
      <c r="F6" s="87" t="s">
        <v>43</v>
      </c>
      <c r="G6" s="87" t="s">
        <v>44</v>
      </c>
    </row>
    <row r="7" spans="1:7" ht="20.100000000000001" customHeight="1">
      <c r="A7" s="119"/>
      <c r="B7" s="87" t="s">
        <v>41</v>
      </c>
      <c r="C7" s="87" t="s">
        <v>41</v>
      </c>
      <c r="D7" s="87">
        <v>2025</v>
      </c>
      <c r="E7" s="87" t="s">
        <v>41</v>
      </c>
      <c r="F7" s="87" t="s">
        <v>41</v>
      </c>
      <c r="G7" s="87" t="s">
        <v>41</v>
      </c>
    </row>
    <row r="8" spans="1:7" ht="20.100000000000001" customHeight="1">
      <c r="A8" s="119"/>
      <c r="B8" s="90">
        <v>2025</v>
      </c>
      <c r="C8" s="90">
        <v>2025</v>
      </c>
      <c r="D8" s="90"/>
      <c r="E8" s="90">
        <v>2025</v>
      </c>
      <c r="F8" s="90">
        <v>2025</v>
      </c>
      <c r="G8" s="90" t="s">
        <v>66</v>
      </c>
    </row>
    <row r="9" spans="1:7" ht="11.25" customHeight="1">
      <c r="A9" s="119"/>
      <c r="B9" s="120"/>
      <c r="C9" s="120"/>
      <c r="D9" s="120"/>
    </row>
    <row r="10" spans="1:7" ht="20.100000000000001" customHeight="1">
      <c r="A10" s="121" t="s">
        <v>75</v>
      </c>
      <c r="B10" s="122">
        <v>2709.5</v>
      </c>
      <c r="C10" s="122">
        <v>2689.1</v>
      </c>
      <c r="D10" s="122">
        <v>9947.5</v>
      </c>
      <c r="E10" s="122">
        <v>103.20332139864401</v>
      </c>
      <c r="F10" s="122">
        <v>102.70404460909749</v>
      </c>
      <c r="G10" s="122">
        <v>103.01458100327243</v>
      </c>
    </row>
    <row r="11" spans="1:7" ht="20.100000000000001" customHeight="1">
      <c r="A11" s="123" t="s">
        <v>76</v>
      </c>
      <c r="B11" s="124">
        <v>1828.3</v>
      </c>
      <c r="C11" s="124">
        <v>1852.4</v>
      </c>
      <c r="D11" s="124">
        <v>6962.4</v>
      </c>
      <c r="E11" s="124">
        <v>102.48318385650224</v>
      </c>
      <c r="F11" s="124">
        <v>102.60898465628982</v>
      </c>
      <c r="G11" s="124">
        <v>102.72056653880199</v>
      </c>
    </row>
    <row r="12" spans="1:7" ht="20.100000000000001" customHeight="1">
      <c r="A12" s="123" t="s">
        <v>77</v>
      </c>
      <c r="B12" s="124">
        <v>499.09999999999997</v>
      </c>
      <c r="C12" s="124">
        <v>417.7</v>
      </c>
      <c r="D12" s="124">
        <v>1522.2</v>
      </c>
      <c r="E12" s="124">
        <v>105.87611370386082</v>
      </c>
      <c r="F12" s="124">
        <v>104.89703666499246</v>
      </c>
      <c r="G12" s="124">
        <v>105.50318824507903</v>
      </c>
    </row>
    <row r="13" spans="1:7" ht="20.100000000000001" customHeight="1">
      <c r="A13" s="123" t="s">
        <v>78</v>
      </c>
      <c r="B13" s="124">
        <v>382.1</v>
      </c>
      <c r="C13" s="124">
        <v>419</v>
      </c>
      <c r="D13" s="124">
        <v>1462.9</v>
      </c>
      <c r="E13" s="124">
        <v>103.27027027027027</v>
      </c>
      <c r="F13" s="124">
        <v>101.01253616200579</v>
      </c>
      <c r="G13" s="124">
        <v>101.9016439119532</v>
      </c>
    </row>
    <row r="14" spans="1:7" ht="20.100000000000001" customHeight="1">
      <c r="A14" s="125" t="s">
        <v>79</v>
      </c>
      <c r="B14" s="122">
        <v>1709.4</v>
      </c>
      <c r="C14" s="122">
        <v>1826.6999999999998</v>
      </c>
      <c r="D14" s="122">
        <v>6116.8</v>
      </c>
      <c r="E14" s="122">
        <v>105.75352635486266</v>
      </c>
      <c r="F14" s="122">
        <v>104.8802893724522</v>
      </c>
      <c r="G14" s="122">
        <v>105.14301430143014</v>
      </c>
    </row>
    <row r="15" spans="1:7" ht="20.100000000000001" customHeight="1">
      <c r="A15" s="123" t="s">
        <v>76</v>
      </c>
      <c r="B15" s="124">
        <v>1045.3</v>
      </c>
      <c r="C15" s="124">
        <v>1238.3</v>
      </c>
      <c r="D15" s="124">
        <v>4035</v>
      </c>
      <c r="E15" s="124">
        <v>105.21389028686461</v>
      </c>
      <c r="F15" s="124">
        <v>104.79857819905214</v>
      </c>
      <c r="G15" s="124">
        <v>104.93056639101263</v>
      </c>
    </row>
    <row r="16" spans="1:7" ht="20.100000000000001" customHeight="1">
      <c r="A16" s="123" t="s">
        <v>77</v>
      </c>
      <c r="B16" s="124">
        <v>465.7</v>
      </c>
      <c r="C16" s="124">
        <v>382.59999999999997</v>
      </c>
      <c r="D16" s="124">
        <v>1381.7</v>
      </c>
      <c r="E16" s="124">
        <v>106.39707562257254</v>
      </c>
      <c r="F16" s="124">
        <v>105.54482758620689</v>
      </c>
      <c r="G16" s="124">
        <v>106.13765555384853</v>
      </c>
    </row>
    <row r="17" spans="1:7" ht="20.100000000000001" customHeight="1">
      <c r="A17" s="123" t="s">
        <v>78</v>
      </c>
      <c r="B17" s="124">
        <v>198.4</v>
      </c>
      <c r="C17" s="124">
        <v>205.8</v>
      </c>
      <c r="D17" s="124">
        <v>700.09999999999991</v>
      </c>
      <c r="E17" s="124">
        <v>107.12742980561556</v>
      </c>
      <c r="F17" s="124">
        <v>104.14979757085021</v>
      </c>
      <c r="G17" s="124">
        <v>104.43019093078757</v>
      </c>
    </row>
    <row r="18" spans="1:7" ht="20.100000000000001" customHeight="1">
      <c r="A18" s="125" t="s">
        <v>80</v>
      </c>
      <c r="B18" s="122">
        <v>1000.0999999999999</v>
      </c>
      <c r="C18" s="122">
        <v>862.40000000000009</v>
      </c>
      <c r="D18" s="122">
        <v>3830.7000000000003</v>
      </c>
      <c r="E18" s="122">
        <v>99.117938553022782</v>
      </c>
      <c r="F18" s="122">
        <v>98.368883312421588</v>
      </c>
      <c r="G18" s="122">
        <v>99.786397145015513</v>
      </c>
    </row>
    <row r="19" spans="1:7" ht="20.100000000000001" customHeight="1">
      <c r="A19" s="123" t="s">
        <v>76</v>
      </c>
      <c r="B19" s="124">
        <v>783</v>
      </c>
      <c r="C19" s="124">
        <v>614.1</v>
      </c>
      <c r="D19" s="124">
        <v>2927.4</v>
      </c>
      <c r="E19" s="124">
        <v>99.051233396584436</v>
      </c>
      <c r="F19" s="124">
        <v>98.460798460798458</v>
      </c>
      <c r="G19" s="124">
        <v>99.822682943463121</v>
      </c>
    </row>
    <row r="20" spans="1:7" ht="20.100000000000001" customHeight="1">
      <c r="A20" s="123" t="s">
        <v>77</v>
      </c>
      <c r="B20" s="124">
        <v>33.4</v>
      </c>
      <c r="C20" s="124">
        <v>35.1</v>
      </c>
      <c r="D20" s="124">
        <v>140.5</v>
      </c>
      <c r="E20" s="124">
        <v>99.109792284866458</v>
      </c>
      <c r="F20" s="124">
        <v>98.044692737430182</v>
      </c>
      <c r="G20" s="124">
        <v>99.57476966690291</v>
      </c>
    </row>
    <row r="21" spans="1:7" ht="20.100000000000001" customHeight="1">
      <c r="A21" s="123" t="s">
        <v>78</v>
      </c>
      <c r="B21" s="124">
        <v>183.7</v>
      </c>
      <c r="C21" s="124">
        <v>213.2</v>
      </c>
      <c r="D21" s="124">
        <v>762.8</v>
      </c>
      <c r="E21" s="124">
        <v>99.404761904761898</v>
      </c>
      <c r="F21" s="124">
        <v>98.158379373848987</v>
      </c>
      <c r="G21" s="124">
        <v>99.686356508102449</v>
      </c>
    </row>
    <row r="22" spans="1:7" ht="20.100000000000001" customHeight="1">
      <c r="A22" s="126"/>
      <c r="B22" s="126"/>
      <c r="C22" s="126"/>
      <c r="D22" s="126"/>
    </row>
    <row r="23" spans="1:7" ht="20.100000000000001" customHeight="1">
      <c r="A23" s="126"/>
      <c r="B23" s="126"/>
      <c r="C23" s="126"/>
    </row>
    <row r="24" spans="1:7" ht="20.100000000000001" customHeight="1">
      <c r="A24" s="126"/>
      <c r="B24" s="126"/>
      <c r="C24" s="126"/>
    </row>
    <row r="25" spans="1:7" ht="20.100000000000001" customHeight="1">
      <c r="A25" s="126"/>
      <c r="B25" s="126"/>
      <c r="C25" s="126"/>
    </row>
    <row r="26" spans="1:7" ht="20.100000000000001" customHeight="1">
      <c r="A26" s="126"/>
      <c r="B26" s="126"/>
      <c r="C26" s="126"/>
    </row>
    <row r="27" spans="1:7" ht="20.100000000000001" customHeight="1">
      <c r="A27" s="126"/>
    </row>
    <row r="28" spans="1:7" ht="20.100000000000001" customHeight="1"/>
    <row r="29" spans="1:7" ht="20.100000000000001" customHeight="1"/>
    <row r="30" spans="1:7" ht="20.100000000000001" customHeight="1"/>
    <row r="31" spans="1:7" ht="20.100000000000001" customHeight="1"/>
    <row r="32" spans="1:7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</sheetData>
  <mergeCells count="2">
    <mergeCell ref="E4:F4"/>
    <mergeCell ref="E5:F5"/>
  </mergeCells>
  <pageMargins left="0.74803149606299202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I47"/>
  <sheetViews>
    <sheetView zoomScale="85" zoomScaleNormal="85" workbookViewId="0">
      <selection activeCell="L15" sqref="L15"/>
    </sheetView>
  </sheetViews>
  <sheetFormatPr defaultColWidth="16.7109375" defaultRowHeight="16.5" customHeight="1"/>
  <cols>
    <col min="1" max="1" width="44.85546875" style="128" customWidth="1"/>
    <col min="2" max="2" width="12.28515625" style="128" customWidth="1"/>
    <col min="3" max="4" width="11.28515625" style="128" customWidth="1"/>
    <col min="5" max="5" width="11.7109375" style="128" customWidth="1"/>
    <col min="6" max="16384" width="16.7109375" style="128"/>
  </cols>
  <sheetData>
    <row r="1" spans="1:113" ht="18" customHeight="1">
      <c r="A1" s="937" t="s">
        <v>81</v>
      </c>
      <c r="B1" s="937"/>
      <c r="C1" s="937"/>
      <c r="D1" s="937"/>
      <c r="E1" s="937"/>
    </row>
    <row r="2" spans="1:113" ht="15" customHeight="1">
      <c r="A2" s="129"/>
      <c r="B2" s="130"/>
      <c r="C2" s="131"/>
      <c r="D2" s="131"/>
      <c r="E2" s="132" t="s">
        <v>82</v>
      </c>
    </row>
    <row r="3" spans="1:113" s="136" customFormat="1" ht="15" customHeight="1">
      <c r="A3" s="133"/>
      <c r="B3" s="134" t="s">
        <v>83</v>
      </c>
      <c r="C3" s="134" t="s">
        <v>84</v>
      </c>
      <c r="D3" s="134" t="s">
        <v>85</v>
      </c>
      <c r="E3" s="135" t="s">
        <v>86</v>
      </c>
    </row>
    <row r="4" spans="1:113" s="136" customFormat="1" ht="15" customHeight="1">
      <c r="A4" s="137"/>
      <c r="B4" s="135" t="s">
        <v>87</v>
      </c>
      <c r="C4" s="135" t="s">
        <v>87</v>
      </c>
      <c r="D4" s="135" t="s">
        <v>87</v>
      </c>
      <c r="E4" s="135" t="s">
        <v>44</v>
      </c>
    </row>
    <row r="5" spans="1:113" s="136" customFormat="1" ht="15" customHeight="1">
      <c r="A5" s="137"/>
      <c r="B5" s="135" t="s">
        <v>44</v>
      </c>
      <c r="C5" s="135" t="s">
        <v>44</v>
      </c>
      <c r="D5" s="135" t="s">
        <v>44</v>
      </c>
      <c r="E5" s="135" t="s">
        <v>88</v>
      </c>
    </row>
    <row r="6" spans="1:113" s="136" customFormat="1" ht="15" customHeight="1">
      <c r="A6" s="137"/>
      <c r="B6" s="135" t="s">
        <v>3</v>
      </c>
      <c r="C6" s="135" t="s">
        <v>89</v>
      </c>
      <c r="D6" s="135" t="s">
        <v>3</v>
      </c>
      <c r="E6" s="135"/>
    </row>
    <row r="7" spans="1:113" s="136" customFormat="1" ht="15" customHeight="1">
      <c r="A7" s="137"/>
      <c r="B7" s="138" t="s">
        <v>6</v>
      </c>
      <c r="C7" s="138" t="s">
        <v>90</v>
      </c>
      <c r="D7" s="138" t="s">
        <v>6</v>
      </c>
      <c r="E7" s="138"/>
    </row>
    <row r="8" spans="1:113" s="136" customFormat="1" ht="6" customHeight="1">
      <c r="A8" s="137"/>
      <c r="B8" s="135"/>
      <c r="C8" s="135"/>
      <c r="D8" s="135"/>
      <c r="E8" s="135"/>
    </row>
    <row r="9" spans="1:113" s="135" customFormat="1" ht="15.6" customHeight="1">
      <c r="A9" s="139" t="s">
        <v>91</v>
      </c>
      <c r="B9" s="140">
        <v>109.13</v>
      </c>
      <c r="C9" s="140">
        <v>102.24</v>
      </c>
      <c r="D9" s="140">
        <v>110.1</v>
      </c>
      <c r="E9" s="141">
        <v>109.23</v>
      </c>
      <c r="F9" s="142"/>
      <c r="G9" s="142"/>
      <c r="H9" s="142"/>
    </row>
    <row r="10" spans="1:113" s="147" customFormat="1" ht="15" customHeight="1">
      <c r="A10" s="143" t="s">
        <v>92</v>
      </c>
      <c r="B10" s="144">
        <v>104.1</v>
      </c>
      <c r="C10" s="144">
        <v>100.77</v>
      </c>
      <c r="D10" s="144">
        <v>100.2</v>
      </c>
      <c r="E10" s="145">
        <v>100.54</v>
      </c>
      <c r="F10" s="142"/>
      <c r="G10" s="142"/>
      <c r="H10" s="142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6"/>
      <c r="BK10" s="146"/>
      <c r="BL10" s="146"/>
      <c r="BM10" s="146"/>
      <c r="BN10" s="146"/>
      <c r="BO10" s="146"/>
      <c r="BP10" s="146"/>
      <c r="BQ10" s="146"/>
      <c r="BR10" s="146"/>
      <c r="BS10" s="146"/>
      <c r="BT10" s="146"/>
      <c r="BU10" s="146"/>
      <c r="BV10" s="146"/>
      <c r="BW10" s="146"/>
      <c r="BX10" s="146"/>
      <c r="BY10" s="146"/>
      <c r="BZ10" s="146"/>
      <c r="CA10" s="146"/>
      <c r="CB10" s="146"/>
      <c r="CC10" s="146"/>
      <c r="CD10" s="146"/>
      <c r="CE10" s="146"/>
      <c r="CF10" s="146"/>
      <c r="CG10" s="146"/>
      <c r="CH10" s="146"/>
      <c r="CI10" s="146"/>
      <c r="CJ10" s="146"/>
      <c r="CK10" s="146"/>
      <c r="CL10" s="146"/>
      <c r="CM10" s="146"/>
      <c r="CN10" s="146"/>
      <c r="CO10" s="146"/>
      <c r="CP10" s="146"/>
      <c r="CQ10" s="146"/>
      <c r="CR10" s="146"/>
      <c r="CS10" s="146"/>
      <c r="CT10" s="146"/>
      <c r="CU10" s="146"/>
      <c r="CV10" s="146"/>
      <c r="CW10" s="146"/>
      <c r="CX10" s="146"/>
      <c r="CY10" s="146"/>
      <c r="CZ10" s="146"/>
      <c r="DA10" s="146"/>
      <c r="DB10" s="146"/>
      <c r="DC10" s="146"/>
      <c r="DD10" s="146"/>
      <c r="DE10" s="146"/>
      <c r="DF10" s="146"/>
      <c r="DG10" s="146"/>
      <c r="DH10" s="146"/>
      <c r="DI10" s="146"/>
    </row>
    <row r="11" spans="1:113" ht="15" customHeight="1">
      <c r="A11" s="148" t="s">
        <v>93</v>
      </c>
      <c r="B11" s="149">
        <v>93.55</v>
      </c>
      <c r="C11" s="149">
        <v>100.17</v>
      </c>
      <c r="D11" s="149">
        <v>100.46</v>
      </c>
      <c r="E11" s="150">
        <v>102.45</v>
      </c>
      <c r="F11" s="142"/>
      <c r="G11" s="142"/>
      <c r="H11" s="142"/>
    </row>
    <row r="12" spans="1:113" ht="15" customHeight="1">
      <c r="A12" s="148" t="s">
        <v>94</v>
      </c>
      <c r="B12" s="149">
        <v>105.2</v>
      </c>
      <c r="C12" s="149">
        <v>105.09</v>
      </c>
      <c r="D12" s="149">
        <v>100.69</v>
      </c>
      <c r="E12" s="150">
        <v>97.49</v>
      </c>
      <c r="F12" s="142"/>
      <c r="G12" s="142"/>
      <c r="H12" s="142"/>
    </row>
    <row r="13" spans="1:113" ht="15" customHeight="1">
      <c r="A13" s="148" t="s">
        <v>95</v>
      </c>
      <c r="B13" s="149">
        <v>60.65</v>
      </c>
      <c r="C13" s="149">
        <v>110.84</v>
      </c>
      <c r="D13" s="149">
        <v>78.8</v>
      </c>
      <c r="E13" s="150">
        <v>93.47</v>
      </c>
      <c r="F13" s="142"/>
      <c r="G13" s="142"/>
      <c r="H13" s="142"/>
    </row>
    <row r="14" spans="1:113" s="151" customFormat="1" ht="15" customHeight="1">
      <c r="A14" s="148" t="s">
        <v>96</v>
      </c>
      <c r="B14" s="149">
        <v>111.65</v>
      </c>
      <c r="C14" s="149">
        <v>105.95</v>
      </c>
      <c r="D14" s="149">
        <v>113.63</v>
      </c>
      <c r="E14" s="150">
        <v>111</v>
      </c>
      <c r="F14" s="142"/>
      <c r="G14" s="142"/>
      <c r="H14" s="142"/>
    </row>
    <row r="15" spans="1:113" s="151" customFormat="1" ht="15" customHeight="1">
      <c r="A15" s="148" t="s">
        <v>97</v>
      </c>
      <c r="B15" s="149">
        <v>139.69999999999999</v>
      </c>
      <c r="C15" s="149">
        <v>70.599999999999994</v>
      </c>
      <c r="D15" s="149">
        <v>81.400000000000006</v>
      </c>
      <c r="E15" s="150">
        <v>102.1</v>
      </c>
      <c r="F15" s="142"/>
      <c r="G15" s="142"/>
      <c r="H15" s="142"/>
    </row>
    <row r="16" spans="1:113" ht="15" customHeight="1">
      <c r="A16" s="152" t="s">
        <v>98</v>
      </c>
      <c r="B16" s="144">
        <v>110.49</v>
      </c>
      <c r="C16" s="144">
        <v>101.78</v>
      </c>
      <c r="D16" s="144">
        <v>110.88</v>
      </c>
      <c r="E16" s="145">
        <v>110.45</v>
      </c>
      <c r="F16" s="142"/>
      <c r="G16" s="142"/>
      <c r="H16" s="142"/>
    </row>
    <row r="17" spans="1:113" ht="15" customHeight="1">
      <c r="A17" s="148" t="s">
        <v>99</v>
      </c>
      <c r="B17" s="149">
        <v>112.9</v>
      </c>
      <c r="C17" s="149">
        <v>102.5</v>
      </c>
      <c r="D17" s="149">
        <v>115.7</v>
      </c>
      <c r="E17" s="150">
        <v>111.04</v>
      </c>
      <c r="F17" s="142"/>
      <c r="G17" s="142"/>
      <c r="H17" s="142"/>
    </row>
    <row r="18" spans="1:113" ht="15" customHeight="1">
      <c r="A18" s="148" t="s">
        <v>100</v>
      </c>
      <c r="B18" s="149">
        <v>104.85</v>
      </c>
      <c r="C18" s="149">
        <v>107.24</v>
      </c>
      <c r="D18" s="149">
        <v>108.06</v>
      </c>
      <c r="E18" s="150">
        <v>104.54</v>
      </c>
      <c r="F18" s="142"/>
      <c r="G18" s="142"/>
      <c r="H18" s="142"/>
    </row>
    <row r="19" spans="1:113" ht="15" customHeight="1">
      <c r="A19" s="148" t="s">
        <v>101</v>
      </c>
      <c r="B19" s="149">
        <v>100.63</v>
      </c>
      <c r="C19" s="149">
        <v>102.37</v>
      </c>
      <c r="D19" s="149">
        <v>102.37</v>
      </c>
      <c r="E19" s="150">
        <v>104.29</v>
      </c>
      <c r="F19" s="142"/>
      <c r="G19" s="142"/>
      <c r="H19" s="142"/>
    </row>
    <row r="20" spans="1:113" ht="15" customHeight="1">
      <c r="A20" s="148" t="s">
        <v>102</v>
      </c>
      <c r="B20" s="149">
        <v>105.46</v>
      </c>
      <c r="C20" s="149">
        <v>103.86</v>
      </c>
      <c r="D20" s="149">
        <v>107.28</v>
      </c>
      <c r="E20" s="150">
        <v>107.6</v>
      </c>
      <c r="F20" s="142"/>
      <c r="G20" s="142"/>
      <c r="H20" s="142"/>
    </row>
    <row r="21" spans="1:113" ht="15" customHeight="1">
      <c r="A21" s="148" t="s">
        <v>103</v>
      </c>
      <c r="B21" s="149">
        <v>112.93</v>
      </c>
      <c r="C21" s="149">
        <v>105.1</v>
      </c>
      <c r="D21" s="149">
        <v>111.57</v>
      </c>
      <c r="E21" s="150">
        <v>113.2</v>
      </c>
      <c r="F21" s="142"/>
      <c r="G21" s="142"/>
      <c r="H21" s="142"/>
    </row>
    <row r="22" spans="1:113" ht="15" customHeight="1">
      <c r="A22" s="148" t="s">
        <v>104</v>
      </c>
      <c r="B22" s="149">
        <v>106.83</v>
      </c>
      <c r="C22" s="149">
        <v>103.33</v>
      </c>
      <c r="D22" s="149">
        <v>109.81</v>
      </c>
      <c r="E22" s="150">
        <v>111.09</v>
      </c>
      <c r="F22" s="142"/>
      <c r="G22" s="142"/>
      <c r="H22" s="142"/>
    </row>
    <row r="23" spans="1:113" ht="37.9" customHeight="1">
      <c r="A23" s="148" t="s">
        <v>105</v>
      </c>
      <c r="B23" s="153">
        <v>103.25</v>
      </c>
      <c r="C23" s="153">
        <v>105.05</v>
      </c>
      <c r="D23" s="153">
        <v>102.18</v>
      </c>
      <c r="E23" s="154">
        <v>108.6</v>
      </c>
      <c r="F23" s="142"/>
      <c r="G23" s="142"/>
      <c r="H23" s="142"/>
    </row>
    <row r="24" spans="1:113" ht="15" customHeight="1">
      <c r="A24" s="148" t="s">
        <v>106</v>
      </c>
      <c r="B24" s="149">
        <v>110.96</v>
      </c>
      <c r="C24" s="149">
        <v>101.32</v>
      </c>
      <c r="D24" s="149">
        <v>108.61</v>
      </c>
      <c r="E24" s="150">
        <v>110.38</v>
      </c>
      <c r="F24" s="142"/>
      <c r="G24" s="142"/>
      <c r="H24" s="142"/>
    </row>
    <row r="25" spans="1:113" ht="15" customHeight="1">
      <c r="A25" s="148" t="s">
        <v>107</v>
      </c>
      <c r="B25" s="149">
        <v>105.65</v>
      </c>
      <c r="C25" s="149">
        <v>100.43</v>
      </c>
      <c r="D25" s="149">
        <v>109.15</v>
      </c>
      <c r="E25" s="150">
        <v>109.7</v>
      </c>
      <c r="F25" s="142"/>
      <c r="G25" s="142"/>
      <c r="H25" s="142"/>
    </row>
    <row r="26" spans="1:113" ht="15" customHeight="1">
      <c r="A26" s="148" t="s">
        <v>108</v>
      </c>
      <c r="B26" s="149">
        <v>114.6</v>
      </c>
      <c r="C26" s="149">
        <v>102.8</v>
      </c>
      <c r="D26" s="149">
        <v>116.09</v>
      </c>
      <c r="E26" s="150">
        <v>110.75</v>
      </c>
      <c r="F26" s="142"/>
      <c r="G26" s="142"/>
      <c r="H26" s="142"/>
    </row>
    <row r="27" spans="1:113" ht="15" customHeight="1">
      <c r="A27" s="148" t="s">
        <v>109</v>
      </c>
      <c r="B27" s="149">
        <v>129.33000000000001</v>
      </c>
      <c r="C27" s="149">
        <v>103.67</v>
      </c>
      <c r="D27" s="149">
        <v>121.74</v>
      </c>
      <c r="E27" s="150">
        <v>112.41</v>
      </c>
      <c r="F27" s="142"/>
      <c r="G27" s="142"/>
      <c r="H27" s="142"/>
    </row>
    <row r="28" spans="1:113" ht="15" customHeight="1">
      <c r="A28" s="148" t="s">
        <v>110</v>
      </c>
      <c r="B28" s="149">
        <v>141.52000000000001</v>
      </c>
      <c r="C28" s="149">
        <v>105.46</v>
      </c>
      <c r="D28" s="149">
        <v>131.46</v>
      </c>
      <c r="E28" s="150">
        <v>101.09</v>
      </c>
      <c r="F28" s="142"/>
      <c r="G28" s="142"/>
      <c r="H28" s="142"/>
    </row>
    <row r="29" spans="1:113" s="155" customFormat="1" ht="15" customHeight="1">
      <c r="A29" s="148" t="s">
        <v>111</v>
      </c>
      <c r="B29" s="149">
        <v>108.26</v>
      </c>
      <c r="C29" s="149">
        <v>103.53</v>
      </c>
      <c r="D29" s="149">
        <v>110.56</v>
      </c>
      <c r="E29" s="150">
        <v>115.66</v>
      </c>
      <c r="F29" s="142"/>
      <c r="G29" s="142"/>
      <c r="H29" s="142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  <c r="CF29" s="128"/>
      <c r="CG29" s="128"/>
      <c r="CH29" s="128"/>
      <c r="CI29" s="128"/>
      <c r="CJ29" s="128"/>
      <c r="CK29" s="128"/>
      <c r="CL29" s="128"/>
      <c r="CM29" s="128"/>
      <c r="CN29" s="128"/>
      <c r="CO29" s="128"/>
      <c r="CP29" s="128"/>
      <c r="CQ29" s="128"/>
      <c r="CR29" s="128"/>
      <c r="CS29" s="128"/>
      <c r="CT29" s="128"/>
      <c r="CU29" s="128"/>
      <c r="CV29" s="128"/>
      <c r="CW29" s="128"/>
      <c r="CX29" s="128"/>
      <c r="CY29" s="128"/>
      <c r="CZ29" s="128"/>
      <c r="DA29" s="128"/>
      <c r="DB29" s="128"/>
      <c r="DC29" s="128"/>
      <c r="DD29" s="128"/>
      <c r="DE29" s="128"/>
      <c r="DF29" s="128"/>
      <c r="DG29" s="128"/>
      <c r="DH29" s="128"/>
      <c r="DI29" s="128"/>
    </row>
    <row r="30" spans="1:113" ht="15" customHeight="1">
      <c r="A30" s="148" t="s">
        <v>112</v>
      </c>
      <c r="B30" s="149">
        <v>116.81</v>
      </c>
      <c r="C30" s="149">
        <v>102.69</v>
      </c>
      <c r="D30" s="149">
        <v>114.68</v>
      </c>
      <c r="E30" s="150">
        <v>116.17</v>
      </c>
      <c r="F30" s="142"/>
      <c r="G30" s="142"/>
      <c r="H30" s="142"/>
    </row>
    <row r="31" spans="1:113" ht="15" customHeight="1">
      <c r="A31" s="148" t="s">
        <v>113</v>
      </c>
      <c r="B31" s="149">
        <v>127.47</v>
      </c>
      <c r="C31" s="149">
        <v>103.78</v>
      </c>
      <c r="D31" s="149">
        <v>116.18</v>
      </c>
      <c r="E31" s="150">
        <v>115.38</v>
      </c>
      <c r="F31" s="142"/>
      <c r="G31" s="142"/>
      <c r="H31" s="142"/>
    </row>
    <row r="32" spans="1:113" ht="25.15" customHeight="1">
      <c r="A32" s="148" t="s">
        <v>114</v>
      </c>
      <c r="B32" s="149">
        <v>109.48</v>
      </c>
      <c r="C32" s="149">
        <v>104.36</v>
      </c>
      <c r="D32" s="149">
        <v>113.58</v>
      </c>
      <c r="E32" s="150">
        <v>112.5</v>
      </c>
      <c r="F32" s="142"/>
      <c r="G32" s="142"/>
      <c r="H32" s="142"/>
    </row>
    <row r="33" spans="1:8" ht="25.15" customHeight="1">
      <c r="A33" s="148" t="s">
        <v>115</v>
      </c>
      <c r="B33" s="149">
        <v>109.88</v>
      </c>
      <c r="C33" s="149">
        <v>95.78</v>
      </c>
      <c r="D33" s="149">
        <v>107.92</v>
      </c>
      <c r="E33" s="150">
        <v>108.32</v>
      </c>
      <c r="F33" s="142"/>
      <c r="G33" s="142"/>
      <c r="H33" s="142"/>
    </row>
    <row r="34" spans="1:8" ht="14.65" customHeight="1">
      <c r="A34" s="148" t="s">
        <v>116</v>
      </c>
      <c r="B34" s="149">
        <v>99.49</v>
      </c>
      <c r="C34" s="149">
        <v>101.83</v>
      </c>
      <c r="D34" s="149">
        <v>106.27</v>
      </c>
      <c r="E34" s="150">
        <v>104.59</v>
      </c>
      <c r="F34" s="142"/>
      <c r="G34" s="142"/>
      <c r="H34" s="142"/>
    </row>
    <row r="35" spans="1:8" ht="14.65" customHeight="1">
      <c r="A35" s="148" t="s">
        <v>117</v>
      </c>
      <c r="B35" s="149">
        <v>85.35</v>
      </c>
      <c r="C35" s="149">
        <v>111.75</v>
      </c>
      <c r="D35" s="149">
        <v>94.63</v>
      </c>
      <c r="E35" s="150">
        <v>101.83</v>
      </c>
      <c r="F35" s="142"/>
      <c r="G35" s="142"/>
      <c r="H35" s="142"/>
    </row>
    <row r="36" spans="1:8" ht="14.65" customHeight="1">
      <c r="A36" s="148" t="s">
        <v>118</v>
      </c>
      <c r="B36" s="149">
        <v>104.33</v>
      </c>
      <c r="C36" s="149">
        <v>112.47</v>
      </c>
      <c r="D36" s="149">
        <v>125.48</v>
      </c>
      <c r="E36" s="150">
        <v>121.95</v>
      </c>
      <c r="F36" s="142"/>
      <c r="G36" s="142"/>
      <c r="H36" s="142"/>
    </row>
    <row r="37" spans="1:8" ht="14.65" customHeight="1">
      <c r="A37" s="148" t="s">
        <v>119</v>
      </c>
      <c r="B37" s="149">
        <v>96.59</v>
      </c>
      <c r="C37" s="149">
        <v>106.15</v>
      </c>
      <c r="D37" s="149">
        <v>96.37</v>
      </c>
      <c r="E37" s="150">
        <v>105.49</v>
      </c>
      <c r="F37" s="142"/>
      <c r="G37" s="142"/>
      <c r="H37" s="142"/>
    </row>
    <row r="38" spans="1:8" ht="14.65" customHeight="1">
      <c r="A38" s="148" t="s">
        <v>120</v>
      </c>
      <c r="B38" s="149">
        <v>103.61</v>
      </c>
      <c r="C38" s="149">
        <v>108.37</v>
      </c>
      <c r="D38" s="149">
        <v>107.27</v>
      </c>
      <c r="E38" s="150">
        <v>109.38</v>
      </c>
      <c r="F38" s="142"/>
      <c r="G38" s="142"/>
      <c r="H38" s="142"/>
    </row>
    <row r="39" spans="1:8" ht="14.65" customHeight="1">
      <c r="A39" s="148" t="s">
        <v>121</v>
      </c>
      <c r="B39" s="149">
        <v>107.92</v>
      </c>
      <c r="C39" s="149">
        <v>100.34</v>
      </c>
      <c r="D39" s="149">
        <v>105.83</v>
      </c>
      <c r="E39" s="150">
        <v>107.1</v>
      </c>
      <c r="F39" s="142"/>
      <c r="G39" s="142"/>
      <c r="H39" s="142"/>
    </row>
    <row r="40" spans="1:8" ht="14.65" customHeight="1">
      <c r="A40" s="148" t="s">
        <v>122</v>
      </c>
      <c r="B40" s="149">
        <v>124.18</v>
      </c>
      <c r="C40" s="149">
        <v>96.41</v>
      </c>
      <c r="D40" s="149">
        <v>101.95</v>
      </c>
      <c r="E40" s="150">
        <v>114.79</v>
      </c>
      <c r="F40" s="142"/>
      <c r="G40" s="142"/>
      <c r="H40" s="142"/>
    </row>
    <row r="41" spans="1:8" s="151" customFormat="1" ht="27" customHeight="1">
      <c r="A41" s="156" t="s">
        <v>123</v>
      </c>
      <c r="B41" s="157">
        <v>103.64</v>
      </c>
      <c r="C41" s="157">
        <v>106.95</v>
      </c>
      <c r="D41" s="157">
        <v>111.16</v>
      </c>
      <c r="E41" s="158">
        <v>106.74</v>
      </c>
      <c r="F41" s="142"/>
      <c r="G41" s="142"/>
      <c r="H41" s="142"/>
    </row>
    <row r="42" spans="1:8" s="151" customFormat="1" ht="27" customHeight="1">
      <c r="A42" s="156" t="s">
        <v>124</v>
      </c>
      <c r="B42" s="144">
        <v>102.11</v>
      </c>
      <c r="C42" s="144">
        <v>101.29</v>
      </c>
      <c r="D42" s="144">
        <v>106.28</v>
      </c>
      <c r="E42" s="145">
        <v>107.78</v>
      </c>
      <c r="F42" s="142"/>
      <c r="G42" s="142"/>
      <c r="H42" s="142"/>
    </row>
    <row r="43" spans="1:8" s="151" customFormat="1" ht="14.65" customHeight="1">
      <c r="A43" s="148" t="s">
        <v>125</v>
      </c>
      <c r="B43" s="149">
        <v>105.09</v>
      </c>
      <c r="C43" s="149">
        <v>100.12</v>
      </c>
      <c r="D43" s="149">
        <v>107.13</v>
      </c>
      <c r="E43" s="150">
        <v>104.05</v>
      </c>
      <c r="F43" s="142"/>
      <c r="G43" s="142"/>
      <c r="H43" s="142"/>
    </row>
    <row r="44" spans="1:8" s="151" customFormat="1" ht="14.65" customHeight="1">
      <c r="A44" s="148" t="s">
        <v>126</v>
      </c>
      <c r="B44" s="149">
        <v>114.11</v>
      </c>
      <c r="C44" s="149">
        <v>104.95</v>
      </c>
      <c r="D44" s="149">
        <v>110.99</v>
      </c>
      <c r="E44" s="150">
        <v>110.74</v>
      </c>
      <c r="F44" s="142"/>
      <c r="G44" s="142"/>
      <c r="H44" s="142"/>
    </row>
    <row r="45" spans="1:8" ht="25.15" customHeight="1">
      <c r="A45" s="148" t="s">
        <v>127</v>
      </c>
      <c r="B45" s="685">
        <v>97.51</v>
      </c>
      <c r="C45" s="685">
        <v>101.94</v>
      </c>
      <c r="D45" s="685">
        <v>104.66</v>
      </c>
      <c r="E45" s="686">
        <v>111.48</v>
      </c>
      <c r="F45" s="142"/>
      <c r="G45" s="142"/>
      <c r="H45" s="142"/>
    </row>
    <row r="46" spans="1:8" ht="27" customHeight="1">
      <c r="A46" s="148"/>
    </row>
    <row r="47" spans="1:8" ht="15" customHeight="1"/>
  </sheetData>
  <mergeCells count="1">
    <mergeCell ref="A1:E1"/>
  </mergeCells>
  <pageMargins left="0.74803149606299202" right="0.17" top="0.74803149606299202" bottom="0.511811023622047" header="0.43307086614173201" footer="0.31496062992126"/>
  <pageSetup paperSize="9" firstPageNumber="39" orientation="portrait" r:id="rId1"/>
  <headerFooter alignWithMargins="0">
    <oddHeader>&amp;C&amp;"Times New Roman,Regular"&amp;13&amp;P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F44"/>
  <sheetViews>
    <sheetView topLeftCell="A23" zoomScale="85" zoomScaleNormal="85" workbookViewId="0">
      <selection activeCell="L15" sqref="L15"/>
    </sheetView>
  </sheetViews>
  <sheetFormatPr defaultColWidth="16.7109375" defaultRowHeight="16.5" customHeight="1"/>
  <cols>
    <col min="1" max="1" width="43.85546875" style="128" customWidth="1"/>
    <col min="2" max="2" width="12.28515625" style="128" customWidth="1"/>
    <col min="3" max="4" width="11.28515625" style="128" customWidth="1"/>
    <col min="5" max="5" width="11.7109375" style="128" customWidth="1"/>
    <col min="6" max="16384" width="16.7109375" style="128"/>
  </cols>
  <sheetData>
    <row r="1" spans="1:110" ht="18" customHeight="1">
      <c r="A1" s="937" t="s">
        <v>128</v>
      </c>
      <c r="B1" s="937"/>
      <c r="C1" s="937"/>
      <c r="D1" s="937"/>
      <c r="E1" s="127"/>
    </row>
    <row r="2" spans="1:110" ht="15.6" customHeight="1">
      <c r="A2" s="129"/>
      <c r="B2" s="130"/>
      <c r="C2" s="131"/>
      <c r="E2" s="159" t="s">
        <v>82</v>
      </c>
    </row>
    <row r="3" spans="1:110" ht="15" customHeight="1">
      <c r="A3" s="160"/>
      <c r="B3" s="938" t="s">
        <v>129</v>
      </c>
      <c r="C3" s="938"/>
      <c r="D3" s="938"/>
      <c r="E3" s="938"/>
    </row>
    <row r="4" spans="1:110" s="136" customFormat="1" ht="15" customHeight="1">
      <c r="A4" s="137"/>
      <c r="B4" s="135" t="s">
        <v>130</v>
      </c>
      <c r="C4" s="135" t="s">
        <v>130</v>
      </c>
      <c r="D4" s="135" t="s">
        <v>130</v>
      </c>
      <c r="E4" s="135" t="s">
        <v>131</v>
      </c>
    </row>
    <row r="5" spans="1:110" s="136" customFormat="1" ht="15" customHeight="1">
      <c r="A5" s="137"/>
      <c r="B5" s="161" t="s">
        <v>132</v>
      </c>
      <c r="C5" s="161" t="s">
        <v>133</v>
      </c>
      <c r="D5" s="161" t="s">
        <v>134</v>
      </c>
      <c r="E5" s="161" t="s">
        <v>135</v>
      </c>
    </row>
    <row r="6" spans="1:110" s="136" customFormat="1" ht="15" customHeight="1">
      <c r="A6" s="137"/>
      <c r="B6" s="138" t="s">
        <v>87</v>
      </c>
      <c r="C6" s="138" t="s">
        <v>87</v>
      </c>
      <c r="D6" s="138" t="s">
        <v>87</v>
      </c>
      <c r="E6" s="138" t="s">
        <v>87</v>
      </c>
    </row>
    <row r="7" spans="1:110" s="136" customFormat="1" ht="9.75" customHeight="1">
      <c r="A7" s="137"/>
      <c r="B7" s="135"/>
      <c r="C7" s="135"/>
      <c r="D7" s="135"/>
      <c r="E7" s="135"/>
    </row>
    <row r="8" spans="1:110" s="135" customFormat="1" ht="16.149999999999999" customHeight="1">
      <c r="A8" s="139" t="s">
        <v>91</v>
      </c>
      <c r="B8" s="162">
        <v>108.3</v>
      </c>
      <c r="C8" s="140">
        <v>109.3</v>
      </c>
      <c r="D8" s="140">
        <v>109.78</v>
      </c>
      <c r="E8" s="140">
        <v>109.94</v>
      </c>
      <c r="F8" s="142"/>
    </row>
    <row r="9" spans="1:110" s="147" customFormat="1" ht="15.6" customHeight="1">
      <c r="A9" s="143" t="s">
        <v>92</v>
      </c>
      <c r="B9" s="162">
        <v>95.37</v>
      </c>
      <c r="C9" s="144">
        <v>97.7</v>
      </c>
      <c r="D9" s="144">
        <v>106.59</v>
      </c>
      <c r="E9" s="144">
        <v>103.38</v>
      </c>
      <c r="F9" s="142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6"/>
      <c r="BK9" s="146"/>
      <c r="BL9" s="146"/>
      <c r="BM9" s="146"/>
      <c r="BN9" s="146"/>
      <c r="BO9" s="146"/>
      <c r="BP9" s="146"/>
      <c r="BQ9" s="146"/>
      <c r="BR9" s="146"/>
      <c r="BS9" s="146"/>
      <c r="BT9" s="146"/>
      <c r="BU9" s="146"/>
      <c r="BV9" s="146"/>
      <c r="BW9" s="146"/>
      <c r="BX9" s="146"/>
      <c r="BY9" s="146"/>
      <c r="BZ9" s="146"/>
      <c r="CA9" s="146"/>
      <c r="CB9" s="146"/>
      <c r="CC9" s="146"/>
      <c r="CD9" s="146"/>
      <c r="CE9" s="146"/>
      <c r="CF9" s="146"/>
      <c r="CG9" s="146"/>
      <c r="CH9" s="146"/>
      <c r="CI9" s="146"/>
      <c r="CJ9" s="146"/>
      <c r="CK9" s="146"/>
      <c r="CL9" s="146"/>
      <c r="CM9" s="146"/>
      <c r="CN9" s="146"/>
      <c r="CO9" s="146"/>
      <c r="CP9" s="146"/>
      <c r="CQ9" s="146"/>
      <c r="CR9" s="146"/>
      <c r="CS9" s="146"/>
      <c r="CT9" s="146"/>
      <c r="CU9" s="146"/>
      <c r="CV9" s="146"/>
      <c r="CW9" s="146"/>
      <c r="CX9" s="146"/>
      <c r="CY9" s="146"/>
      <c r="CZ9" s="146"/>
      <c r="DA9" s="146"/>
      <c r="DB9" s="146"/>
      <c r="DC9" s="146"/>
      <c r="DD9" s="146"/>
      <c r="DE9" s="146"/>
      <c r="DF9" s="146"/>
    </row>
    <row r="10" spans="1:110" ht="15" customHeight="1">
      <c r="A10" s="148" t="s">
        <v>93</v>
      </c>
      <c r="B10" s="163">
        <v>105.69</v>
      </c>
      <c r="C10" s="149">
        <v>102.2</v>
      </c>
      <c r="D10" s="149">
        <v>106.35</v>
      </c>
      <c r="E10" s="149">
        <v>97.1</v>
      </c>
      <c r="F10" s="142"/>
    </row>
    <row r="11" spans="1:110" ht="15" customHeight="1">
      <c r="A11" s="148" t="s">
        <v>94</v>
      </c>
      <c r="B11" s="163">
        <v>89.19</v>
      </c>
      <c r="C11" s="149">
        <v>93.1</v>
      </c>
      <c r="D11" s="149">
        <v>103.99</v>
      </c>
      <c r="E11" s="149">
        <v>104.95</v>
      </c>
      <c r="F11" s="142"/>
    </row>
    <row r="12" spans="1:110" ht="15" customHeight="1">
      <c r="A12" s="148" t="s">
        <v>95</v>
      </c>
      <c r="B12" s="163">
        <v>106.29</v>
      </c>
      <c r="C12" s="149">
        <v>92.8</v>
      </c>
      <c r="D12" s="149">
        <v>98.18</v>
      </c>
      <c r="E12" s="149">
        <v>76.349999999999994</v>
      </c>
      <c r="F12" s="142"/>
    </row>
    <row r="13" spans="1:110" s="151" customFormat="1" ht="15" customHeight="1">
      <c r="A13" s="148" t="s">
        <v>96</v>
      </c>
      <c r="B13" s="163">
        <v>105.11</v>
      </c>
      <c r="C13" s="149">
        <v>111.1</v>
      </c>
      <c r="D13" s="149">
        <v>115.25</v>
      </c>
      <c r="E13" s="149">
        <v>111.92</v>
      </c>
      <c r="F13" s="142"/>
    </row>
    <row r="14" spans="1:110" ht="15" customHeight="1">
      <c r="A14" s="148" t="s">
        <v>97</v>
      </c>
      <c r="B14" s="163">
        <v>89.16</v>
      </c>
      <c r="C14" s="149">
        <v>95.3</v>
      </c>
      <c r="D14" s="149">
        <v>115.33</v>
      </c>
      <c r="E14" s="149">
        <v>108.59</v>
      </c>
      <c r="F14" s="142"/>
    </row>
    <row r="15" spans="1:110" ht="15.6" customHeight="1">
      <c r="A15" s="152" t="s">
        <v>98</v>
      </c>
      <c r="B15" s="164">
        <v>109.94</v>
      </c>
      <c r="C15" s="144">
        <v>111.3</v>
      </c>
      <c r="D15" s="144">
        <v>110.04</v>
      </c>
      <c r="E15" s="144">
        <v>110.82</v>
      </c>
      <c r="F15" s="142"/>
    </row>
    <row r="16" spans="1:110" ht="15.6" customHeight="1">
      <c r="A16" s="148" t="s">
        <v>99</v>
      </c>
      <c r="B16" s="165">
        <v>108.64</v>
      </c>
      <c r="C16" s="149">
        <v>111.4</v>
      </c>
      <c r="D16" s="149">
        <v>110.82</v>
      </c>
      <c r="E16" s="149">
        <v>112.75</v>
      </c>
      <c r="F16" s="142"/>
    </row>
    <row r="17" spans="1:6" ht="15.6" customHeight="1">
      <c r="A17" s="148" t="s">
        <v>100</v>
      </c>
      <c r="B17" s="165">
        <v>97.77</v>
      </c>
      <c r="C17" s="149">
        <v>104.9</v>
      </c>
      <c r="D17" s="149">
        <v>107.04</v>
      </c>
      <c r="E17" s="149">
        <v>107.92</v>
      </c>
      <c r="F17" s="142"/>
    </row>
    <row r="18" spans="1:6" ht="15.6" customHeight="1">
      <c r="A18" s="148" t="s">
        <v>101</v>
      </c>
      <c r="B18" s="165">
        <v>101.66</v>
      </c>
      <c r="C18" s="149">
        <v>109.7</v>
      </c>
      <c r="D18" s="149">
        <v>106.25</v>
      </c>
      <c r="E18" s="149">
        <v>99.76</v>
      </c>
      <c r="F18" s="142"/>
    </row>
    <row r="19" spans="1:6" ht="15.6" customHeight="1">
      <c r="A19" s="148" t="s">
        <v>102</v>
      </c>
      <c r="B19" s="165">
        <v>110.09</v>
      </c>
      <c r="C19" s="149">
        <v>106.6</v>
      </c>
      <c r="D19" s="149">
        <v>107.42</v>
      </c>
      <c r="E19" s="149">
        <v>106.54</v>
      </c>
      <c r="F19" s="142"/>
    </row>
    <row r="20" spans="1:6" ht="15.6" customHeight="1">
      <c r="A20" s="148" t="s">
        <v>103</v>
      </c>
      <c r="B20" s="165">
        <v>114.83</v>
      </c>
      <c r="C20" s="149">
        <v>115.9</v>
      </c>
      <c r="D20" s="149">
        <v>109.28</v>
      </c>
      <c r="E20" s="149">
        <v>113.36</v>
      </c>
      <c r="F20" s="142"/>
    </row>
    <row r="21" spans="1:6" ht="15.6" customHeight="1">
      <c r="A21" s="148" t="s">
        <v>104</v>
      </c>
      <c r="B21" s="165">
        <v>117.96</v>
      </c>
      <c r="C21" s="149">
        <v>114.4</v>
      </c>
      <c r="D21" s="149">
        <v>104.85</v>
      </c>
      <c r="E21" s="149">
        <v>108.41</v>
      </c>
      <c r="F21" s="142"/>
    </row>
    <row r="22" spans="1:6" ht="39" customHeight="1">
      <c r="A22" s="148" t="s">
        <v>136</v>
      </c>
      <c r="B22" s="165">
        <v>116.15</v>
      </c>
      <c r="C22" s="149">
        <v>106.3</v>
      </c>
      <c r="D22" s="149">
        <v>108.84</v>
      </c>
      <c r="E22" s="149">
        <v>104.49</v>
      </c>
      <c r="F22" s="142"/>
    </row>
    <row r="23" spans="1:6" ht="15.6" customHeight="1">
      <c r="A23" s="148" t="s">
        <v>106</v>
      </c>
      <c r="B23" s="165">
        <v>108.32</v>
      </c>
      <c r="C23" s="149">
        <v>109.9</v>
      </c>
      <c r="D23" s="149">
        <v>111.67</v>
      </c>
      <c r="E23" s="149">
        <v>111.49</v>
      </c>
      <c r="F23" s="142"/>
    </row>
    <row r="24" spans="1:6" ht="15.6" customHeight="1">
      <c r="A24" s="148" t="s">
        <v>107</v>
      </c>
      <c r="B24" s="165">
        <v>104.48</v>
      </c>
      <c r="C24" s="149">
        <v>111.2</v>
      </c>
      <c r="D24" s="149">
        <v>113.9</v>
      </c>
      <c r="E24" s="149">
        <v>108.56</v>
      </c>
      <c r="F24" s="142"/>
    </row>
    <row r="25" spans="1:6" ht="15.6" customHeight="1">
      <c r="A25" s="148" t="s">
        <v>108</v>
      </c>
      <c r="B25" s="165">
        <v>106.1</v>
      </c>
      <c r="C25" s="149">
        <v>114.1</v>
      </c>
      <c r="D25" s="149">
        <v>106.83</v>
      </c>
      <c r="E25" s="149">
        <v>116.76</v>
      </c>
      <c r="F25" s="142"/>
    </row>
    <row r="26" spans="1:6" ht="15.6" customHeight="1">
      <c r="A26" s="148" t="s">
        <v>109</v>
      </c>
      <c r="B26" s="165">
        <v>104.29</v>
      </c>
      <c r="C26" s="149">
        <v>109.4</v>
      </c>
      <c r="D26" s="149">
        <v>110.44</v>
      </c>
      <c r="E26" s="149">
        <v>124.72</v>
      </c>
      <c r="F26" s="142"/>
    </row>
    <row r="27" spans="1:6" ht="15.6" customHeight="1">
      <c r="A27" s="148" t="s">
        <v>110</v>
      </c>
      <c r="B27" s="165">
        <v>95.9</v>
      </c>
      <c r="C27" s="149">
        <v>91.7</v>
      </c>
      <c r="D27" s="149">
        <v>103.05</v>
      </c>
      <c r="E27" s="149">
        <v>115.81</v>
      </c>
      <c r="F27" s="142"/>
    </row>
    <row r="28" spans="1:6" ht="15.6" customHeight="1">
      <c r="A28" s="148" t="s">
        <v>111</v>
      </c>
      <c r="B28" s="165">
        <v>115.57</v>
      </c>
      <c r="C28" s="149">
        <v>118.2</v>
      </c>
      <c r="D28" s="149">
        <v>118.53</v>
      </c>
      <c r="E28" s="149">
        <v>110.98</v>
      </c>
      <c r="F28" s="142"/>
    </row>
    <row r="29" spans="1:6" ht="15.6" customHeight="1">
      <c r="A29" s="148" t="s">
        <v>112</v>
      </c>
      <c r="B29" s="165">
        <v>107.79</v>
      </c>
      <c r="C29" s="149">
        <v>118.9</v>
      </c>
      <c r="D29" s="149">
        <v>121.31</v>
      </c>
      <c r="E29" s="149">
        <v>116.48</v>
      </c>
      <c r="F29" s="142"/>
    </row>
    <row r="30" spans="1:6" s="151" customFormat="1" ht="15.6" customHeight="1">
      <c r="A30" s="148" t="s">
        <v>113</v>
      </c>
      <c r="B30" s="165">
        <v>103.18</v>
      </c>
      <c r="C30" s="149">
        <v>116.3</v>
      </c>
      <c r="D30" s="149">
        <v>117.31</v>
      </c>
      <c r="E30" s="149">
        <v>124.48</v>
      </c>
      <c r="F30" s="142"/>
    </row>
    <row r="31" spans="1:6" s="151" customFormat="1" ht="25.15" customHeight="1">
      <c r="A31" s="148" t="s">
        <v>114</v>
      </c>
      <c r="B31" s="165">
        <v>108.98</v>
      </c>
      <c r="C31" s="149">
        <v>112.4</v>
      </c>
      <c r="D31" s="149">
        <v>115.3</v>
      </c>
      <c r="E31" s="149">
        <v>112.94</v>
      </c>
      <c r="F31" s="142"/>
    </row>
    <row r="32" spans="1:6" ht="25.15" customHeight="1">
      <c r="A32" s="148" t="s">
        <v>115</v>
      </c>
      <c r="B32" s="165">
        <v>110.31</v>
      </c>
      <c r="C32" s="149">
        <v>106.9</v>
      </c>
      <c r="D32" s="149">
        <v>107.49</v>
      </c>
      <c r="E32" s="149">
        <v>109.16</v>
      </c>
      <c r="F32" s="142"/>
    </row>
    <row r="33" spans="1:6" ht="15" customHeight="1">
      <c r="A33" s="148" t="s">
        <v>116</v>
      </c>
      <c r="B33" s="165">
        <v>99.13</v>
      </c>
      <c r="C33" s="149">
        <v>101.5</v>
      </c>
      <c r="D33" s="149">
        <v>114.75</v>
      </c>
      <c r="E33" s="149">
        <v>101.7</v>
      </c>
      <c r="F33" s="142"/>
    </row>
    <row r="34" spans="1:6" ht="15" customHeight="1">
      <c r="A34" s="148" t="s">
        <v>117</v>
      </c>
      <c r="B34" s="165">
        <v>106.95</v>
      </c>
      <c r="C34" s="149">
        <v>106.8</v>
      </c>
      <c r="D34" s="149">
        <v>102.84</v>
      </c>
      <c r="E34" s="149">
        <v>91.48</v>
      </c>
      <c r="F34" s="142"/>
    </row>
    <row r="35" spans="1:6" ht="15" customHeight="1">
      <c r="A35" s="148" t="s">
        <v>118</v>
      </c>
      <c r="B35" s="165">
        <v>137.78</v>
      </c>
      <c r="C35" s="149">
        <v>132.19999999999999</v>
      </c>
      <c r="D35" s="149">
        <v>113.72</v>
      </c>
      <c r="E35" s="149">
        <v>110.92</v>
      </c>
      <c r="F35" s="142"/>
    </row>
    <row r="36" spans="1:6" ht="15" customHeight="1">
      <c r="A36" s="148" t="s">
        <v>119</v>
      </c>
      <c r="B36" s="165">
        <v>109.32</v>
      </c>
      <c r="C36" s="149">
        <v>120.1</v>
      </c>
      <c r="D36" s="149">
        <v>100.05</v>
      </c>
      <c r="E36" s="149">
        <v>95.95</v>
      </c>
      <c r="F36" s="142"/>
    </row>
    <row r="37" spans="1:6" ht="15" customHeight="1">
      <c r="A37" s="148" t="s">
        <v>120</v>
      </c>
      <c r="B37" s="165">
        <v>112.57</v>
      </c>
      <c r="C37" s="149">
        <v>110.3</v>
      </c>
      <c r="D37" s="149">
        <v>109.81</v>
      </c>
      <c r="E37" s="149">
        <v>106.32</v>
      </c>
      <c r="F37" s="142"/>
    </row>
    <row r="38" spans="1:6" ht="15" customHeight="1">
      <c r="A38" s="148" t="s">
        <v>121</v>
      </c>
      <c r="B38" s="165">
        <v>108.39</v>
      </c>
      <c r="C38" s="149">
        <v>106.6</v>
      </c>
      <c r="D38" s="149">
        <v>105.7</v>
      </c>
      <c r="E38" s="149">
        <v>107.87</v>
      </c>
      <c r="F38" s="142"/>
    </row>
    <row r="39" spans="1:6" ht="15" customHeight="1">
      <c r="A39" s="148" t="s">
        <v>122</v>
      </c>
      <c r="B39" s="165">
        <v>112.91</v>
      </c>
      <c r="C39" s="149">
        <v>117.1</v>
      </c>
      <c r="D39" s="149">
        <v>119.47</v>
      </c>
      <c r="E39" s="149">
        <v>113.5</v>
      </c>
      <c r="F39" s="142"/>
    </row>
    <row r="40" spans="1:6" ht="25.15" customHeight="1">
      <c r="A40" s="156" t="s">
        <v>123</v>
      </c>
      <c r="B40" s="157">
        <v>105.33</v>
      </c>
      <c r="C40" s="166">
        <v>103.1</v>
      </c>
      <c r="D40" s="166">
        <v>110.32</v>
      </c>
      <c r="E40" s="166">
        <v>107.95</v>
      </c>
      <c r="F40" s="142"/>
    </row>
    <row r="41" spans="1:6" ht="25.15" customHeight="1">
      <c r="A41" s="167" t="s">
        <v>137</v>
      </c>
      <c r="B41" s="164">
        <v>111.06</v>
      </c>
      <c r="C41" s="144">
        <v>110.4</v>
      </c>
      <c r="D41" s="144">
        <v>104.67</v>
      </c>
      <c r="E41" s="144">
        <v>105.34</v>
      </c>
      <c r="F41" s="142"/>
    </row>
    <row r="42" spans="1:6" ht="14.25" customHeight="1">
      <c r="A42" s="148" t="s">
        <v>125</v>
      </c>
      <c r="B42" s="165">
        <v>102.43</v>
      </c>
      <c r="C42" s="149">
        <v>103.1</v>
      </c>
      <c r="D42" s="149">
        <v>104.64</v>
      </c>
      <c r="E42" s="149">
        <v>105.54</v>
      </c>
      <c r="F42" s="142"/>
    </row>
    <row r="43" spans="1:6" ht="14.25" customHeight="1">
      <c r="A43" s="148" t="s">
        <v>126</v>
      </c>
      <c r="B43" s="165">
        <v>106.83</v>
      </c>
      <c r="C43" s="149">
        <v>110.2</v>
      </c>
      <c r="D43" s="149">
        <v>111.19</v>
      </c>
      <c r="E43" s="149">
        <v>112.21</v>
      </c>
      <c r="F43" s="142"/>
    </row>
    <row r="44" spans="1:6" ht="25.15" customHeight="1">
      <c r="A44" s="148" t="s">
        <v>138</v>
      </c>
      <c r="B44" s="687">
        <v>122.89</v>
      </c>
      <c r="C44" s="687">
        <v>119.3</v>
      </c>
      <c r="D44" s="687">
        <v>103.71</v>
      </c>
      <c r="E44" s="687">
        <v>104.1</v>
      </c>
      <c r="F44" s="142"/>
    </row>
  </sheetData>
  <mergeCells count="2">
    <mergeCell ref="A1:D1"/>
    <mergeCell ref="B3:E3"/>
  </mergeCells>
  <pageMargins left="0.74803149606299202" right="0.17" top="0.74803149606299202" bottom="0.511811023622047" header="0.43307086614173201" footer="0.31496062992126"/>
  <pageSetup paperSize="9" firstPageNumber="39" orientation="portrait" r:id="rId1"/>
  <headerFooter alignWithMargins="0">
    <oddHeader>&amp;C&amp;"Times New Roman,Regular"&amp;13&amp;P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zoomScale="90" zoomScaleNormal="90" workbookViewId="0">
      <selection activeCell="L15" sqref="L15"/>
    </sheetView>
  </sheetViews>
  <sheetFormatPr defaultColWidth="10.7109375" defaultRowHeight="18" customHeight="1"/>
  <cols>
    <col min="1" max="1" width="23.140625" style="170" customWidth="1"/>
    <col min="2" max="2" width="13" style="170" customWidth="1"/>
    <col min="3" max="3" width="11" style="170" customWidth="1"/>
    <col min="4" max="4" width="11.7109375" style="170" customWidth="1"/>
    <col min="5" max="5" width="9.7109375" style="170" customWidth="1"/>
    <col min="6" max="6" width="14.42578125" style="170" customWidth="1"/>
    <col min="7" max="7" width="12" style="170" customWidth="1"/>
    <col min="8" max="221" width="10.7109375" style="170"/>
    <col min="222" max="222" width="38.42578125" style="170" customWidth="1"/>
    <col min="223" max="223" width="11.7109375" style="170" bestFit="1" customWidth="1"/>
    <col min="224" max="224" width="8.7109375" style="170" bestFit="1" customWidth="1"/>
    <col min="225" max="225" width="8" style="170" bestFit="1" customWidth="1"/>
    <col min="226" max="226" width="8.5703125" style="170" bestFit="1" customWidth="1"/>
    <col min="227" max="228" width="12.28515625" style="170" customWidth="1"/>
    <col min="229" max="16384" width="10.7109375" style="170"/>
  </cols>
  <sheetData>
    <row r="1" spans="1:10" ht="24" customHeight="1">
      <c r="A1" s="168" t="s">
        <v>139</v>
      </c>
      <c r="B1" s="169"/>
      <c r="C1" s="169"/>
      <c r="D1" s="169"/>
      <c r="E1" s="169"/>
      <c r="F1" s="169"/>
      <c r="G1" s="169"/>
    </row>
    <row r="2" spans="1:10" ht="20.100000000000001" customHeight="1">
      <c r="A2" s="168" t="s">
        <v>140</v>
      </c>
      <c r="B2" s="171"/>
    </row>
    <row r="3" spans="1:10" ht="20.100000000000001" customHeight="1">
      <c r="A3" s="172"/>
      <c r="B3" s="172"/>
      <c r="E3" s="173"/>
      <c r="F3" s="173"/>
      <c r="G3" s="173"/>
    </row>
    <row r="4" spans="1:10" s="176" customFormat="1" ht="15" customHeight="1">
      <c r="A4" s="174"/>
      <c r="B4" s="174" t="s">
        <v>141</v>
      </c>
      <c r="C4" s="174" t="s">
        <v>1</v>
      </c>
      <c r="D4" s="174" t="s">
        <v>142</v>
      </c>
      <c r="E4" s="174" t="s">
        <v>142</v>
      </c>
      <c r="F4" s="175" t="s">
        <v>85</v>
      </c>
      <c r="G4" s="175" t="s">
        <v>86</v>
      </c>
    </row>
    <row r="5" spans="1:10" s="176" customFormat="1" ht="15" customHeight="1">
      <c r="A5" s="175"/>
      <c r="B5" s="175" t="s">
        <v>143</v>
      </c>
      <c r="C5" s="175" t="s">
        <v>144</v>
      </c>
      <c r="D5" s="177" t="s">
        <v>145</v>
      </c>
      <c r="E5" s="175" t="s">
        <v>87</v>
      </c>
      <c r="F5" s="175" t="s">
        <v>87</v>
      </c>
      <c r="G5" s="175" t="s">
        <v>44</v>
      </c>
    </row>
    <row r="6" spans="1:10" s="176" customFormat="1" ht="15" customHeight="1">
      <c r="A6" s="175"/>
      <c r="B6" s="175"/>
      <c r="C6" s="175" t="s">
        <v>87</v>
      </c>
      <c r="D6" s="175" t="s">
        <v>87</v>
      </c>
      <c r="E6" s="175"/>
      <c r="F6" s="175" t="s">
        <v>146</v>
      </c>
      <c r="G6" s="175" t="s">
        <v>88</v>
      </c>
    </row>
    <row r="7" spans="1:10" s="176" customFormat="1" ht="15" customHeight="1">
      <c r="A7" s="175"/>
      <c r="B7" s="178"/>
      <c r="C7" s="178"/>
      <c r="D7" s="178"/>
      <c r="E7" s="178"/>
      <c r="F7" s="179" t="s">
        <v>7</v>
      </c>
      <c r="G7" s="178" t="s">
        <v>147</v>
      </c>
    </row>
    <row r="8" spans="1:10" s="176" customFormat="1" ht="7.9" customHeight="1">
      <c r="A8" s="175"/>
      <c r="B8" s="180"/>
      <c r="C8" s="180"/>
      <c r="D8" s="180"/>
      <c r="E8" s="180"/>
      <c r="F8" s="181"/>
      <c r="G8" s="180"/>
    </row>
    <row r="9" spans="1:10" ht="18" customHeight="1">
      <c r="A9" s="182" t="s">
        <v>148</v>
      </c>
      <c r="B9" s="183" t="s">
        <v>74</v>
      </c>
      <c r="C9" s="184">
        <v>3981.1546993854599</v>
      </c>
      <c r="D9" s="184">
        <v>3987.8979530985202</v>
      </c>
      <c r="E9" s="185">
        <v>45713.963630685663</v>
      </c>
      <c r="F9" s="186">
        <v>100.45635592934174</v>
      </c>
      <c r="G9" s="187">
        <v>102.45881306984764</v>
      </c>
      <c r="J9" s="188"/>
    </row>
    <row r="10" spans="1:10" ht="18" customHeight="1">
      <c r="A10" s="182" t="s">
        <v>149</v>
      </c>
      <c r="B10" s="183" t="s">
        <v>150</v>
      </c>
      <c r="C10" s="189">
        <v>716.30000000000007</v>
      </c>
      <c r="D10" s="189">
        <v>703.81000000000006</v>
      </c>
      <c r="E10" s="185">
        <v>8172.1200000000008</v>
      </c>
      <c r="F10" s="186">
        <v>101.77135751055586</v>
      </c>
      <c r="G10" s="187">
        <v>100.52046746005165</v>
      </c>
      <c r="J10" s="188"/>
    </row>
    <row r="11" spans="1:10" ht="18" customHeight="1">
      <c r="A11" s="182" t="s">
        <v>151</v>
      </c>
      <c r="B11" s="183" t="s">
        <v>152</v>
      </c>
      <c r="C11" s="189">
        <v>505.6</v>
      </c>
      <c r="D11" s="189">
        <v>570.38</v>
      </c>
      <c r="E11" s="185">
        <v>5993.67</v>
      </c>
      <c r="F11" s="186">
        <v>99.652322798189985</v>
      </c>
      <c r="G11" s="187">
        <v>94.399133130738349</v>
      </c>
      <c r="J11" s="188"/>
    </row>
    <row r="12" spans="1:10" ht="18" customHeight="1">
      <c r="A12" s="182" t="s">
        <v>153</v>
      </c>
      <c r="B12" s="183" t="s">
        <v>74</v>
      </c>
      <c r="C12" s="190">
        <v>72.522000000000048</v>
      </c>
      <c r="D12" s="189">
        <v>82.942793999999935</v>
      </c>
      <c r="E12" s="185">
        <v>830.70800000000008</v>
      </c>
      <c r="F12" s="186">
        <v>107.13098397256147</v>
      </c>
      <c r="G12" s="187">
        <v>107.43304323988072</v>
      </c>
      <c r="J12" s="188"/>
    </row>
    <row r="13" spans="1:10" ht="18" customHeight="1">
      <c r="A13" s="182" t="s">
        <v>154</v>
      </c>
      <c r="B13" s="183" t="s">
        <v>150</v>
      </c>
      <c r="C13" s="190">
        <v>843.10454322650799</v>
      </c>
      <c r="D13" s="189">
        <v>855.02623509159207</v>
      </c>
      <c r="E13" s="185">
        <v>17084.132104218104</v>
      </c>
      <c r="F13" s="186">
        <v>116.07488858595394</v>
      </c>
      <c r="G13" s="187">
        <v>105.62847740855578</v>
      </c>
      <c r="J13" s="188"/>
    </row>
    <row r="14" spans="1:10" ht="18" customHeight="1">
      <c r="A14" s="182" t="s">
        <v>155</v>
      </c>
      <c r="B14" s="183" t="s">
        <v>150</v>
      </c>
      <c r="C14" s="184">
        <v>126.39814</v>
      </c>
      <c r="D14" s="184">
        <v>127.8</v>
      </c>
      <c r="E14" s="185">
        <v>1488.17974</v>
      </c>
      <c r="F14" s="186">
        <v>126.33465694753127</v>
      </c>
      <c r="G14" s="191">
        <v>104.40361677236281</v>
      </c>
      <c r="J14" s="188"/>
    </row>
    <row r="15" spans="1:10" ht="18" customHeight="1">
      <c r="A15" s="182" t="s">
        <v>156</v>
      </c>
      <c r="B15" s="183" t="s">
        <v>150</v>
      </c>
      <c r="C15" s="184">
        <v>697.2478630275383</v>
      </c>
      <c r="D15" s="184">
        <v>736.57607239721767</v>
      </c>
      <c r="E15" s="185">
        <v>7405.3955096031832</v>
      </c>
      <c r="F15" s="186">
        <v>121.74811114003599</v>
      </c>
      <c r="G15" s="187">
        <v>111.13460721976354</v>
      </c>
      <c r="J15" s="188"/>
    </row>
    <row r="16" spans="1:10" ht="18" customHeight="1">
      <c r="A16" s="182" t="s">
        <v>157</v>
      </c>
      <c r="B16" s="183" t="s">
        <v>158</v>
      </c>
      <c r="C16" s="184">
        <v>147.64028416264361</v>
      </c>
      <c r="D16" s="184">
        <v>161.30530473259148</v>
      </c>
      <c r="E16" s="185">
        <v>1697.9751588254837</v>
      </c>
      <c r="F16" s="186">
        <v>105.29066888550358</v>
      </c>
      <c r="G16" s="187">
        <v>101.90647883158999</v>
      </c>
      <c r="J16" s="188"/>
    </row>
    <row r="17" spans="1:10" ht="18" customHeight="1">
      <c r="A17" s="182" t="s">
        <v>159</v>
      </c>
      <c r="B17" s="183" t="s">
        <v>74</v>
      </c>
      <c r="C17" s="184">
        <v>14.242462668532493</v>
      </c>
      <c r="D17" s="184">
        <v>14.35901101619859</v>
      </c>
      <c r="E17" s="185">
        <v>153.97503055606344</v>
      </c>
      <c r="F17" s="186">
        <v>116.26729567772138</v>
      </c>
      <c r="G17" s="187">
        <v>105.68868421342546</v>
      </c>
      <c r="J17" s="188"/>
    </row>
    <row r="18" spans="1:10" ht="18" customHeight="1">
      <c r="A18" s="182" t="s">
        <v>160</v>
      </c>
      <c r="B18" s="183" t="s">
        <v>150</v>
      </c>
      <c r="C18" s="184">
        <v>45.835599999999999</v>
      </c>
      <c r="D18" s="184">
        <v>162.458</v>
      </c>
      <c r="E18" s="185">
        <v>1454.1223163400364</v>
      </c>
      <c r="F18" s="186">
        <v>93.796376680794694</v>
      </c>
      <c r="G18" s="187">
        <v>109.39676813506777</v>
      </c>
      <c r="J18" s="188"/>
    </row>
    <row r="19" spans="1:10" ht="18" customHeight="1">
      <c r="A19" s="182" t="s">
        <v>161</v>
      </c>
      <c r="B19" s="183" t="s">
        <v>150</v>
      </c>
      <c r="C19" s="184">
        <v>24.482405096468199</v>
      </c>
      <c r="D19" s="184">
        <v>26.167465264973202</v>
      </c>
      <c r="E19" s="185">
        <v>323.98836296554435</v>
      </c>
      <c r="F19" s="186">
        <v>93.222242417323059</v>
      </c>
      <c r="G19" s="187">
        <v>99.847268233116566</v>
      </c>
      <c r="J19" s="188"/>
    </row>
    <row r="20" spans="1:10" ht="18" customHeight="1">
      <c r="A20" s="182" t="s">
        <v>162</v>
      </c>
      <c r="B20" s="183" t="s">
        <v>150</v>
      </c>
      <c r="C20" s="184">
        <v>1322.6965068842019</v>
      </c>
      <c r="D20" s="184">
        <v>1364.606504286354</v>
      </c>
      <c r="E20" s="185">
        <v>15136.864693049063</v>
      </c>
      <c r="F20" s="186">
        <v>106.27776513133598</v>
      </c>
      <c r="G20" s="187">
        <v>109.01069686335609</v>
      </c>
      <c r="J20" s="188"/>
    </row>
    <row r="21" spans="1:10" ht="18" customHeight="1">
      <c r="A21" s="182" t="s">
        <v>163</v>
      </c>
      <c r="B21" s="183" t="s">
        <v>150</v>
      </c>
      <c r="C21" s="184">
        <v>806.19411123450641</v>
      </c>
      <c r="D21" s="184">
        <v>809.2936358850659</v>
      </c>
      <c r="E21" s="185">
        <v>9656.1882685944693</v>
      </c>
      <c r="F21" s="186">
        <v>113.5054187777091</v>
      </c>
      <c r="G21" s="187">
        <v>113.80884554901429</v>
      </c>
      <c r="J21" s="188"/>
    </row>
    <row r="22" spans="1:10" ht="18" customHeight="1">
      <c r="A22" s="182" t="s">
        <v>164</v>
      </c>
      <c r="B22" s="183" t="s">
        <v>158</v>
      </c>
      <c r="C22" s="184">
        <v>409.85392404666118</v>
      </c>
      <c r="D22" s="184">
        <v>447.13632705738559</v>
      </c>
      <c r="E22" s="185">
        <v>4601.8673819441228</v>
      </c>
      <c r="F22" s="186">
        <v>108.65898557796203</v>
      </c>
      <c r="G22" s="187">
        <v>103.9773545143487</v>
      </c>
      <c r="J22" s="188"/>
    </row>
    <row r="23" spans="1:10" ht="18" customHeight="1">
      <c r="A23" s="128" t="s">
        <v>165</v>
      </c>
      <c r="B23" s="183" t="s">
        <v>166</v>
      </c>
      <c r="C23" s="184">
        <v>668.66460533814598</v>
      </c>
      <c r="D23" s="184">
        <v>684.46615856125391</v>
      </c>
      <c r="E23" s="185">
        <v>7864.1314057292557</v>
      </c>
      <c r="F23" s="186">
        <v>102.38835580572234</v>
      </c>
      <c r="G23" s="187">
        <v>104.29018178964766</v>
      </c>
      <c r="J23" s="188"/>
    </row>
    <row r="24" spans="1:10" ht="18" customHeight="1">
      <c r="A24" s="128" t="s">
        <v>167</v>
      </c>
      <c r="B24" s="183" t="s">
        <v>168</v>
      </c>
      <c r="C24" s="184">
        <v>93.774804913794924</v>
      </c>
      <c r="D24" s="184">
        <v>97.123985808696233</v>
      </c>
      <c r="E24" s="185">
        <v>1122.0503418995197</v>
      </c>
      <c r="F24" s="186">
        <v>92.764074315851218</v>
      </c>
      <c r="G24" s="187">
        <v>104.64570870717328</v>
      </c>
      <c r="J24" s="188"/>
    </row>
    <row r="25" spans="1:10" ht="27" customHeight="1">
      <c r="A25" s="192" t="s">
        <v>169</v>
      </c>
      <c r="B25" s="193" t="s">
        <v>150</v>
      </c>
      <c r="C25" s="194">
        <v>104.03214829246259</v>
      </c>
      <c r="D25" s="194">
        <v>109.12001734829161</v>
      </c>
      <c r="E25" s="195">
        <v>1263.4941451630675</v>
      </c>
      <c r="F25" s="196">
        <v>113.48935761652794</v>
      </c>
      <c r="G25" s="197">
        <v>99.001402381070704</v>
      </c>
      <c r="J25" s="188"/>
    </row>
    <row r="26" spans="1:10" ht="18" customHeight="1">
      <c r="A26" s="182" t="s">
        <v>170</v>
      </c>
      <c r="B26" s="183" t="s">
        <v>171</v>
      </c>
      <c r="C26" s="184">
        <v>558.55222069362662</v>
      </c>
      <c r="D26" s="184">
        <v>584.14080173787477</v>
      </c>
      <c r="E26" s="185">
        <v>6275.1572219355567</v>
      </c>
      <c r="F26" s="186">
        <v>110.77959448850272</v>
      </c>
      <c r="G26" s="187">
        <v>113.80056995663099</v>
      </c>
      <c r="J26" s="188"/>
    </row>
    <row r="27" spans="1:10" ht="18" customHeight="1">
      <c r="A27" s="198" t="s">
        <v>172</v>
      </c>
      <c r="B27" s="183" t="s">
        <v>173</v>
      </c>
      <c r="C27" s="184">
        <v>33.995711153076854</v>
      </c>
      <c r="D27" s="184">
        <v>35.321339767307975</v>
      </c>
      <c r="E27" s="185">
        <v>378.92309573270643</v>
      </c>
      <c r="F27" s="186">
        <v>116.64907452875816</v>
      </c>
      <c r="G27" s="187">
        <v>113.3147892982434</v>
      </c>
      <c r="J27" s="188"/>
    </row>
    <row r="28" spans="1:10" ht="18" customHeight="1">
      <c r="A28" s="182" t="s">
        <v>174</v>
      </c>
      <c r="B28" s="183" t="s">
        <v>74</v>
      </c>
      <c r="C28" s="184">
        <v>250.23511390140843</v>
      </c>
      <c r="D28" s="184">
        <v>229.32884642253501</v>
      </c>
      <c r="E28" s="185">
        <v>2803.3029999999999</v>
      </c>
      <c r="F28" s="186">
        <v>97.869080321767015</v>
      </c>
      <c r="G28" s="187">
        <v>101.4539781647412</v>
      </c>
      <c r="J28" s="188"/>
    </row>
    <row r="29" spans="1:10" ht="18" customHeight="1">
      <c r="A29" s="182" t="s">
        <v>175</v>
      </c>
      <c r="B29" s="183" t="s">
        <v>150</v>
      </c>
      <c r="C29" s="184">
        <v>278.22481729155311</v>
      </c>
      <c r="D29" s="184">
        <v>311.87784110431517</v>
      </c>
      <c r="E29" s="185">
        <v>3603.9049815867061</v>
      </c>
      <c r="F29" s="186">
        <v>104.41173120331943</v>
      </c>
      <c r="G29" s="187">
        <v>110.72990064524927</v>
      </c>
      <c r="J29" s="188"/>
    </row>
    <row r="30" spans="1:10" ht="18" customHeight="1">
      <c r="A30" s="182" t="s">
        <v>176</v>
      </c>
      <c r="B30" s="183" t="s">
        <v>150</v>
      </c>
      <c r="C30" s="184">
        <v>135.57394775611431</v>
      </c>
      <c r="D30" s="184">
        <v>141.24870226148767</v>
      </c>
      <c r="E30" s="185">
        <v>1487.7225014564822</v>
      </c>
      <c r="F30" s="186">
        <v>107.29107653740041</v>
      </c>
      <c r="G30" s="187">
        <v>109.99301238740205</v>
      </c>
      <c r="J30" s="188"/>
    </row>
    <row r="31" spans="1:10" ht="18" customHeight="1">
      <c r="A31" s="182" t="s">
        <v>177</v>
      </c>
      <c r="B31" s="183" t="s">
        <v>178</v>
      </c>
      <c r="C31" s="184">
        <v>17.110979792892326</v>
      </c>
      <c r="D31" s="184">
        <v>17.800429327267242</v>
      </c>
      <c r="E31" s="185">
        <v>187.20332069691378</v>
      </c>
      <c r="F31" s="186">
        <v>110.56167284016919</v>
      </c>
      <c r="G31" s="187">
        <v>113.57166955637609</v>
      </c>
      <c r="J31" s="188"/>
    </row>
    <row r="32" spans="1:10" ht="18" customHeight="1">
      <c r="A32" s="182" t="s">
        <v>179</v>
      </c>
      <c r="B32" s="183" t="s">
        <v>74</v>
      </c>
      <c r="C32" s="184">
        <v>2178.9557619488864</v>
      </c>
      <c r="D32" s="184">
        <v>2175.1445879479102</v>
      </c>
      <c r="E32" s="185">
        <v>23300.296896034022</v>
      </c>
      <c r="F32" s="186">
        <v>109.63430382801967</v>
      </c>
      <c r="G32" s="187">
        <v>106.88243155223918</v>
      </c>
      <c r="J32" s="188"/>
    </row>
    <row r="33" spans="1:10" ht="18" customHeight="1">
      <c r="A33" s="128" t="s">
        <v>180</v>
      </c>
      <c r="B33" s="183" t="s">
        <v>150</v>
      </c>
      <c r="C33" s="184">
        <v>1707.6100317781932</v>
      </c>
      <c r="D33" s="184">
        <v>1806.1273738895031</v>
      </c>
      <c r="E33" s="185">
        <v>18452.153878994031</v>
      </c>
      <c r="F33" s="186">
        <v>116.75031505426652</v>
      </c>
      <c r="G33" s="187">
        <v>117.60859217033925</v>
      </c>
      <c r="J33" s="188"/>
    </row>
    <row r="34" spans="1:10" ht="18" customHeight="1">
      <c r="A34" s="182" t="s">
        <v>181</v>
      </c>
      <c r="B34" s="183" t="s">
        <v>150</v>
      </c>
      <c r="C34" s="184">
        <v>1061.6451591475272</v>
      </c>
      <c r="D34" s="184">
        <v>1063.7709555633533</v>
      </c>
      <c r="E34" s="185">
        <v>13507.034802207285</v>
      </c>
      <c r="F34" s="186">
        <v>97.236833232482013</v>
      </c>
      <c r="G34" s="187">
        <v>105.34111021386217</v>
      </c>
      <c r="J34" s="188"/>
    </row>
    <row r="35" spans="1:10" ht="18" customHeight="1">
      <c r="A35" s="182" t="s">
        <v>182</v>
      </c>
      <c r="B35" s="183" t="s">
        <v>171</v>
      </c>
      <c r="C35" s="184">
        <v>16.282778999999998</v>
      </c>
      <c r="D35" s="184">
        <v>15.940077</v>
      </c>
      <c r="E35" s="185">
        <v>189.14778299999995</v>
      </c>
      <c r="F35" s="186">
        <v>119.4293895127267</v>
      </c>
      <c r="G35" s="187">
        <v>102.99648745461667</v>
      </c>
      <c r="J35" s="188"/>
    </row>
    <row r="36" spans="1:10" ht="27" customHeight="1">
      <c r="A36" s="199" t="s">
        <v>183</v>
      </c>
      <c r="B36" s="193" t="s">
        <v>184</v>
      </c>
      <c r="C36" s="194">
        <v>69.200324185745188</v>
      </c>
      <c r="D36" s="194">
        <v>60.814300903931994</v>
      </c>
      <c r="E36" s="195">
        <v>626.83897859883496</v>
      </c>
      <c r="F36" s="196">
        <v>108.23593023026594</v>
      </c>
      <c r="G36" s="197">
        <v>103.55162061680335</v>
      </c>
      <c r="H36" s="200"/>
      <c r="I36" s="200"/>
      <c r="J36" s="200"/>
    </row>
    <row r="37" spans="1:10" ht="18" customHeight="1">
      <c r="A37" s="182" t="s">
        <v>185</v>
      </c>
      <c r="B37" s="183" t="s">
        <v>186</v>
      </c>
      <c r="C37" s="184">
        <v>1864.39420151276</v>
      </c>
      <c r="D37" s="184">
        <v>1938.8802231224502</v>
      </c>
      <c r="E37" s="185">
        <v>21385.635845375549</v>
      </c>
      <c r="F37" s="186">
        <v>109.35559039461128</v>
      </c>
      <c r="G37" s="187">
        <v>117.36671918832783</v>
      </c>
      <c r="J37" s="188"/>
    </row>
    <row r="38" spans="1:10" ht="18" customHeight="1">
      <c r="A38" s="182" t="s">
        <v>187</v>
      </c>
      <c r="B38" s="183" t="s">
        <v>188</v>
      </c>
      <c r="C38" s="184">
        <v>49.156343560204562</v>
      </c>
      <c r="D38" s="184">
        <v>60.698963897459166</v>
      </c>
      <c r="E38" s="185">
        <v>484.52593311852121</v>
      </c>
      <c r="F38" s="186">
        <v>157.46741354050684</v>
      </c>
      <c r="G38" s="187">
        <v>139.09688982752942</v>
      </c>
      <c r="J38" s="188"/>
    </row>
    <row r="39" spans="1:10" ht="18" customHeight="1">
      <c r="A39" s="182" t="s">
        <v>189</v>
      </c>
      <c r="B39" s="183" t="s">
        <v>150</v>
      </c>
      <c r="C39" s="184">
        <v>321.67671614014199</v>
      </c>
      <c r="D39" s="184">
        <v>340.62890905824003</v>
      </c>
      <c r="E39" s="185">
        <v>3423.4579971940129</v>
      </c>
      <c r="F39" s="186">
        <v>104.50323412805874</v>
      </c>
      <c r="G39" s="187">
        <v>106.62913640790903</v>
      </c>
      <c r="J39" s="188"/>
    </row>
    <row r="40" spans="1:10" ht="18" customHeight="1">
      <c r="A40" s="182" t="s">
        <v>190</v>
      </c>
      <c r="B40" s="183" t="s">
        <v>191</v>
      </c>
      <c r="C40" s="201">
        <v>25.681305346799999</v>
      </c>
      <c r="D40" s="201">
        <v>27.7490062675083</v>
      </c>
      <c r="E40" s="185">
        <v>329.30630443485444</v>
      </c>
      <c r="F40" s="186">
        <v>109.86748538605615</v>
      </c>
      <c r="G40" s="187">
        <v>106.01147433844993</v>
      </c>
      <c r="J40" s="188"/>
    </row>
    <row r="41" spans="1:10" ht="18" customHeight="1">
      <c r="A41" s="182" t="s">
        <v>192</v>
      </c>
      <c r="B41" s="183" t="s">
        <v>152</v>
      </c>
      <c r="C41" s="184">
        <v>347.46332627818327</v>
      </c>
      <c r="D41" s="184">
        <v>348.17160411326546</v>
      </c>
      <c r="E41" s="185">
        <v>4066.0185093215914</v>
      </c>
      <c r="F41" s="186">
        <v>107.03092656417627</v>
      </c>
      <c r="G41" s="187">
        <v>104.03733216676727</v>
      </c>
      <c r="J41" s="188"/>
    </row>
    <row r="42" spans="1:10" ht="18" customHeight="1">
      <c r="A42" s="202"/>
    </row>
    <row r="43" spans="1:10" ht="15"/>
    <row r="44" spans="1:10" ht="15"/>
    <row r="45" spans="1:10" ht="15"/>
    <row r="46" spans="1:10" ht="15"/>
    <row r="47" spans="1:10" ht="15"/>
    <row r="48" spans="1:10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</sheetData>
  <pageMargins left="0.74803149606299202" right="0.17" top="0.74803149606299202" bottom="0.511811023622047" header="0.43307086614173201" footer="0.31496062992126"/>
  <pageSetup paperSize="9" scale="98" firstPageNumber="39" orientation="portrait" r:id="rId1"/>
  <headerFooter alignWithMargins="0">
    <oddHeader>&amp;C&amp;"Times New Roman,Regular"&amp;13&amp;P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workbookViewId="0">
      <selection activeCell="L15" sqref="L15"/>
    </sheetView>
  </sheetViews>
  <sheetFormatPr defaultColWidth="10.5703125" defaultRowHeight="18" customHeight="1"/>
  <cols>
    <col min="1" max="1" width="26" style="170" customWidth="1"/>
    <col min="2" max="2" width="13" style="170" customWidth="1"/>
    <col min="3" max="4" width="12.28515625" style="170" customWidth="1"/>
    <col min="5" max="6" width="14.7109375" style="170" customWidth="1"/>
    <col min="7" max="235" width="10.5703125" style="170"/>
    <col min="236" max="236" width="38.5703125" style="170" customWidth="1"/>
    <col min="237" max="237" width="11.7109375" style="170" bestFit="1" customWidth="1"/>
    <col min="238" max="238" width="8.7109375" style="170" bestFit="1" customWidth="1"/>
    <col min="239" max="239" width="8" style="170" bestFit="1" customWidth="1"/>
    <col min="240" max="240" width="8.7109375" style="170" bestFit="1" customWidth="1"/>
    <col min="241" max="242" width="12.28515625" style="170" customWidth="1"/>
    <col min="243" max="16384" width="10.5703125" style="170"/>
  </cols>
  <sheetData>
    <row r="1" spans="1:8" ht="24" customHeight="1">
      <c r="A1" s="168" t="s">
        <v>193</v>
      </c>
      <c r="B1" s="169"/>
      <c r="C1" s="169"/>
      <c r="D1" s="169"/>
      <c r="E1" s="169"/>
      <c r="F1" s="169"/>
    </row>
    <row r="2" spans="1:8" ht="12" customHeight="1">
      <c r="A2" s="203"/>
      <c r="B2" s="171"/>
    </row>
    <row r="3" spans="1:8" ht="16.149999999999999" customHeight="1">
      <c r="A3" s="172"/>
      <c r="B3" s="172"/>
    </row>
    <row r="4" spans="1:8" ht="16.149999999999999" customHeight="1">
      <c r="A4" s="204"/>
      <c r="B4" s="205" t="s">
        <v>141</v>
      </c>
      <c r="C4" s="205" t="s">
        <v>1</v>
      </c>
      <c r="D4" s="205" t="s">
        <v>142</v>
      </c>
      <c r="E4" s="939" t="s">
        <v>194</v>
      </c>
      <c r="F4" s="939"/>
    </row>
    <row r="5" spans="1:8" ht="16.149999999999999" customHeight="1">
      <c r="A5" s="172"/>
      <c r="B5" s="206" t="s">
        <v>143</v>
      </c>
      <c r="C5" s="206" t="s">
        <v>39</v>
      </c>
      <c r="D5" s="206" t="s">
        <v>195</v>
      </c>
      <c r="E5" s="206" t="s">
        <v>42</v>
      </c>
      <c r="F5" s="206" t="s">
        <v>43</v>
      </c>
    </row>
    <row r="6" spans="1:8" ht="16.149999999999999" customHeight="1">
      <c r="A6" s="172"/>
      <c r="B6" s="206"/>
      <c r="C6" s="207" t="s">
        <v>41</v>
      </c>
      <c r="D6" s="207" t="s">
        <v>41</v>
      </c>
      <c r="E6" s="207" t="s">
        <v>41</v>
      </c>
      <c r="F6" s="207" t="s">
        <v>41</v>
      </c>
    </row>
    <row r="7" spans="1:8" ht="16.149999999999999" customHeight="1">
      <c r="A7" s="172"/>
      <c r="B7" s="208"/>
      <c r="C7" s="208">
        <v>2025</v>
      </c>
      <c r="D7" s="208">
        <v>2025</v>
      </c>
      <c r="E7" s="208">
        <v>2025</v>
      </c>
      <c r="F7" s="208">
        <v>2025</v>
      </c>
    </row>
    <row r="8" spans="1:8" ht="16.149999999999999" customHeight="1">
      <c r="A8" s="172"/>
      <c r="B8" s="209"/>
      <c r="C8" s="87"/>
      <c r="D8" s="87"/>
      <c r="E8" s="87"/>
      <c r="F8" s="87"/>
    </row>
    <row r="9" spans="1:8" ht="18" customHeight="1">
      <c r="A9" s="210" t="s">
        <v>148</v>
      </c>
      <c r="B9" s="211" t="s">
        <v>74</v>
      </c>
      <c r="C9" s="212">
        <v>9517.1459344185714</v>
      </c>
      <c r="D9" s="212">
        <v>11768.94365486573</v>
      </c>
      <c r="E9" s="213">
        <v>105.87001275156751</v>
      </c>
      <c r="F9" s="213">
        <v>97.098171662322059</v>
      </c>
      <c r="G9" s="188"/>
      <c r="H9" s="188"/>
    </row>
    <row r="10" spans="1:8" ht="18" customHeight="1">
      <c r="A10" s="210" t="s">
        <v>149</v>
      </c>
      <c r="B10" s="211" t="s">
        <v>150</v>
      </c>
      <c r="C10" s="212">
        <v>2098.6400000000012</v>
      </c>
      <c r="D10" s="212">
        <v>2140.56</v>
      </c>
      <c r="E10" s="213">
        <v>105.2292726953645</v>
      </c>
      <c r="F10" s="213">
        <v>105.5915327879527</v>
      </c>
      <c r="G10" s="188"/>
      <c r="H10" s="188"/>
    </row>
    <row r="11" spans="1:8" ht="18" customHeight="1">
      <c r="A11" s="210" t="s">
        <v>151</v>
      </c>
      <c r="B11" s="211" t="s">
        <v>196</v>
      </c>
      <c r="C11" s="212">
        <v>1398.3600000000001</v>
      </c>
      <c r="D11" s="212">
        <v>1606.33</v>
      </c>
      <c r="E11" s="213">
        <v>102.53860706586299</v>
      </c>
      <c r="F11" s="213">
        <v>104.27396477744094</v>
      </c>
      <c r="G11" s="188"/>
      <c r="H11" s="188"/>
    </row>
    <row r="12" spans="1:8" ht="18" customHeight="1">
      <c r="A12" s="210" t="s">
        <v>153</v>
      </c>
      <c r="B12" s="211" t="s">
        <v>74</v>
      </c>
      <c r="C12" s="212">
        <v>183.16448800000006</v>
      </c>
      <c r="D12" s="212">
        <v>228.05970299999998</v>
      </c>
      <c r="E12" s="213">
        <v>95.022705439725698</v>
      </c>
      <c r="F12" s="213">
        <v>105.44607785437231</v>
      </c>
      <c r="G12" s="188"/>
      <c r="H12" s="188"/>
    </row>
    <row r="13" spans="1:8" ht="18" customHeight="1">
      <c r="A13" s="210" t="s">
        <v>154</v>
      </c>
      <c r="B13" s="214" t="s">
        <v>150</v>
      </c>
      <c r="C13" s="212">
        <v>5101.1179969999994</v>
      </c>
      <c r="D13" s="212">
        <v>3243.9103292180998</v>
      </c>
      <c r="E13" s="213">
        <v>111.97065730631306</v>
      </c>
      <c r="F13" s="213">
        <v>89.450869758861032</v>
      </c>
      <c r="G13" s="188"/>
      <c r="H13" s="188"/>
    </row>
    <row r="14" spans="1:8" ht="18" customHeight="1">
      <c r="A14" s="210" t="s">
        <v>155</v>
      </c>
      <c r="B14" s="214" t="s">
        <v>150</v>
      </c>
      <c r="C14" s="212">
        <v>347.69880000000012</v>
      </c>
      <c r="D14" s="212">
        <v>374.85685999999998</v>
      </c>
      <c r="E14" s="213">
        <v>99.539705285877218</v>
      </c>
      <c r="F14" s="213">
        <v>111.7365028143014</v>
      </c>
      <c r="G14" s="188"/>
      <c r="H14" s="188"/>
    </row>
    <row r="15" spans="1:8" ht="18" customHeight="1">
      <c r="A15" s="210" t="s">
        <v>156</v>
      </c>
      <c r="B15" s="211" t="s">
        <v>150</v>
      </c>
      <c r="C15" s="212">
        <v>1962.4808051121527</v>
      </c>
      <c r="D15" s="212">
        <v>2103.6640034446218</v>
      </c>
      <c r="E15" s="213">
        <v>111.95623282059175</v>
      </c>
      <c r="F15" s="213">
        <v>116.80533056327718</v>
      </c>
      <c r="G15" s="188"/>
      <c r="H15" s="188"/>
    </row>
    <row r="16" spans="1:8" ht="18" customHeight="1">
      <c r="A16" s="210" t="s">
        <v>157</v>
      </c>
      <c r="B16" s="211" t="s">
        <v>158</v>
      </c>
      <c r="C16" s="212">
        <v>412.8693906363016</v>
      </c>
      <c r="D16" s="212">
        <v>452.2106228901298</v>
      </c>
      <c r="E16" s="213">
        <v>99.342971760419033</v>
      </c>
      <c r="F16" s="213">
        <v>102.17140146636463</v>
      </c>
      <c r="G16" s="188"/>
      <c r="H16" s="188"/>
    </row>
    <row r="17" spans="1:8" ht="18" customHeight="1">
      <c r="A17" s="210" t="s">
        <v>159</v>
      </c>
      <c r="B17" s="211" t="s">
        <v>74</v>
      </c>
      <c r="C17" s="212">
        <v>38.926585236899015</v>
      </c>
      <c r="D17" s="212">
        <v>41.218446685128953</v>
      </c>
      <c r="E17" s="213">
        <v>102.29301843932048</v>
      </c>
      <c r="F17" s="213">
        <v>108.87069911550174</v>
      </c>
      <c r="G17" s="188"/>
      <c r="H17" s="188"/>
    </row>
    <row r="18" spans="1:8" ht="18" customHeight="1">
      <c r="A18" s="210" t="s">
        <v>160</v>
      </c>
      <c r="B18" s="211" t="s">
        <v>150</v>
      </c>
      <c r="C18" s="212">
        <v>83.515649999999368</v>
      </c>
      <c r="D18" s="212">
        <v>243.68745000000001</v>
      </c>
      <c r="E18" s="213">
        <v>129.1353649400553</v>
      </c>
      <c r="F18" s="213">
        <v>95.055560272467503</v>
      </c>
      <c r="G18" s="188"/>
      <c r="H18" s="188"/>
    </row>
    <row r="19" spans="1:8" ht="18" customHeight="1">
      <c r="A19" s="210" t="s">
        <v>161</v>
      </c>
      <c r="B19" s="211" t="s">
        <v>150</v>
      </c>
      <c r="C19" s="212">
        <v>82.903514614306673</v>
      </c>
      <c r="D19" s="212">
        <v>75.219672910214399</v>
      </c>
      <c r="E19" s="213">
        <v>97.380122847035111</v>
      </c>
      <c r="F19" s="213">
        <v>90.356109326773122</v>
      </c>
      <c r="G19" s="188"/>
      <c r="H19" s="188"/>
    </row>
    <row r="20" spans="1:8" ht="18" customHeight="1">
      <c r="A20" s="210" t="s">
        <v>162</v>
      </c>
      <c r="B20" s="211" t="s">
        <v>150</v>
      </c>
      <c r="C20" s="212">
        <v>3889.7767020814108</v>
      </c>
      <c r="D20" s="212">
        <v>4010.5170331138479</v>
      </c>
      <c r="E20" s="213">
        <v>109.98944442475363</v>
      </c>
      <c r="F20" s="213">
        <v>107.72272449943185</v>
      </c>
      <c r="G20" s="188"/>
      <c r="H20" s="188"/>
    </row>
    <row r="21" spans="1:8" ht="18" customHeight="1">
      <c r="A21" s="210" t="s">
        <v>163</v>
      </c>
      <c r="B21" s="211" t="s">
        <v>150</v>
      </c>
      <c r="C21" s="212">
        <v>2594.1660835253647</v>
      </c>
      <c r="D21" s="212">
        <v>2457.9253923211513</v>
      </c>
      <c r="E21" s="213">
        <v>119.63503428912396</v>
      </c>
      <c r="F21" s="213">
        <v>114.50852049015381</v>
      </c>
      <c r="G21" s="188"/>
      <c r="H21" s="188"/>
    </row>
    <row r="22" spans="1:8" ht="18" customHeight="1">
      <c r="A22" s="210" t="s">
        <v>164</v>
      </c>
      <c r="B22" s="211" t="s">
        <v>158</v>
      </c>
      <c r="C22" s="212">
        <v>1200.3949928184852</v>
      </c>
      <c r="D22" s="212">
        <v>1262.0999520130836</v>
      </c>
      <c r="E22" s="213">
        <v>107.73653789569266</v>
      </c>
      <c r="F22" s="213">
        <v>105.64013108850061</v>
      </c>
      <c r="G22" s="188"/>
      <c r="H22" s="188"/>
    </row>
    <row r="23" spans="1:8" ht="18" customHeight="1">
      <c r="A23" s="215" t="s">
        <v>165</v>
      </c>
      <c r="B23" s="211" t="s">
        <v>166</v>
      </c>
      <c r="C23" s="212">
        <v>2039.8764684789637</v>
      </c>
      <c r="D23" s="212">
        <v>2018.4249983751188</v>
      </c>
      <c r="E23" s="213">
        <v>106.22696810284656</v>
      </c>
      <c r="F23" s="213">
        <v>99.773850636436919</v>
      </c>
      <c r="G23" s="188"/>
      <c r="H23" s="188"/>
    </row>
    <row r="24" spans="1:8" ht="18" customHeight="1">
      <c r="A24" s="215" t="s">
        <v>167</v>
      </c>
      <c r="B24" s="211" t="s">
        <v>197</v>
      </c>
      <c r="C24" s="212">
        <v>294.23276471922873</v>
      </c>
      <c r="D24" s="212">
        <v>287.3803112367774</v>
      </c>
      <c r="E24" s="213">
        <v>105.06436876244551</v>
      </c>
      <c r="F24" s="213">
        <v>93.593978582243082</v>
      </c>
      <c r="G24" s="188"/>
      <c r="H24" s="188"/>
    </row>
    <row r="25" spans="1:8" ht="27" customHeight="1">
      <c r="A25" s="216" t="s">
        <v>169</v>
      </c>
      <c r="B25" s="217" t="s">
        <v>150</v>
      </c>
      <c r="C25" s="218">
        <v>323.69774334558565</v>
      </c>
      <c r="D25" s="218">
        <v>318.60375662540923</v>
      </c>
      <c r="E25" s="219">
        <v>101.02925822271713</v>
      </c>
      <c r="F25" s="219">
        <v>107.36436617536957</v>
      </c>
      <c r="G25" s="188"/>
      <c r="H25" s="188"/>
    </row>
    <row r="26" spans="1:8" ht="18" customHeight="1">
      <c r="A26" s="210" t="s">
        <v>170</v>
      </c>
      <c r="B26" s="211" t="s">
        <v>171</v>
      </c>
      <c r="C26" s="212">
        <v>1641.8417476481754</v>
      </c>
      <c r="D26" s="212">
        <v>1697.1964716511329</v>
      </c>
      <c r="E26" s="213">
        <v>112.26268359987523</v>
      </c>
      <c r="F26" s="213">
        <v>113.10119096702206</v>
      </c>
      <c r="G26" s="188"/>
      <c r="H26" s="188"/>
    </row>
    <row r="27" spans="1:8" ht="18" customHeight="1">
      <c r="A27" s="220" t="s">
        <v>172</v>
      </c>
      <c r="B27" s="211" t="s">
        <v>173</v>
      </c>
      <c r="C27" s="212">
        <v>96.422172544165562</v>
      </c>
      <c r="D27" s="212">
        <v>101.79082106968896</v>
      </c>
      <c r="E27" s="213">
        <v>113.51129853924957</v>
      </c>
      <c r="F27" s="213">
        <v>113.59314927986716</v>
      </c>
      <c r="G27" s="188"/>
      <c r="H27" s="188"/>
    </row>
    <row r="28" spans="1:8" ht="18" customHeight="1">
      <c r="A28" s="210" t="s">
        <v>174</v>
      </c>
      <c r="B28" s="211" t="s">
        <v>74</v>
      </c>
      <c r="C28" s="212">
        <v>625.05313125352143</v>
      </c>
      <c r="D28" s="212">
        <v>718.57120878873218</v>
      </c>
      <c r="E28" s="213">
        <v>95.117350528290302</v>
      </c>
      <c r="F28" s="213">
        <v>99.031032536251601</v>
      </c>
      <c r="G28" s="188"/>
      <c r="H28" s="188"/>
    </row>
    <row r="29" spans="1:8" ht="18" customHeight="1">
      <c r="A29" s="210" t="s">
        <v>175</v>
      </c>
      <c r="B29" s="211" t="s">
        <v>150</v>
      </c>
      <c r="C29" s="212">
        <v>831.66131263844659</v>
      </c>
      <c r="D29" s="212">
        <v>856.67186891243432</v>
      </c>
      <c r="E29" s="213">
        <v>108.23133798793111</v>
      </c>
      <c r="F29" s="213">
        <v>97.260657233473481</v>
      </c>
      <c r="G29" s="188"/>
      <c r="H29" s="188"/>
    </row>
    <row r="30" spans="1:8" ht="18" customHeight="1">
      <c r="A30" s="210" t="s">
        <v>176</v>
      </c>
      <c r="B30" s="211" t="s">
        <v>150</v>
      </c>
      <c r="C30" s="212">
        <v>383.46892731168862</v>
      </c>
      <c r="D30" s="212">
        <v>414.78270004276885</v>
      </c>
      <c r="E30" s="213">
        <v>113.92083637197015</v>
      </c>
      <c r="F30" s="213">
        <v>110.10955668775387</v>
      </c>
      <c r="G30" s="188"/>
      <c r="H30" s="188"/>
    </row>
    <row r="31" spans="1:8" ht="18" customHeight="1">
      <c r="A31" s="210" t="s">
        <v>177</v>
      </c>
      <c r="B31" s="211" t="s">
        <v>178</v>
      </c>
      <c r="C31" s="212">
        <v>47.020824598384664</v>
      </c>
      <c r="D31" s="212">
        <v>51.194047572086689</v>
      </c>
      <c r="E31" s="213">
        <v>117.46396352331914</v>
      </c>
      <c r="F31" s="213">
        <v>110.42719493547604</v>
      </c>
      <c r="G31" s="188"/>
      <c r="H31" s="188"/>
    </row>
    <row r="32" spans="1:8" ht="18" customHeight="1">
      <c r="A32" s="210" t="s">
        <v>179</v>
      </c>
      <c r="B32" s="211" t="s">
        <v>74</v>
      </c>
      <c r="C32" s="212">
        <v>5929.0675415353635</v>
      </c>
      <c r="D32" s="212">
        <v>6480.3705630076529</v>
      </c>
      <c r="E32" s="213">
        <v>100.42458573061252</v>
      </c>
      <c r="F32" s="213">
        <v>118.6881055495907</v>
      </c>
      <c r="G32" s="188"/>
      <c r="H32" s="188"/>
    </row>
    <row r="33" spans="1:9" ht="18" customHeight="1">
      <c r="A33" s="215" t="s">
        <v>180</v>
      </c>
      <c r="B33" s="211" t="s">
        <v>150</v>
      </c>
      <c r="C33" s="212">
        <v>4985.9581022316952</v>
      </c>
      <c r="D33" s="212">
        <v>5224.6207109121187</v>
      </c>
      <c r="E33" s="213">
        <v>122.80684980866241</v>
      </c>
      <c r="F33" s="213">
        <v>123.35310378732424</v>
      </c>
      <c r="G33" s="188"/>
      <c r="H33" s="188"/>
    </row>
    <row r="34" spans="1:9" ht="18" customHeight="1">
      <c r="A34" s="210" t="s">
        <v>181</v>
      </c>
      <c r="B34" s="211" t="s">
        <v>150</v>
      </c>
      <c r="C34" s="212">
        <v>3373.3184380870953</v>
      </c>
      <c r="D34" s="212">
        <v>3082.2728077608376</v>
      </c>
      <c r="E34" s="213">
        <v>103.15327619372195</v>
      </c>
      <c r="F34" s="213">
        <v>98.981143473373081</v>
      </c>
      <c r="G34" s="188"/>
      <c r="H34" s="188"/>
    </row>
    <row r="35" spans="1:9" ht="18" customHeight="1">
      <c r="A35" s="210" t="s">
        <v>182</v>
      </c>
      <c r="B35" s="211" t="s">
        <v>171</v>
      </c>
      <c r="C35" s="212">
        <v>48.022280999999964</v>
      </c>
      <c r="D35" s="212">
        <v>49.012365000000003</v>
      </c>
      <c r="E35" s="213">
        <v>103.02227953705503</v>
      </c>
      <c r="F35" s="213">
        <v>105.85552590692761</v>
      </c>
      <c r="G35" s="188"/>
      <c r="H35" s="188"/>
    </row>
    <row r="36" spans="1:9" ht="27" customHeight="1">
      <c r="A36" s="221" t="s">
        <v>183</v>
      </c>
      <c r="B36" s="222" t="s">
        <v>184</v>
      </c>
      <c r="C36" s="218">
        <v>166.39433275823674</v>
      </c>
      <c r="D36" s="218">
        <v>194.15567213608009</v>
      </c>
      <c r="E36" s="219">
        <v>99.217490930631357</v>
      </c>
      <c r="F36" s="219">
        <v>107.66366501674634</v>
      </c>
      <c r="G36" s="188"/>
      <c r="H36" s="188"/>
      <c r="I36" s="188"/>
    </row>
    <row r="37" spans="1:9" ht="18" customHeight="1">
      <c r="A37" s="210" t="s">
        <v>185</v>
      </c>
      <c r="B37" s="211" t="s">
        <v>186</v>
      </c>
      <c r="C37" s="212">
        <v>6114.4861757848521</v>
      </c>
      <c r="D37" s="212">
        <v>5696.2615778180198</v>
      </c>
      <c r="E37" s="213">
        <v>120.89191816748095</v>
      </c>
      <c r="F37" s="213">
        <v>110.22254156923061</v>
      </c>
      <c r="G37" s="188"/>
      <c r="H37" s="188"/>
    </row>
    <row r="38" spans="1:9" ht="18" customHeight="1">
      <c r="A38" s="210" t="s">
        <v>187</v>
      </c>
      <c r="B38" s="211" t="s">
        <v>188</v>
      </c>
      <c r="C38" s="212">
        <v>109.43054361106373</v>
      </c>
      <c r="D38" s="212">
        <v>150.86774678050875</v>
      </c>
      <c r="E38" s="213">
        <v>123.60424204654055</v>
      </c>
      <c r="F38" s="213">
        <v>119.03719960589298</v>
      </c>
      <c r="G38" s="188"/>
      <c r="H38" s="188"/>
    </row>
    <row r="39" spans="1:9" ht="18" customHeight="1">
      <c r="A39" s="210" t="s">
        <v>189</v>
      </c>
      <c r="B39" s="211" t="s">
        <v>150</v>
      </c>
      <c r="C39" s="212">
        <v>878.47757830409569</v>
      </c>
      <c r="D39" s="212">
        <v>978.45746125339997</v>
      </c>
      <c r="E39" s="213">
        <v>104.93440060189658</v>
      </c>
      <c r="F39" s="213">
        <v>108.91676701505915</v>
      </c>
      <c r="G39" s="188"/>
      <c r="H39" s="188"/>
    </row>
    <row r="40" spans="1:9" ht="18" customHeight="1">
      <c r="A40" s="210" t="s">
        <v>190</v>
      </c>
      <c r="B40" s="211" t="s">
        <v>191</v>
      </c>
      <c r="C40" s="212">
        <v>89.173896797500021</v>
      </c>
      <c r="D40" s="212">
        <v>81.512044121508296</v>
      </c>
      <c r="E40" s="213">
        <v>109.53265436334645</v>
      </c>
      <c r="F40" s="213">
        <v>106.6478158612519</v>
      </c>
      <c r="G40" s="188"/>
      <c r="H40" s="188"/>
    </row>
    <row r="41" spans="1:9" ht="18" customHeight="1">
      <c r="A41" s="210" t="s">
        <v>192</v>
      </c>
      <c r="B41" s="211" t="s">
        <v>196</v>
      </c>
      <c r="C41" s="212">
        <v>1039.0456808311276</v>
      </c>
      <c r="D41" s="212">
        <v>1036.4348227133712</v>
      </c>
      <c r="E41" s="213">
        <v>104.65810644954954</v>
      </c>
      <c r="F41" s="213">
        <v>105.45734866843419</v>
      </c>
      <c r="G41" s="188"/>
      <c r="H41" s="188"/>
    </row>
    <row r="42" spans="1:9" ht="15">
      <c r="A42" s="202"/>
    </row>
    <row r="43" spans="1:9" ht="15"/>
    <row r="44" spans="1:9" ht="15"/>
    <row r="45" spans="1:9" ht="15"/>
    <row r="46" spans="1:9" ht="15"/>
    <row r="47" spans="1:9" ht="15"/>
    <row r="48" spans="1:9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</sheetData>
  <mergeCells count="1">
    <mergeCell ref="E4:F4"/>
  </mergeCells>
  <pageMargins left="0.74803149606299202" right="0.17" top="0.74803149606299202" bottom="0.511811023622047" header="0.43307086614173201" footer="0.31496062992126"/>
  <pageSetup paperSize="9" firstPageNumber="39" orientation="portrait" r:id="rId1"/>
  <headerFooter alignWithMargins="0">
    <oddHeader>&amp;C&amp;"Times New Roman,Regular"&amp;13&amp;P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2"/>
  <sheetViews>
    <sheetView tabSelected="1" workbookViewId="0">
      <selection activeCell="H11" sqref="H11"/>
    </sheetView>
  </sheetViews>
  <sheetFormatPr defaultColWidth="18.7109375" defaultRowHeight="12"/>
  <cols>
    <col min="1" max="1" width="40.7109375" style="244" customWidth="1"/>
    <col min="2" max="3" width="10.28515625" style="225" customWidth="1"/>
    <col min="4" max="4" width="10" style="225" customWidth="1"/>
    <col min="5" max="5" width="0.7109375" style="225" customWidth="1"/>
    <col min="6" max="6" width="12.5703125" style="225" customWidth="1"/>
    <col min="7" max="7" width="12.28515625" style="225" customWidth="1"/>
    <col min="8" max="16384" width="18.7109375" style="225"/>
  </cols>
  <sheetData>
    <row r="1" spans="1:7" ht="20.100000000000001" customHeight="1">
      <c r="A1" s="223" t="s">
        <v>198</v>
      </c>
      <c r="B1" s="224"/>
    </row>
    <row r="2" spans="1:7" ht="20.100000000000001" customHeight="1">
      <c r="A2" s="224"/>
      <c r="B2" s="224"/>
    </row>
    <row r="3" spans="1:7" ht="20.100000000000001" customHeight="1">
      <c r="A3" s="225"/>
      <c r="G3" s="226" t="s">
        <v>82</v>
      </c>
    </row>
    <row r="4" spans="1:7" ht="18" customHeight="1">
      <c r="A4" s="227"/>
      <c r="B4" s="940" t="s">
        <v>199</v>
      </c>
      <c r="C4" s="940"/>
      <c r="D4" s="940"/>
      <c r="E4" s="228"/>
      <c r="F4" s="941" t="s">
        <v>200</v>
      </c>
      <c r="G4" s="941"/>
    </row>
    <row r="5" spans="1:7" ht="18" customHeight="1">
      <c r="A5" s="229"/>
      <c r="B5" s="230" t="s">
        <v>201</v>
      </c>
      <c r="C5" s="230" t="s">
        <v>201</v>
      </c>
      <c r="D5" s="230" t="s">
        <v>36</v>
      </c>
      <c r="E5" s="230"/>
      <c r="F5" s="231" t="s">
        <v>142</v>
      </c>
      <c r="G5" s="231" t="s">
        <v>142</v>
      </c>
    </row>
    <row r="6" spans="1:7" ht="18" customHeight="1">
      <c r="A6" s="229"/>
      <c r="B6" s="230" t="s">
        <v>87</v>
      </c>
      <c r="C6" s="230" t="s">
        <v>87</v>
      </c>
      <c r="D6" s="230">
        <v>2025</v>
      </c>
      <c r="E6" s="230"/>
      <c r="F6" s="230" t="s">
        <v>202</v>
      </c>
      <c r="G6" s="230" t="s">
        <v>202</v>
      </c>
    </row>
    <row r="7" spans="1:7" ht="18" customHeight="1">
      <c r="A7" s="229"/>
      <c r="B7" s="230" t="s">
        <v>44</v>
      </c>
      <c r="C7" s="230" t="s">
        <v>44</v>
      </c>
      <c r="D7" s="230" t="s">
        <v>44</v>
      </c>
      <c r="E7" s="230"/>
      <c r="F7" s="232" t="s">
        <v>203</v>
      </c>
      <c r="G7" s="232" t="s">
        <v>203</v>
      </c>
    </row>
    <row r="8" spans="1:7" ht="18" customHeight="1">
      <c r="A8" s="229"/>
      <c r="B8" s="230" t="s">
        <v>204</v>
      </c>
      <c r="C8" s="230" t="s">
        <v>205</v>
      </c>
      <c r="D8" s="230" t="s">
        <v>41</v>
      </c>
      <c r="E8" s="230"/>
      <c r="F8" s="230" t="s">
        <v>206</v>
      </c>
      <c r="G8" s="230" t="s">
        <v>206</v>
      </c>
    </row>
    <row r="9" spans="1:7" ht="18" customHeight="1">
      <c r="A9" s="229"/>
      <c r="B9" s="230" t="s">
        <v>90</v>
      </c>
      <c r="C9" s="230" t="s">
        <v>6</v>
      </c>
      <c r="D9" s="230">
        <v>2024</v>
      </c>
      <c r="E9" s="230"/>
      <c r="F9" s="230" t="s">
        <v>207</v>
      </c>
      <c r="G9" s="230" t="s">
        <v>207</v>
      </c>
    </row>
    <row r="10" spans="1:7" ht="20.100000000000001" customHeight="1">
      <c r="A10" s="229"/>
      <c r="B10" s="233"/>
      <c r="C10" s="233"/>
      <c r="D10" s="233"/>
      <c r="E10" s="233"/>
      <c r="F10" s="234" t="s">
        <v>208</v>
      </c>
      <c r="G10" s="234" t="s">
        <v>6</v>
      </c>
    </row>
    <row r="11" spans="1:7" ht="30.75" customHeight="1">
      <c r="A11" s="235" t="s">
        <v>209</v>
      </c>
      <c r="B11" s="236">
        <v>99.58</v>
      </c>
      <c r="C11" s="236">
        <v>112.15</v>
      </c>
      <c r="D11" s="237">
        <v>109.91</v>
      </c>
      <c r="E11" s="238"/>
      <c r="F11" s="236">
        <v>106.22</v>
      </c>
      <c r="G11" s="236">
        <v>113.09</v>
      </c>
    </row>
    <row r="12" spans="1:7" ht="20.100000000000001" customHeight="1">
      <c r="A12" s="148" t="s">
        <v>99</v>
      </c>
      <c r="B12" s="239">
        <v>102.06</v>
      </c>
      <c r="C12" s="239">
        <v>108.76</v>
      </c>
      <c r="D12" s="240">
        <v>105.56</v>
      </c>
      <c r="E12" s="241"/>
      <c r="F12" s="239">
        <v>103.62</v>
      </c>
      <c r="G12" s="239">
        <v>116.97</v>
      </c>
    </row>
    <row r="13" spans="1:7" ht="20.100000000000001" customHeight="1">
      <c r="A13" s="148" t="s">
        <v>100</v>
      </c>
      <c r="B13" s="239">
        <v>106.55</v>
      </c>
      <c r="C13" s="239">
        <v>103.75</v>
      </c>
      <c r="D13" s="240">
        <v>102.56</v>
      </c>
      <c r="E13" s="241"/>
      <c r="F13" s="239">
        <v>99.38</v>
      </c>
      <c r="G13" s="239">
        <v>101.86</v>
      </c>
    </row>
    <row r="14" spans="1:7" ht="20.100000000000001" customHeight="1">
      <c r="A14" s="148" t="s">
        <v>101</v>
      </c>
      <c r="B14" s="239">
        <v>102.31</v>
      </c>
      <c r="C14" s="239">
        <v>97.69</v>
      </c>
      <c r="D14" s="240">
        <v>103.54</v>
      </c>
      <c r="E14" s="241"/>
      <c r="F14" s="239">
        <v>105.21</v>
      </c>
      <c r="G14" s="239">
        <v>133.81</v>
      </c>
    </row>
    <row r="15" spans="1:7" ht="20.100000000000001" customHeight="1">
      <c r="A15" s="148" t="s">
        <v>102</v>
      </c>
      <c r="B15" s="239">
        <v>100.92</v>
      </c>
      <c r="C15" s="239">
        <v>93.43</v>
      </c>
      <c r="D15" s="240">
        <v>101.96</v>
      </c>
      <c r="E15" s="241"/>
      <c r="F15" s="239">
        <v>106.82</v>
      </c>
      <c r="G15" s="239">
        <v>128.86000000000001</v>
      </c>
    </row>
    <row r="16" spans="1:7" ht="20.100000000000001" customHeight="1">
      <c r="A16" s="148" t="s">
        <v>103</v>
      </c>
      <c r="B16" s="239">
        <v>107.09</v>
      </c>
      <c r="C16" s="239">
        <v>108.41</v>
      </c>
      <c r="D16" s="240">
        <v>110.97</v>
      </c>
      <c r="E16" s="241"/>
      <c r="F16" s="239">
        <v>105.57</v>
      </c>
      <c r="G16" s="239">
        <v>118.59</v>
      </c>
    </row>
    <row r="17" spans="1:7" ht="20.100000000000001" customHeight="1">
      <c r="A17" s="148" t="s">
        <v>104</v>
      </c>
      <c r="B17" s="239">
        <v>104.13</v>
      </c>
      <c r="C17" s="239">
        <v>109.86</v>
      </c>
      <c r="D17" s="240">
        <v>111.49</v>
      </c>
      <c r="E17" s="241"/>
      <c r="F17" s="239">
        <v>102.53</v>
      </c>
      <c r="G17" s="239">
        <v>104.34</v>
      </c>
    </row>
    <row r="18" spans="1:7" ht="39.75" customHeight="1">
      <c r="A18" s="148" t="s">
        <v>210</v>
      </c>
      <c r="B18" s="239">
        <v>100.17</v>
      </c>
      <c r="C18" s="239">
        <v>93.48</v>
      </c>
      <c r="D18" s="240">
        <v>108.07</v>
      </c>
      <c r="E18" s="241"/>
      <c r="F18" s="239">
        <v>112.78</v>
      </c>
      <c r="G18" s="239">
        <v>106.02</v>
      </c>
    </row>
    <row r="19" spans="1:7" ht="20.100000000000001" customHeight="1">
      <c r="A19" s="148" t="s">
        <v>106</v>
      </c>
      <c r="B19" s="239">
        <v>102.27</v>
      </c>
      <c r="C19" s="239">
        <v>104.58</v>
      </c>
      <c r="D19" s="240">
        <v>111.7</v>
      </c>
      <c r="E19" s="241"/>
      <c r="F19" s="239">
        <v>101.87</v>
      </c>
      <c r="G19" s="239">
        <v>106.65</v>
      </c>
    </row>
    <row r="20" spans="1:7" ht="20.100000000000001" customHeight="1">
      <c r="A20" s="148" t="s">
        <v>107</v>
      </c>
      <c r="B20" s="239">
        <v>101.42</v>
      </c>
      <c r="C20" s="239">
        <v>108.87</v>
      </c>
      <c r="D20" s="240">
        <v>111.66</v>
      </c>
      <c r="E20" s="241"/>
      <c r="F20" s="239">
        <v>102.87</v>
      </c>
      <c r="G20" s="239">
        <v>204.62</v>
      </c>
    </row>
    <row r="21" spans="1:7" ht="20.100000000000001" customHeight="1">
      <c r="A21" s="148" t="s">
        <v>108</v>
      </c>
      <c r="B21" s="239">
        <v>101.74</v>
      </c>
      <c r="C21" s="239">
        <v>102.11</v>
      </c>
      <c r="D21" s="240">
        <v>108.09</v>
      </c>
      <c r="E21" s="241"/>
      <c r="F21" s="239">
        <v>97.19</v>
      </c>
      <c r="G21" s="239">
        <v>96.93</v>
      </c>
    </row>
    <row r="22" spans="1:7" ht="20.100000000000001" customHeight="1">
      <c r="A22" s="148" t="s">
        <v>109</v>
      </c>
      <c r="B22" s="239">
        <v>113.2</v>
      </c>
      <c r="C22" s="239">
        <v>113.83</v>
      </c>
      <c r="D22" s="240">
        <v>107.58</v>
      </c>
      <c r="E22" s="241"/>
      <c r="F22" s="239">
        <v>100.37</v>
      </c>
      <c r="G22" s="239">
        <v>140.94999999999999</v>
      </c>
    </row>
    <row r="23" spans="1:7" ht="20.100000000000001" customHeight="1">
      <c r="A23" s="148" t="s">
        <v>110</v>
      </c>
      <c r="B23" s="239">
        <v>106.9</v>
      </c>
      <c r="C23" s="239">
        <v>137.66999999999999</v>
      </c>
      <c r="D23" s="240">
        <v>96.54</v>
      </c>
      <c r="E23" s="241"/>
      <c r="F23" s="239">
        <v>99.2</v>
      </c>
      <c r="G23" s="239">
        <v>84.4</v>
      </c>
    </row>
    <row r="24" spans="1:7" ht="20.100000000000001" customHeight="1">
      <c r="A24" s="148" t="s">
        <v>111</v>
      </c>
      <c r="B24" s="239">
        <v>106.11</v>
      </c>
      <c r="C24" s="239">
        <v>111.54</v>
      </c>
      <c r="D24" s="240">
        <v>111.74</v>
      </c>
      <c r="E24" s="241"/>
      <c r="F24" s="239">
        <v>106.63</v>
      </c>
      <c r="G24" s="239">
        <v>163.99</v>
      </c>
    </row>
    <row r="25" spans="1:7" ht="20.100000000000001" customHeight="1">
      <c r="A25" s="148" t="s">
        <v>112</v>
      </c>
      <c r="B25" s="239">
        <v>97.45</v>
      </c>
      <c r="C25" s="239">
        <v>107.58</v>
      </c>
      <c r="D25" s="240">
        <v>114.67</v>
      </c>
      <c r="E25" s="241"/>
      <c r="F25" s="239">
        <v>109.99</v>
      </c>
      <c r="G25" s="239">
        <v>113.54</v>
      </c>
    </row>
    <row r="26" spans="1:7" ht="20.100000000000001" customHeight="1">
      <c r="A26" s="148" t="s">
        <v>113</v>
      </c>
      <c r="B26" s="239">
        <v>96.98</v>
      </c>
      <c r="C26" s="239">
        <v>146.68</v>
      </c>
      <c r="D26" s="240">
        <v>124.21</v>
      </c>
      <c r="E26" s="241"/>
      <c r="F26" s="239">
        <v>110.38</v>
      </c>
      <c r="G26" s="239">
        <v>94.6</v>
      </c>
    </row>
    <row r="27" spans="1:7" ht="27" customHeight="1">
      <c r="A27" s="148" t="s">
        <v>114</v>
      </c>
      <c r="B27" s="239">
        <v>93.24</v>
      </c>
      <c r="C27" s="239">
        <v>97.53</v>
      </c>
      <c r="D27" s="240">
        <v>97.2</v>
      </c>
      <c r="E27" s="241"/>
      <c r="F27" s="239">
        <v>114.87</v>
      </c>
      <c r="G27" s="239">
        <v>118.52</v>
      </c>
    </row>
    <row r="28" spans="1:7" ht="27" customHeight="1">
      <c r="A28" s="148" t="s">
        <v>115</v>
      </c>
      <c r="B28" s="239">
        <v>83.02</v>
      </c>
      <c r="C28" s="239">
        <v>120.73</v>
      </c>
      <c r="D28" s="240">
        <v>111.58</v>
      </c>
      <c r="E28" s="241"/>
      <c r="F28" s="239">
        <v>110.91</v>
      </c>
      <c r="G28" s="239">
        <v>107.1</v>
      </c>
    </row>
    <row r="29" spans="1:7" ht="20.100000000000001" customHeight="1">
      <c r="A29" s="148" t="s">
        <v>116</v>
      </c>
      <c r="B29" s="239">
        <v>109.5</v>
      </c>
      <c r="C29" s="239">
        <v>107.54</v>
      </c>
      <c r="D29" s="240">
        <v>123.38</v>
      </c>
      <c r="E29" s="241"/>
      <c r="F29" s="239">
        <v>111.11</v>
      </c>
      <c r="G29" s="239">
        <v>98.53</v>
      </c>
    </row>
    <row r="30" spans="1:7" ht="20.100000000000001" customHeight="1">
      <c r="A30" s="148" t="s">
        <v>211</v>
      </c>
      <c r="B30" s="239">
        <v>115.63</v>
      </c>
      <c r="C30" s="239">
        <v>100</v>
      </c>
      <c r="D30" s="240">
        <v>103.74</v>
      </c>
      <c r="E30" s="241"/>
      <c r="F30" s="239">
        <v>98.68</v>
      </c>
      <c r="G30" s="239">
        <v>103.44</v>
      </c>
    </row>
    <row r="31" spans="1:7" ht="20.100000000000001" customHeight="1">
      <c r="A31" s="148" t="s">
        <v>118</v>
      </c>
      <c r="B31" s="239">
        <v>100.12</v>
      </c>
      <c r="C31" s="239">
        <v>106</v>
      </c>
      <c r="D31" s="240">
        <v>92.08</v>
      </c>
      <c r="E31" s="241"/>
      <c r="F31" s="239">
        <v>81.459999999999994</v>
      </c>
      <c r="G31" s="239">
        <v>90.18</v>
      </c>
    </row>
    <row r="32" spans="1:7" ht="20.100000000000001" customHeight="1">
      <c r="A32" s="148" t="s">
        <v>119</v>
      </c>
      <c r="B32" s="239">
        <v>106.57</v>
      </c>
      <c r="C32" s="239">
        <v>96.44</v>
      </c>
      <c r="D32" s="240">
        <v>106.11</v>
      </c>
      <c r="E32" s="241"/>
      <c r="F32" s="239">
        <v>91.23</v>
      </c>
      <c r="G32" s="239">
        <v>90.38</v>
      </c>
    </row>
    <row r="33" spans="1:7" ht="20.100000000000001" customHeight="1">
      <c r="A33" s="148" t="s">
        <v>120</v>
      </c>
      <c r="B33" s="239">
        <v>103.54</v>
      </c>
      <c r="C33" s="239">
        <v>119.3</v>
      </c>
      <c r="D33" s="240">
        <v>113.3</v>
      </c>
      <c r="E33" s="241"/>
      <c r="F33" s="239">
        <v>107.68</v>
      </c>
      <c r="G33" s="239">
        <v>133.77000000000001</v>
      </c>
    </row>
    <row r="34" spans="1:7" ht="20.100000000000001" customHeight="1">
      <c r="A34" s="148" t="s">
        <v>121</v>
      </c>
      <c r="B34" s="239">
        <v>99.3</v>
      </c>
      <c r="C34" s="239">
        <v>105.02</v>
      </c>
      <c r="D34" s="240">
        <v>111.33</v>
      </c>
      <c r="E34" s="241"/>
      <c r="F34" s="239">
        <v>107.58</v>
      </c>
      <c r="G34" s="239">
        <v>121.95</v>
      </c>
    </row>
    <row r="35" spans="1:7" ht="20.100000000000001" customHeight="1">
      <c r="A35" s="148"/>
      <c r="B35" s="242"/>
      <c r="C35" s="148"/>
      <c r="D35" s="242"/>
      <c r="E35" s="243"/>
      <c r="F35" s="242"/>
      <c r="G35" s="242"/>
    </row>
    <row r="36" spans="1:7">
      <c r="A36" s="225"/>
      <c r="F36" s="242"/>
      <c r="G36" s="242"/>
    </row>
    <row r="37" spans="1:7">
      <c r="A37" s="225"/>
    </row>
    <row r="38" spans="1:7">
      <c r="A38" s="225"/>
    </row>
    <row r="39" spans="1:7">
      <c r="A39" s="225"/>
    </row>
    <row r="40" spans="1:7">
      <c r="A40" s="225"/>
    </row>
    <row r="41" spans="1:7">
      <c r="A41" s="225"/>
    </row>
    <row r="42" spans="1:7">
      <c r="A42" s="225"/>
    </row>
    <row r="43" spans="1:7">
      <c r="A43" s="225"/>
    </row>
    <row r="44" spans="1:7">
      <c r="A44" s="225"/>
    </row>
    <row r="45" spans="1:7">
      <c r="A45" s="225"/>
    </row>
    <row r="46" spans="1:7">
      <c r="A46" s="225"/>
    </row>
    <row r="47" spans="1:7">
      <c r="A47" s="225"/>
    </row>
    <row r="48" spans="1:7">
      <c r="A48" s="225"/>
    </row>
    <row r="49" s="225" customFormat="1"/>
    <row r="50" s="225" customFormat="1"/>
    <row r="51" s="225" customFormat="1"/>
    <row r="52" s="225" customFormat="1"/>
    <row r="53" s="225" customFormat="1"/>
    <row r="54" s="225" customFormat="1"/>
    <row r="55" s="225" customFormat="1"/>
    <row r="56" s="225" customFormat="1"/>
    <row r="57" s="225" customFormat="1"/>
    <row r="58" s="225" customFormat="1"/>
    <row r="59" s="225" customFormat="1"/>
    <row r="60" s="225" customFormat="1"/>
    <row r="61" s="225" customFormat="1"/>
    <row r="62" s="225" customFormat="1"/>
    <row r="63" s="225" customFormat="1"/>
    <row r="64" s="225" customFormat="1"/>
    <row r="65" s="225" customFormat="1"/>
    <row r="66" s="225" customFormat="1"/>
    <row r="67" s="225" customFormat="1"/>
    <row r="68" s="225" customFormat="1"/>
    <row r="69" s="225" customFormat="1"/>
    <row r="70" s="225" customFormat="1"/>
    <row r="71" s="225" customFormat="1"/>
    <row r="72" s="225" customFormat="1"/>
    <row r="73" s="225" customFormat="1"/>
    <row r="74" s="225" customFormat="1"/>
    <row r="75" s="225" customFormat="1"/>
    <row r="76" s="225" customFormat="1"/>
    <row r="77" s="225" customFormat="1"/>
    <row r="78" s="225" customFormat="1"/>
    <row r="79" s="225" customFormat="1"/>
    <row r="80" s="225" customFormat="1"/>
    <row r="81" s="225" customFormat="1"/>
    <row r="82" s="225" customFormat="1"/>
  </sheetData>
  <mergeCells count="2">
    <mergeCell ref="B4:D4"/>
    <mergeCell ref="F4:G4"/>
  </mergeCells>
  <pageMargins left="0.74803149606299202" right="0.17" top="0.74803149606299202" bottom="0.511811023622047" header="0.43307086614173201" footer="0.31496062992126"/>
  <pageSetup paperSize="9" scale="96" firstPageNumber="39" orientation="portrait" r:id="rId1"/>
  <headerFooter alignWithMargins="0">
    <oddHeader>&amp;C&amp;"Times New Roman,Regular"&amp;13&amp;P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P47"/>
  <sheetViews>
    <sheetView workbookViewId="0">
      <selection activeCell="L15" sqref="L15"/>
    </sheetView>
  </sheetViews>
  <sheetFormatPr defaultColWidth="13" defaultRowHeight="16.5" customHeight="1"/>
  <cols>
    <col min="1" max="1" width="54" style="246" customWidth="1"/>
    <col min="2" max="2" width="18.7109375" style="246" customWidth="1"/>
    <col min="3" max="3" width="19.7109375" style="246" customWidth="1"/>
    <col min="4" max="4" width="13" style="246" customWidth="1"/>
    <col min="5" max="16384" width="13" style="246"/>
  </cols>
  <sheetData>
    <row r="1" spans="1:120" ht="18" customHeight="1">
      <c r="A1" s="942" t="s">
        <v>212</v>
      </c>
      <c r="B1" s="942"/>
      <c r="C1" s="942"/>
    </row>
    <row r="2" spans="1:120" ht="14.25" customHeight="1">
      <c r="A2" s="245"/>
      <c r="B2" s="245"/>
      <c r="C2" s="245"/>
    </row>
    <row r="3" spans="1:120" ht="14.25" customHeight="1">
      <c r="A3" s="247"/>
      <c r="C3" s="248" t="s">
        <v>82</v>
      </c>
    </row>
    <row r="4" spans="1:120" s="249" customFormat="1" ht="14.65" customHeight="1">
      <c r="A4" s="227"/>
      <c r="B4" s="228" t="s">
        <v>213</v>
      </c>
      <c r="C4" s="228" t="s">
        <v>213</v>
      </c>
    </row>
    <row r="5" spans="1:120" s="249" customFormat="1" ht="14.65" customHeight="1">
      <c r="A5" s="229"/>
      <c r="B5" s="230" t="s">
        <v>214</v>
      </c>
      <c r="C5" s="230" t="s">
        <v>214</v>
      </c>
    </row>
    <row r="6" spans="1:120" s="249" customFormat="1" ht="14.65" customHeight="1">
      <c r="A6" s="229"/>
      <c r="B6" s="232" t="s">
        <v>215</v>
      </c>
      <c r="C6" s="232" t="s">
        <v>215</v>
      </c>
    </row>
    <row r="7" spans="1:120" s="249" customFormat="1" ht="14.65" customHeight="1">
      <c r="A7" s="229"/>
      <c r="B7" s="230" t="s">
        <v>216</v>
      </c>
      <c r="C7" s="230" t="s">
        <v>216</v>
      </c>
    </row>
    <row r="8" spans="1:120" s="249" customFormat="1" ht="14.65" customHeight="1">
      <c r="A8" s="229"/>
      <c r="B8" s="234" t="s">
        <v>208</v>
      </c>
      <c r="C8" s="234" t="s">
        <v>6</v>
      </c>
    </row>
    <row r="9" spans="1:120" s="249" customFormat="1" ht="16.149999999999999" customHeight="1">
      <c r="A9" s="229"/>
      <c r="C9" s="250"/>
    </row>
    <row r="10" spans="1:120" ht="16.149999999999999" customHeight="1">
      <c r="A10" s="139" t="s">
        <v>91</v>
      </c>
      <c r="B10" s="251">
        <v>100.84</v>
      </c>
      <c r="C10" s="250">
        <v>102.37</v>
      </c>
    </row>
    <row r="11" spans="1:120" s="252" customFormat="1" ht="14.65" customHeight="1">
      <c r="A11" s="143" t="s">
        <v>92</v>
      </c>
      <c r="B11" s="251">
        <v>100.03</v>
      </c>
      <c r="C11" s="250">
        <v>101.08</v>
      </c>
    </row>
    <row r="12" spans="1:120" s="255" customFormat="1" ht="14.65" customHeight="1">
      <c r="A12" s="148" t="s">
        <v>93</v>
      </c>
      <c r="B12" s="253">
        <v>100.01</v>
      </c>
      <c r="C12" s="253">
        <v>102.59</v>
      </c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54"/>
      <c r="AY12" s="254"/>
      <c r="AZ12" s="254"/>
      <c r="BA12" s="254"/>
      <c r="BB12" s="254"/>
      <c r="BC12" s="254"/>
      <c r="BD12" s="254"/>
      <c r="BE12" s="254"/>
      <c r="BF12" s="254"/>
      <c r="BG12" s="254"/>
      <c r="BH12" s="254"/>
      <c r="BI12" s="254"/>
      <c r="BJ12" s="254"/>
      <c r="BK12" s="254"/>
      <c r="BL12" s="254"/>
      <c r="BM12" s="254"/>
      <c r="BN12" s="254"/>
      <c r="BO12" s="254"/>
      <c r="BP12" s="254"/>
      <c r="BQ12" s="254"/>
      <c r="BR12" s="254"/>
      <c r="BS12" s="254"/>
      <c r="BT12" s="254"/>
      <c r="BU12" s="254"/>
      <c r="BV12" s="254"/>
      <c r="BW12" s="254"/>
      <c r="BX12" s="254"/>
      <c r="BY12" s="254"/>
      <c r="BZ12" s="254"/>
      <c r="CA12" s="254"/>
      <c r="CB12" s="254"/>
      <c r="CC12" s="254"/>
      <c r="CD12" s="254"/>
      <c r="CE12" s="254"/>
      <c r="CF12" s="254"/>
      <c r="CG12" s="254"/>
      <c r="CH12" s="254"/>
      <c r="CI12" s="254"/>
      <c r="CJ12" s="254"/>
      <c r="CK12" s="254"/>
      <c r="CL12" s="254"/>
      <c r="CM12" s="254"/>
      <c r="CN12" s="254"/>
      <c r="CO12" s="254"/>
      <c r="CP12" s="254"/>
      <c r="CQ12" s="254"/>
      <c r="CR12" s="254"/>
      <c r="CS12" s="254"/>
      <c r="CT12" s="254"/>
      <c r="CU12" s="254"/>
      <c r="CV12" s="254"/>
      <c r="CW12" s="254"/>
      <c r="CX12" s="254"/>
      <c r="CY12" s="254"/>
      <c r="CZ12" s="254"/>
      <c r="DA12" s="254"/>
      <c r="DB12" s="254"/>
      <c r="DC12" s="254"/>
      <c r="DD12" s="254"/>
      <c r="DE12" s="254"/>
      <c r="DF12" s="254"/>
      <c r="DG12" s="254"/>
      <c r="DH12" s="254"/>
      <c r="DI12" s="254"/>
      <c r="DJ12" s="254"/>
      <c r="DK12" s="254"/>
      <c r="DL12" s="254"/>
      <c r="DM12" s="254"/>
      <c r="DN12" s="254"/>
      <c r="DO12" s="254"/>
      <c r="DP12" s="254"/>
    </row>
    <row r="13" spans="1:120" ht="14.65" customHeight="1">
      <c r="A13" s="148" t="s">
        <v>94</v>
      </c>
      <c r="B13" s="253">
        <v>100</v>
      </c>
      <c r="C13" s="253">
        <v>98.65</v>
      </c>
    </row>
    <row r="14" spans="1:120" ht="14.65" customHeight="1">
      <c r="A14" s="148" t="s">
        <v>95</v>
      </c>
      <c r="B14" s="253">
        <v>100.06</v>
      </c>
      <c r="C14" s="253">
        <v>91.83</v>
      </c>
    </row>
    <row r="15" spans="1:120" ht="14.65" customHeight="1">
      <c r="A15" s="148" t="s">
        <v>96</v>
      </c>
      <c r="B15" s="253">
        <v>100.05</v>
      </c>
      <c r="C15" s="253">
        <v>97.25</v>
      </c>
    </row>
    <row r="16" spans="1:120" ht="14.65" customHeight="1">
      <c r="A16" s="148" t="s">
        <v>97</v>
      </c>
      <c r="B16" s="253">
        <v>100.32</v>
      </c>
      <c r="C16" s="253">
        <v>106.36</v>
      </c>
    </row>
    <row r="17" spans="1:120" ht="14.65" customHeight="1">
      <c r="A17" s="152" t="s">
        <v>98</v>
      </c>
      <c r="B17" s="256">
        <v>100.89</v>
      </c>
      <c r="C17" s="256">
        <v>102.43</v>
      </c>
    </row>
    <row r="18" spans="1:120" s="257" customFormat="1" ht="14.65" customHeight="1">
      <c r="A18" s="148" t="s">
        <v>99</v>
      </c>
      <c r="B18" s="253">
        <v>101.19</v>
      </c>
      <c r="C18" s="253">
        <v>101.47</v>
      </c>
    </row>
    <row r="19" spans="1:120" ht="14.65" customHeight="1">
      <c r="A19" s="148" t="s">
        <v>100</v>
      </c>
      <c r="B19" s="253">
        <v>100.39</v>
      </c>
      <c r="C19" s="253">
        <v>93.69</v>
      </c>
    </row>
    <row r="20" spans="1:120" ht="14.65" customHeight="1">
      <c r="A20" s="148" t="s">
        <v>101</v>
      </c>
      <c r="B20" s="253">
        <v>99.91</v>
      </c>
      <c r="C20" s="253">
        <v>99.62</v>
      </c>
    </row>
    <row r="21" spans="1:120" ht="14.65" customHeight="1">
      <c r="A21" s="148" t="s">
        <v>102</v>
      </c>
      <c r="B21" s="253">
        <v>100.72</v>
      </c>
      <c r="C21" s="253">
        <v>98.57</v>
      </c>
    </row>
    <row r="22" spans="1:120" ht="14.65" customHeight="1">
      <c r="A22" s="148" t="s">
        <v>103</v>
      </c>
      <c r="B22" s="253">
        <v>100.68</v>
      </c>
      <c r="C22" s="253">
        <v>99.62</v>
      </c>
    </row>
    <row r="23" spans="1:120" ht="14.65" customHeight="1">
      <c r="A23" s="148" t="s">
        <v>104</v>
      </c>
      <c r="B23" s="253">
        <v>100.93</v>
      </c>
      <c r="C23" s="253">
        <v>99.7</v>
      </c>
    </row>
    <row r="24" spans="1:120" ht="27" customHeight="1">
      <c r="A24" s="148" t="s">
        <v>217</v>
      </c>
      <c r="B24" s="253">
        <v>100.74</v>
      </c>
      <c r="C24" s="258">
        <v>97.29</v>
      </c>
    </row>
    <row r="25" spans="1:120" ht="14.65" customHeight="1">
      <c r="A25" s="148" t="s">
        <v>106</v>
      </c>
      <c r="B25" s="253">
        <v>100.83</v>
      </c>
      <c r="C25" s="258">
        <v>98.28</v>
      </c>
    </row>
    <row r="26" spans="1:120" ht="14.65" customHeight="1">
      <c r="A26" s="148" t="s">
        <v>107</v>
      </c>
      <c r="B26" s="253">
        <v>101.22</v>
      </c>
      <c r="C26" s="258">
        <v>106.53</v>
      </c>
    </row>
    <row r="27" spans="1:120" ht="14.65" customHeight="1">
      <c r="A27" s="148" t="s">
        <v>108</v>
      </c>
      <c r="B27" s="253">
        <v>100.2</v>
      </c>
      <c r="C27" s="253">
        <v>102.44</v>
      </c>
    </row>
    <row r="28" spans="1:120" ht="14.65" customHeight="1">
      <c r="A28" s="148" t="s">
        <v>109</v>
      </c>
      <c r="B28" s="253">
        <v>99.32</v>
      </c>
      <c r="C28" s="253">
        <v>100.17</v>
      </c>
    </row>
    <row r="29" spans="1:120" s="259" customFormat="1" ht="14.65" customHeight="1">
      <c r="A29" s="148" t="s">
        <v>110</v>
      </c>
      <c r="B29" s="253">
        <v>100.32</v>
      </c>
      <c r="C29" s="258">
        <v>98</v>
      </c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6"/>
      <c r="BB29" s="246"/>
      <c r="BC29" s="246"/>
      <c r="BD29" s="246"/>
      <c r="BE29" s="246"/>
      <c r="BF29" s="246"/>
      <c r="BG29" s="246"/>
      <c r="BH29" s="246"/>
      <c r="BI29" s="246"/>
      <c r="BJ29" s="246"/>
      <c r="BK29" s="246"/>
      <c r="BL29" s="246"/>
      <c r="BM29" s="246"/>
      <c r="BN29" s="246"/>
      <c r="BO29" s="246"/>
      <c r="BP29" s="246"/>
      <c r="BQ29" s="246"/>
      <c r="BR29" s="246"/>
      <c r="BS29" s="246"/>
      <c r="BT29" s="246"/>
      <c r="BU29" s="246"/>
      <c r="BV29" s="246"/>
      <c r="BW29" s="246"/>
      <c r="BX29" s="246"/>
      <c r="BY29" s="246"/>
      <c r="BZ29" s="246"/>
      <c r="CA29" s="246"/>
      <c r="CB29" s="246"/>
      <c r="CC29" s="246"/>
      <c r="CD29" s="246"/>
      <c r="CE29" s="246"/>
      <c r="CF29" s="246"/>
      <c r="CG29" s="246"/>
      <c r="CH29" s="246"/>
      <c r="CI29" s="246"/>
      <c r="CJ29" s="246"/>
      <c r="CK29" s="246"/>
      <c r="CL29" s="246"/>
      <c r="CM29" s="246"/>
      <c r="CN29" s="246"/>
      <c r="CO29" s="246"/>
      <c r="CP29" s="246"/>
      <c r="CQ29" s="246"/>
      <c r="CR29" s="246"/>
      <c r="CS29" s="246"/>
      <c r="CT29" s="246"/>
      <c r="CU29" s="246"/>
      <c r="CV29" s="246"/>
      <c r="CW29" s="246"/>
      <c r="CX29" s="246"/>
      <c r="CY29" s="246"/>
      <c r="CZ29" s="246"/>
      <c r="DA29" s="246"/>
      <c r="DB29" s="246"/>
      <c r="DC29" s="246"/>
      <c r="DD29" s="246"/>
      <c r="DE29" s="246"/>
      <c r="DF29" s="246"/>
      <c r="DG29" s="246"/>
      <c r="DH29" s="246"/>
      <c r="DI29" s="246"/>
      <c r="DJ29" s="246"/>
      <c r="DK29" s="246"/>
      <c r="DL29" s="246"/>
      <c r="DM29" s="246"/>
      <c r="DN29" s="246"/>
      <c r="DO29" s="246"/>
      <c r="DP29" s="246"/>
    </row>
    <row r="30" spans="1:120" ht="14.65" customHeight="1">
      <c r="A30" s="148" t="s">
        <v>111</v>
      </c>
      <c r="B30" s="253">
        <v>100.94</v>
      </c>
      <c r="C30" s="253">
        <v>102.88</v>
      </c>
    </row>
    <row r="31" spans="1:120" ht="14.65" customHeight="1">
      <c r="A31" s="148" t="s">
        <v>112</v>
      </c>
      <c r="B31" s="253">
        <v>100.04</v>
      </c>
      <c r="C31" s="253">
        <v>98.22</v>
      </c>
    </row>
    <row r="32" spans="1:120" ht="14.65" customHeight="1">
      <c r="A32" s="148" t="s">
        <v>113</v>
      </c>
      <c r="B32" s="253">
        <v>100.17</v>
      </c>
      <c r="C32" s="253">
        <v>98.38</v>
      </c>
    </row>
    <row r="33" spans="1:3" ht="27" customHeight="1">
      <c r="A33" s="148" t="s">
        <v>114</v>
      </c>
      <c r="B33" s="253">
        <v>100.66</v>
      </c>
      <c r="C33" s="253">
        <v>101.15</v>
      </c>
    </row>
    <row r="34" spans="1:3" ht="27" customHeight="1">
      <c r="A34" s="148" t="s">
        <v>115</v>
      </c>
      <c r="B34" s="253">
        <v>100.9</v>
      </c>
      <c r="C34" s="253">
        <v>116.09</v>
      </c>
    </row>
    <row r="35" spans="1:3" ht="14.65" customHeight="1">
      <c r="A35" s="148" t="s">
        <v>116</v>
      </c>
      <c r="B35" s="253">
        <v>100.57</v>
      </c>
      <c r="C35" s="253">
        <v>105.89</v>
      </c>
    </row>
    <row r="36" spans="1:3" ht="14.65" customHeight="1">
      <c r="A36" s="148" t="s">
        <v>117</v>
      </c>
      <c r="B36" s="253">
        <v>101.46</v>
      </c>
      <c r="C36" s="253">
        <v>102.25</v>
      </c>
    </row>
    <row r="37" spans="1:3" s="257" customFormat="1" ht="14.65" customHeight="1">
      <c r="A37" s="148" t="s">
        <v>118</v>
      </c>
      <c r="B37" s="253">
        <v>101.64</v>
      </c>
      <c r="C37" s="253">
        <v>105.41</v>
      </c>
    </row>
    <row r="38" spans="1:3" s="257" customFormat="1" ht="14.65" customHeight="1">
      <c r="A38" s="148" t="s">
        <v>119</v>
      </c>
      <c r="B38" s="253">
        <v>102.56</v>
      </c>
      <c r="C38" s="253">
        <v>107.04</v>
      </c>
    </row>
    <row r="39" spans="1:3" ht="14.65" customHeight="1">
      <c r="A39" s="148" t="s">
        <v>120</v>
      </c>
      <c r="B39" s="253">
        <v>101.88</v>
      </c>
      <c r="C39" s="258">
        <v>93.34</v>
      </c>
    </row>
    <row r="40" spans="1:3" ht="14.65" customHeight="1">
      <c r="A40" s="148" t="s">
        <v>121</v>
      </c>
      <c r="B40" s="253">
        <v>101.23</v>
      </c>
      <c r="C40" s="253">
        <v>103.78</v>
      </c>
    </row>
    <row r="41" spans="1:3" ht="14.65" customHeight="1">
      <c r="A41" s="148" t="s">
        <v>122</v>
      </c>
      <c r="B41" s="253">
        <v>99.54</v>
      </c>
      <c r="C41" s="253">
        <v>99.74</v>
      </c>
    </row>
    <row r="42" spans="1:3" ht="14.65" customHeight="1">
      <c r="A42" s="167" t="s">
        <v>218</v>
      </c>
      <c r="B42" s="256">
        <v>100.11</v>
      </c>
      <c r="C42" s="256">
        <v>102.86</v>
      </c>
    </row>
    <row r="43" spans="1:3" ht="14.65" customHeight="1">
      <c r="A43" s="167" t="s">
        <v>219</v>
      </c>
      <c r="B43" s="256">
        <v>100.36</v>
      </c>
      <c r="C43" s="256">
        <v>100.73</v>
      </c>
    </row>
    <row r="44" spans="1:3" ht="14.65" customHeight="1">
      <c r="A44" s="148" t="s">
        <v>125</v>
      </c>
      <c r="B44" s="253">
        <v>100.04</v>
      </c>
      <c r="C44" s="258">
        <v>99.7</v>
      </c>
    </row>
    <row r="45" spans="1:3" ht="14.65" customHeight="1">
      <c r="A45" s="148" t="s">
        <v>126</v>
      </c>
      <c r="B45" s="260">
        <v>99.97</v>
      </c>
      <c r="C45" s="261">
        <v>103.07</v>
      </c>
    </row>
    <row r="46" spans="1:3" ht="14.65" customHeight="1">
      <c r="A46" s="148" t="s">
        <v>220</v>
      </c>
      <c r="B46" s="253">
        <v>100.66</v>
      </c>
      <c r="C46" s="253">
        <v>101.07</v>
      </c>
    </row>
    <row r="47" spans="1:3" ht="14.65" customHeight="1">
      <c r="A47" s="148" t="s">
        <v>221</v>
      </c>
      <c r="B47" s="253">
        <v>100</v>
      </c>
      <c r="C47" s="253">
        <v>102.99</v>
      </c>
    </row>
  </sheetData>
  <mergeCells count="1">
    <mergeCell ref="A1:C1"/>
  </mergeCells>
  <pageMargins left="0.74803149606299202" right="0.17" top="0.74803149606299202" bottom="0.511811023622047" header="0.43307086614173201" footer="0.31496062992126"/>
  <pageSetup paperSize="9" firstPageNumber="39" orientation="portrait" r:id="rId1"/>
  <headerFooter alignWithMargins="0"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2"/>
  <sheetViews>
    <sheetView workbookViewId="0">
      <selection activeCell="L15" sqref="L15"/>
    </sheetView>
  </sheetViews>
  <sheetFormatPr defaultColWidth="9.140625" defaultRowHeight="15"/>
  <cols>
    <col min="1" max="1" width="31.42578125" style="269" customWidth="1"/>
    <col min="2" max="3" width="26" style="269" customWidth="1"/>
    <col min="4" max="16384" width="9.140625" style="269"/>
  </cols>
  <sheetData>
    <row r="1" spans="1:3" s="246" customFormat="1" ht="20.100000000000001" customHeight="1">
      <c r="A1" s="262" t="s">
        <v>564</v>
      </c>
      <c r="B1" s="263"/>
      <c r="C1" s="263"/>
    </row>
    <row r="2" spans="1:3" s="246" customFormat="1" ht="20.100000000000001" customHeight="1">
      <c r="A2" s="245" t="s">
        <v>222</v>
      </c>
      <c r="B2" s="245"/>
      <c r="C2" s="245"/>
    </row>
    <row r="3" spans="1:3" s="246" customFormat="1" ht="27" customHeight="1">
      <c r="A3" s="247"/>
      <c r="C3" s="248" t="s">
        <v>82</v>
      </c>
    </row>
    <row r="4" spans="1:3" s="249" customFormat="1" ht="18" customHeight="1">
      <c r="A4" s="227"/>
      <c r="B4" s="228" t="s">
        <v>223</v>
      </c>
      <c r="C4" s="228" t="s">
        <v>223</v>
      </c>
    </row>
    <row r="5" spans="1:3" s="249" customFormat="1" ht="18" customHeight="1">
      <c r="A5" s="229"/>
      <c r="B5" s="264" t="s">
        <v>224</v>
      </c>
      <c r="C5" s="264" t="s">
        <v>224</v>
      </c>
    </row>
    <row r="6" spans="1:3" s="249" customFormat="1" ht="18" customHeight="1">
      <c r="A6" s="229"/>
      <c r="B6" s="234" t="s">
        <v>225</v>
      </c>
      <c r="C6" s="234" t="s">
        <v>226</v>
      </c>
    </row>
    <row r="7" spans="1:3" s="249" customFormat="1" ht="15" customHeight="1">
      <c r="A7" s="229"/>
      <c r="B7" s="230"/>
      <c r="C7" s="230"/>
    </row>
    <row r="8" spans="1:3" s="246" customFormat="1" ht="19.5" customHeight="1">
      <c r="A8" s="265" t="s">
        <v>227</v>
      </c>
      <c r="B8" s="266">
        <v>100.84</v>
      </c>
      <c r="C8" s="266">
        <v>102.37</v>
      </c>
    </row>
    <row r="9" spans="1:3" ht="19.5" customHeight="1">
      <c r="A9" s="267" t="s">
        <v>228</v>
      </c>
      <c r="B9" s="268">
        <v>100.11</v>
      </c>
      <c r="C9" s="268">
        <v>97.89</v>
      </c>
    </row>
    <row r="10" spans="1:3" ht="19.5" customHeight="1">
      <c r="A10" s="267" t="s">
        <v>229</v>
      </c>
      <c r="B10" s="268">
        <v>100.53</v>
      </c>
      <c r="C10" s="268">
        <v>110.22</v>
      </c>
    </row>
    <row r="11" spans="1:3" ht="19.5" customHeight="1">
      <c r="A11" s="267" t="s">
        <v>230</v>
      </c>
      <c r="B11" s="268">
        <v>100.81</v>
      </c>
      <c r="C11" s="268">
        <v>104.59</v>
      </c>
    </row>
    <row r="12" spans="1:3" ht="19.5" customHeight="1">
      <c r="A12" s="267" t="s">
        <v>231</v>
      </c>
      <c r="B12" s="268">
        <v>100.58</v>
      </c>
      <c r="C12" s="268">
        <v>103.85</v>
      </c>
    </row>
    <row r="13" spans="1:3" ht="19.5" customHeight="1">
      <c r="A13" s="267" t="s">
        <v>232</v>
      </c>
      <c r="B13" s="268">
        <v>101.41</v>
      </c>
      <c r="C13" s="268">
        <v>102.85</v>
      </c>
    </row>
    <row r="14" spans="1:3" ht="19.5" customHeight="1">
      <c r="A14" s="267" t="s">
        <v>233</v>
      </c>
      <c r="B14" s="268">
        <v>100.89</v>
      </c>
      <c r="C14" s="268">
        <v>102.91</v>
      </c>
    </row>
    <row r="15" spans="1:3" ht="19.5" customHeight="1">
      <c r="A15" s="267" t="s">
        <v>234</v>
      </c>
      <c r="B15" s="268">
        <v>100.12</v>
      </c>
      <c r="C15" s="268">
        <v>106.36</v>
      </c>
    </row>
    <row r="16" spans="1:3" ht="19.5" customHeight="1">
      <c r="A16" s="267" t="s">
        <v>235</v>
      </c>
      <c r="B16" s="268">
        <v>100.17</v>
      </c>
      <c r="C16" s="268">
        <v>93.59</v>
      </c>
    </row>
    <row r="17" spans="1:3" ht="19.5" customHeight="1">
      <c r="A17" s="267" t="s">
        <v>236</v>
      </c>
      <c r="B17" s="268">
        <v>100.28</v>
      </c>
      <c r="C17" s="268">
        <v>105.67</v>
      </c>
    </row>
    <row r="18" spans="1:3" ht="19.5" customHeight="1">
      <c r="A18" s="267" t="s">
        <v>237</v>
      </c>
      <c r="B18" s="268">
        <v>100.09</v>
      </c>
      <c r="C18" s="268">
        <v>100.71</v>
      </c>
    </row>
    <row r="19" spans="1:3" ht="19.5" customHeight="1">
      <c r="A19" s="267" t="s">
        <v>238</v>
      </c>
      <c r="B19" s="268">
        <v>100.18</v>
      </c>
      <c r="C19" s="268">
        <v>98.37</v>
      </c>
    </row>
    <row r="20" spans="1:3" ht="19.5" customHeight="1">
      <c r="A20" s="267" t="s">
        <v>239</v>
      </c>
      <c r="B20" s="268">
        <v>101.53</v>
      </c>
      <c r="C20" s="268">
        <v>104.27</v>
      </c>
    </row>
    <row r="21" spans="1:3" ht="19.5" customHeight="1">
      <c r="A21" s="267" t="s">
        <v>240</v>
      </c>
      <c r="B21" s="268">
        <v>99.95</v>
      </c>
      <c r="C21" s="268">
        <v>102.88</v>
      </c>
    </row>
    <row r="22" spans="1:3" ht="19.5" customHeight="1">
      <c r="A22" s="267" t="s">
        <v>241</v>
      </c>
      <c r="B22" s="268">
        <v>98.67</v>
      </c>
      <c r="C22" s="268">
        <v>100.59</v>
      </c>
    </row>
    <row r="23" spans="1:3" ht="19.5" customHeight="1">
      <c r="A23" s="267" t="s">
        <v>242</v>
      </c>
      <c r="B23" s="268">
        <v>100.17</v>
      </c>
      <c r="C23" s="268">
        <v>96.65</v>
      </c>
    </row>
    <row r="24" spans="1:3" ht="19.5" customHeight="1">
      <c r="A24" s="267" t="s">
        <v>243</v>
      </c>
      <c r="B24" s="268">
        <v>100.84</v>
      </c>
      <c r="C24" s="268">
        <v>100.21</v>
      </c>
    </row>
    <row r="25" spans="1:3" ht="19.5" customHeight="1">
      <c r="A25" s="267" t="s">
        <v>244</v>
      </c>
      <c r="B25" s="268">
        <v>100.29</v>
      </c>
      <c r="C25" s="268">
        <v>118.61</v>
      </c>
    </row>
    <row r="26" spans="1:3" ht="19.5" customHeight="1">
      <c r="A26" s="267" t="s">
        <v>245</v>
      </c>
      <c r="B26" s="268">
        <v>108.03</v>
      </c>
      <c r="C26" s="268">
        <v>146.81</v>
      </c>
    </row>
    <row r="27" spans="1:3" ht="19.5" customHeight="1">
      <c r="A27" s="267" t="s">
        <v>246</v>
      </c>
      <c r="B27" s="268">
        <v>100.34</v>
      </c>
      <c r="C27" s="268">
        <v>100.02</v>
      </c>
    </row>
    <row r="28" spans="1:3" ht="19.5" customHeight="1">
      <c r="A28" s="267" t="s">
        <v>247</v>
      </c>
      <c r="B28" s="268">
        <v>100.9</v>
      </c>
      <c r="C28" s="268">
        <v>105.75</v>
      </c>
    </row>
    <row r="29" spans="1:3" ht="18.399999999999999" customHeight="1">
      <c r="A29" s="267" t="s">
        <v>248</v>
      </c>
      <c r="B29" s="268">
        <v>100.47</v>
      </c>
      <c r="C29" s="268">
        <v>102.02</v>
      </c>
    </row>
    <row r="30" spans="1:3" ht="18.399999999999999" customHeight="1">
      <c r="A30" s="267" t="s">
        <v>249</v>
      </c>
      <c r="B30" s="268">
        <v>100.52</v>
      </c>
      <c r="C30" s="268">
        <v>97.53</v>
      </c>
    </row>
    <row r="31" spans="1:3" ht="18.399999999999999" customHeight="1">
      <c r="A31" s="267" t="s">
        <v>250</v>
      </c>
      <c r="B31" s="268">
        <v>103.09</v>
      </c>
      <c r="C31" s="268">
        <v>98.19</v>
      </c>
    </row>
    <row r="32" spans="1:3" ht="18.399999999999999" customHeight="1">
      <c r="A32" s="267" t="s">
        <v>251</v>
      </c>
      <c r="B32" s="268">
        <v>101.13</v>
      </c>
      <c r="C32" s="268">
        <v>108.19</v>
      </c>
    </row>
    <row r="33" spans="1:3" ht="18.399999999999999" customHeight="1">
      <c r="A33" s="267" t="s">
        <v>252</v>
      </c>
      <c r="B33" s="268">
        <v>99.96</v>
      </c>
      <c r="C33" s="268">
        <v>98.57</v>
      </c>
    </row>
    <row r="34" spans="1:3" ht="18.399999999999999" customHeight="1">
      <c r="A34" s="267" t="s">
        <v>253</v>
      </c>
      <c r="B34" s="268">
        <v>101.09</v>
      </c>
      <c r="C34" s="268">
        <v>105.61</v>
      </c>
    </row>
    <row r="35" spans="1:3" ht="18.399999999999999" customHeight="1">
      <c r="A35" s="267" t="s">
        <v>254</v>
      </c>
      <c r="B35" s="268">
        <v>101.16</v>
      </c>
      <c r="C35" s="268">
        <v>105.31</v>
      </c>
    </row>
    <row r="36" spans="1:3" ht="18.399999999999999" customHeight="1">
      <c r="A36" s="267" t="s">
        <v>255</v>
      </c>
      <c r="B36" s="268">
        <v>100.3</v>
      </c>
      <c r="C36" s="268">
        <v>96.59</v>
      </c>
    </row>
    <row r="37" spans="1:3" ht="18.399999999999999" customHeight="1">
      <c r="A37" s="267" t="s">
        <v>256</v>
      </c>
      <c r="B37" s="268">
        <v>101.04</v>
      </c>
      <c r="C37" s="268">
        <v>99.9</v>
      </c>
    </row>
    <row r="38" spans="1:3" ht="18.399999999999999" customHeight="1">
      <c r="A38" s="267" t="s">
        <v>257</v>
      </c>
      <c r="B38" s="268">
        <v>100.81</v>
      </c>
      <c r="C38" s="268">
        <v>101.6</v>
      </c>
    </row>
    <row r="39" spans="1:3" ht="18.399999999999999" customHeight="1">
      <c r="A39" s="267" t="s">
        <v>258</v>
      </c>
      <c r="B39" s="268">
        <v>100.9</v>
      </c>
      <c r="C39" s="268">
        <v>102.48</v>
      </c>
    </row>
    <row r="40" spans="1:3" ht="18.399999999999999" customHeight="1">
      <c r="A40" s="267" t="s">
        <v>259</v>
      </c>
      <c r="B40" s="268">
        <v>101.41</v>
      </c>
      <c r="C40" s="268">
        <v>102.63</v>
      </c>
    </row>
    <row r="41" spans="1:3" ht="18.399999999999999" customHeight="1">
      <c r="A41" s="267" t="s">
        <v>260</v>
      </c>
      <c r="B41" s="268">
        <v>100.94</v>
      </c>
      <c r="C41" s="268">
        <v>104.31</v>
      </c>
    </row>
    <row r="42" spans="1:3" ht="18.399999999999999" customHeight="1">
      <c r="A42" s="267" t="s">
        <v>261</v>
      </c>
      <c r="B42" s="268">
        <v>101.61</v>
      </c>
      <c r="C42" s="268">
        <v>99.19</v>
      </c>
    </row>
  </sheetData>
  <pageMargins left="0.74803149606299202" right="0.17" top="0.74803149606299202" bottom="0.511811023622047" header="0.43307086614173201" footer="0.31496062992126"/>
  <pageSetup paperSize="9" scale="93" firstPageNumber="28" orientation="portrait" r:id="rId1"/>
  <headerFooter alignWithMargins="0"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1"/>
  <sheetViews>
    <sheetView zoomScale="93" zoomScaleNormal="93" workbookViewId="0">
      <selection activeCell="L15" sqref="L15"/>
    </sheetView>
  </sheetViews>
  <sheetFormatPr defaultColWidth="7.5703125" defaultRowHeight="14.25"/>
  <cols>
    <col min="1" max="1" width="37.140625" style="745" customWidth="1"/>
    <col min="2" max="3" width="9.42578125" style="745" customWidth="1"/>
    <col min="4" max="4" width="9.28515625" style="745" customWidth="1"/>
    <col min="5" max="5" width="8.7109375" style="745" customWidth="1"/>
    <col min="6" max="6" width="9.5703125" style="745" customWidth="1"/>
    <col min="7" max="7" width="11.28515625" style="745" customWidth="1"/>
    <col min="8" max="8" width="4.5703125" style="745" customWidth="1"/>
    <col min="9" max="9" width="9.42578125" style="745" hidden="1" customWidth="1"/>
    <col min="10" max="10" width="10.5703125" style="745" hidden="1" customWidth="1"/>
    <col min="11" max="11" width="3.140625" style="745" hidden="1" customWidth="1"/>
    <col min="12" max="14" width="7.5703125" style="745" hidden="1" customWidth="1"/>
    <col min="15" max="17" width="0" style="745" hidden="1" customWidth="1"/>
    <col min="18" max="16384" width="7.5703125" style="745"/>
  </cols>
  <sheetData>
    <row r="1" spans="1:20" s="718" customFormat="1" ht="20.100000000000001" customHeight="1">
      <c r="A1" s="717" t="s">
        <v>631</v>
      </c>
    </row>
    <row r="2" spans="1:20" s="720" customFormat="1" ht="20.100000000000001" customHeight="1">
      <c r="A2" s="719"/>
    </row>
    <row r="3" spans="1:20" s="722" customFormat="1" ht="20.100000000000001" customHeight="1">
      <c r="A3" s="721"/>
      <c r="E3" s="723"/>
      <c r="F3" s="724"/>
      <c r="L3" s="725" t="s">
        <v>301</v>
      </c>
      <c r="M3" s="726" t="s">
        <v>593</v>
      </c>
      <c r="N3" s="726" t="s">
        <v>594</v>
      </c>
    </row>
    <row r="4" spans="1:20" s="729" customFormat="1" ht="16.899999999999999" customHeight="1">
      <c r="A4" s="727"/>
      <c r="B4" s="728" t="s">
        <v>83</v>
      </c>
      <c r="C4" s="728" t="s">
        <v>84</v>
      </c>
      <c r="D4" s="728" t="s">
        <v>36</v>
      </c>
      <c r="E4" s="943" t="s">
        <v>382</v>
      </c>
      <c r="F4" s="943"/>
      <c r="G4" s="728" t="s">
        <v>86</v>
      </c>
      <c r="I4" s="728" t="s">
        <v>84</v>
      </c>
      <c r="J4" s="728" t="s">
        <v>36</v>
      </c>
      <c r="L4" s="730">
        <f>(D10+D14)/1000</f>
        <v>297.47399999999999</v>
      </c>
      <c r="M4" s="731">
        <f>L4/L5*100-100</f>
        <v>27.442067698002305</v>
      </c>
      <c r="N4" s="731">
        <f>L4/12</f>
        <v>24.7895</v>
      </c>
    </row>
    <row r="5" spans="1:20" s="729" customFormat="1" ht="16.899999999999999" customHeight="1">
      <c r="B5" s="732" t="s">
        <v>41</v>
      </c>
      <c r="C5" s="732" t="s">
        <v>41</v>
      </c>
      <c r="D5" s="732">
        <v>2025</v>
      </c>
      <c r="E5" s="944" t="s">
        <v>595</v>
      </c>
      <c r="F5" s="944"/>
      <c r="G5" s="733" t="s">
        <v>44</v>
      </c>
      <c r="I5" s="732" t="s">
        <v>41</v>
      </c>
      <c r="J5" s="732">
        <v>2024</v>
      </c>
      <c r="L5" s="730">
        <f>(J10+J14)/1000</f>
        <v>233.41900000000001</v>
      </c>
      <c r="M5" s="730"/>
      <c r="N5" s="730"/>
    </row>
    <row r="6" spans="1:20" s="729" customFormat="1" ht="16.899999999999999" customHeight="1">
      <c r="B6" s="732">
        <v>2025</v>
      </c>
      <c r="C6" s="732">
        <v>2025</v>
      </c>
      <c r="D6" s="732"/>
      <c r="E6" s="206" t="s">
        <v>83</v>
      </c>
      <c r="F6" s="206" t="s">
        <v>84</v>
      </c>
      <c r="G6" s="733" t="s">
        <v>88</v>
      </c>
      <c r="I6" s="732">
        <v>2024</v>
      </c>
      <c r="N6" s="730"/>
    </row>
    <row r="7" spans="1:20" s="729" customFormat="1" ht="16.899999999999999" customHeight="1">
      <c r="B7" s="732"/>
      <c r="C7" s="732"/>
      <c r="D7" s="732"/>
      <c r="E7" s="206" t="s">
        <v>41</v>
      </c>
      <c r="F7" s="206" t="s">
        <v>41</v>
      </c>
      <c r="G7" s="733" t="s">
        <v>147</v>
      </c>
      <c r="I7" s="732"/>
      <c r="J7" s="732"/>
      <c r="L7" s="730">
        <f>SUM(D15:D17)/1000</f>
        <v>227.16</v>
      </c>
      <c r="M7" s="730">
        <f>L7/L8*100-100</f>
        <v>14.807870171484012</v>
      </c>
      <c r="N7" s="731">
        <f>L7/12</f>
        <v>18.93</v>
      </c>
    </row>
    <row r="8" spans="1:20" s="729" customFormat="1" ht="16.899999999999999" customHeight="1">
      <c r="B8" s="734"/>
      <c r="C8" s="734"/>
      <c r="D8" s="734"/>
      <c r="E8" s="735">
        <v>2025</v>
      </c>
      <c r="F8" s="735">
        <v>2024</v>
      </c>
      <c r="G8" s="736"/>
      <c r="I8" s="734"/>
      <c r="J8" s="734"/>
      <c r="L8" s="730">
        <f>SUM(J15:J17)/1000</f>
        <v>197.86099999999999</v>
      </c>
    </row>
    <row r="9" spans="1:20" s="729" customFormat="1" ht="15.95" customHeight="1">
      <c r="B9" s="737"/>
      <c r="C9" s="737"/>
      <c r="D9" s="737"/>
      <c r="I9" s="737"/>
      <c r="J9" s="737"/>
    </row>
    <row r="10" spans="1:20" s="729" customFormat="1" ht="30" customHeight="1">
      <c r="A10" s="738" t="s">
        <v>596</v>
      </c>
      <c r="B10" s="739">
        <v>15058</v>
      </c>
      <c r="C10" s="739">
        <v>17154</v>
      </c>
      <c r="D10" s="739">
        <v>195147</v>
      </c>
      <c r="E10" s="740">
        <f t="shared" ref="E10:E17" si="0">C10/B10*100</f>
        <v>113.91951122327002</v>
      </c>
      <c r="F10" s="740">
        <f t="shared" ref="F10:G17" si="1">C10/I10*100</f>
        <v>171.60864345738295</v>
      </c>
      <c r="G10" s="740">
        <f t="shared" si="1"/>
        <v>124.10773340117018</v>
      </c>
      <c r="H10" s="730"/>
      <c r="I10" s="739">
        <v>9996</v>
      </c>
      <c r="J10" s="739">
        <v>157240</v>
      </c>
      <c r="L10" s="730">
        <f>E10-100</f>
        <v>13.919511223270021</v>
      </c>
      <c r="M10" s="730">
        <f t="shared" ref="L10:N17" si="2">F10-100</f>
        <v>71.608643457382954</v>
      </c>
      <c r="N10" s="730">
        <f t="shared" si="2"/>
        <v>24.107733401170179</v>
      </c>
      <c r="P10" s="730">
        <f>+C10/1000</f>
        <v>17.154</v>
      </c>
      <c r="Q10" s="730">
        <f>+D10/1000</f>
        <v>195.14699999999999</v>
      </c>
      <c r="S10" s="730"/>
      <c r="T10" s="730"/>
    </row>
    <row r="11" spans="1:20" s="729" customFormat="1" ht="30" customHeight="1">
      <c r="A11" s="738" t="s">
        <v>597</v>
      </c>
      <c r="B11" s="739">
        <v>160511</v>
      </c>
      <c r="C11" s="739">
        <v>165965.402</v>
      </c>
      <c r="D11" s="739">
        <v>1919184.6919999998</v>
      </c>
      <c r="E11" s="740">
        <f t="shared" si="0"/>
        <v>103.39814841350436</v>
      </c>
      <c r="F11" s="740">
        <f t="shared" si="1"/>
        <v>172.15256519303779</v>
      </c>
      <c r="G11" s="740">
        <f t="shared" si="1"/>
        <v>124.05591429265846</v>
      </c>
      <c r="H11" s="730"/>
      <c r="I11" s="739">
        <v>96406</v>
      </c>
      <c r="J11" s="739">
        <v>1547032</v>
      </c>
      <c r="L11" s="730">
        <f t="shared" si="2"/>
        <v>3.3981484135043587</v>
      </c>
      <c r="M11" s="730">
        <f t="shared" si="2"/>
        <v>72.152565193037788</v>
      </c>
      <c r="N11" s="730">
        <f t="shared" si="2"/>
        <v>24.055914292658457</v>
      </c>
      <c r="P11" s="730">
        <f t="shared" ref="P11:Q17" si="3">+C11/1000</f>
        <v>165.96540200000001</v>
      </c>
      <c r="Q11" s="730">
        <f t="shared" si="3"/>
        <v>1919.1846919999998</v>
      </c>
      <c r="S11" s="730"/>
      <c r="T11" s="730"/>
    </row>
    <row r="12" spans="1:20" s="729" customFormat="1" ht="30" customHeight="1">
      <c r="A12" s="738" t="s">
        <v>598</v>
      </c>
      <c r="B12" s="739">
        <v>83279</v>
      </c>
      <c r="C12" s="739">
        <v>100589</v>
      </c>
      <c r="D12" s="739">
        <v>1151425</v>
      </c>
      <c r="E12" s="740">
        <f>C12/B12*100</f>
        <v>120.78555218002138</v>
      </c>
      <c r="F12" s="740">
        <f>C12/I12*100</f>
        <v>105.05488307971885</v>
      </c>
      <c r="G12" s="740">
        <f t="shared" si="1"/>
        <v>114.97199652914728</v>
      </c>
      <c r="H12" s="730"/>
      <c r="I12" s="739">
        <v>95749</v>
      </c>
      <c r="J12" s="739">
        <v>1001483</v>
      </c>
      <c r="L12" s="730">
        <f t="shared" si="2"/>
        <v>20.785552180021384</v>
      </c>
      <c r="M12" s="730">
        <f t="shared" si="2"/>
        <v>5.0548830797188486</v>
      </c>
      <c r="N12" s="730">
        <f t="shared" si="2"/>
        <v>14.971996529147276</v>
      </c>
      <c r="P12" s="730">
        <f t="shared" si="3"/>
        <v>100.589</v>
      </c>
      <c r="Q12" s="730">
        <f t="shared" si="3"/>
        <v>1151.425</v>
      </c>
      <c r="S12" s="730"/>
      <c r="T12" s="730"/>
    </row>
    <row r="13" spans="1:20" s="729" customFormat="1" ht="30" customHeight="1">
      <c r="A13" s="741" t="s">
        <v>599</v>
      </c>
      <c r="B13" s="742">
        <f t="shared" ref="B13:D13" si="4">B11/B10</f>
        <v>10.659516536060567</v>
      </c>
      <c r="C13" s="742">
        <f t="shared" si="4"/>
        <v>9.6750263495394666</v>
      </c>
      <c r="D13" s="742">
        <f t="shared" si="4"/>
        <v>9.834559034983883</v>
      </c>
      <c r="E13" s="740">
        <f t="shared" si="0"/>
        <v>90.764213525157317</v>
      </c>
      <c r="F13" s="740">
        <f t="shared" si="1"/>
        <v>100.31695474347708</v>
      </c>
      <c r="G13" s="740">
        <f t="shared" si="1"/>
        <v>99.958246672393713</v>
      </c>
      <c r="H13" s="730"/>
      <c r="I13" s="742">
        <f t="shared" ref="I13:J13" si="5">I11/I10</f>
        <v>9.6444577831132445</v>
      </c>
      <c r="J13" s="742">
        <f t="shared" si="5"/>
        <v>9.8386670058509278</v>
      </c>
      <c r="L13" s="730">
        <f>E13-100</f>
        <v>-9.2357864748426834</v>
      </c>
      <c r="M13" s="730">
        <f t="shared" si="2"/>
        <v>0.31695474347708341</v>
      </c>
      <c r="N13" s="730">
        <f t="shared" si="2"/>
        <v>-4.1753327606286916E-2</v>
      </c>
      <c r="P13" s="730">
        <f t="shared" si="3"/>
        <v>9.6750263495394666E-3</v>
      </c>
      <c r="Q13" s="730">
        <f t="shared" si="3"/>
        <v>9.8345590349838835E-3</v>
      </c>
    </row>
    <row r="14" spans="1:20" s="729" customFormat="1" ht="30" customHeight="1">
      <c r="A14" s="738" t="s">
        <v>600</v>
      </c>
      <c r="B14" s="739">
        <v>9677</v>
      </c>
      <c r="C14" s="739">
        <v>9963</v>
      </c>
      <c r="D14" s="739">
        <v>102327</v>
      </c>
      <c r="E14" s="740">
        <f t="shared" si="0"/>
        <v>102.95546140332748</v>
      </c>
      <c r="F14" s="740">
        <f t="shared" si="1"/>
        <v>112.66538505032229</v>
      </c>
      <c r="G14" s="740">
        <f t="shared" si="1"/>
        <v>134.32442011577993</v>
      </c>
      <c r="H14" s="730"/>
      <c r="I14" s="739">
        <v>8843</v>
      </c>
      <c r="J14" s="739">
        <v>76179</v>
      </c>
      <c r="L14" s="730">
        <f t="shared" si="2"/>
        <v>2.955461403327476</v>
      </c>
      <c r="M14" s="730">
        <f t="shared" si="2"/>
        <v>12.665385050322286</v>
      </c>
      <c r="N14" s="730">
        <f t="shared" si="2"/>
        <v>34.32442011577993</v>
      </c>
      <c r="P14" s="730">
        <f t="shared" si="3"/>
        <v>9.9629999999999992</v>
      </c>
      <c r="Q14" s="730">
        <f t="shared" si="3"/>
        <v>102.327</v>
      </c>
      <c r="S14" s="730"/>
      <c r="T14" s="730"/>
    </row>
    <row r="15" spans="1:20" s="743" customFormat="1" ht="30" customHeight="1">
      <c r="A15" s="741" t="s">
        <v>601</v>
      </c>
      <c r="B15" s="739">
        <v>4859</v>
      </c>
      <c r="C15" s="739">
        <v>4594</v>
      </c>
      <c r="D15" s="739">
        <v>114415</v>
      </c>
      <c r="E15" s="740">
        <f t="shared" si="0"/>
        <v>94.546202922412022</v>
      </c>
      <c r="F15" s="740">
        <f t="shared" si="1"/>
        <v>109.72056364939098</v>
      </c>
      <c r="G15" s="740">
        <f t="shared" si="1"/>
        <v>114.30298307658495</v>
      </c>
      <c r="H15" s="730"/>
      <c r="I15" s="739">
        <v>4187</v>
      </c>
      <c r="J15" s="739">
        <v>100098</v>
      </c>
      <c r="L15" s="730">
        <f t="shared" si="2"/>
        <v>-5.4537970775879785</v>
      </c>
      <c r="M15" s="730">
        <f t="shared" si="2"/>
        <v>9.7205636493909822</v>
      </c>
      <c r="N15" s="730">
        <f t="shared" si="2"/>
        <v>14.302983076584951</v>
      </c>
      <c r="P15" s="730">
        <f t="shared" si="3"/>
        <v>4.5940000000000003</v>
      </c>
      <c r="Q15" s="730">
        <f t="shared" si="3"/>
        <v>114.41500000000001</v>
      </c>
      <c r="S15" s="730"/>
      <c r="T15" s="730"/>
    </row>
    <row r="16" spans="1:20" s="743" customFormat="1" ht="30" customHeight="1">
      <c r="A16" s="741" t="s">
        <v>602</v>
      </c>
      <c r="B16" s="739">
        <v>6668</v>
      </c>
      <c r="C16" s="739">
        <v>12608</v>
      </c>
      <c r="D16" s="739">
        <v>76862</v>
      </c>
      <c r="E16" s="740">
        <f t="shared" si="0"/>
        <v>189.08218356328734</v>
      </c>
      <c r="F16" s="740">
        <f t="shared" si="1"/>
        <v>63.401387911093231</v>
      </c>
      <c r="G16" s="740">
        <f t="shared" si="1"/>
        <v>100.92836977217516</v>
      </c>
      <c r="H16" s="730"/>
      <c r="I16" s="739">
        <v>19886</v>
      </c>
      <c r="J16" s="739">
        <v>76155</v>
      </c>
      <c r="L16" s="730">
        <f t="shared" si="2"/>
        <v>89.082183563287344</v>
      </c>
      <c r="M16" s="730">
        <f t="shared" si="2"/>
        <v>-36.598612088906769</v>
      </c>
      <c r="N16" s="730">
        <f t="shared" si="2"/>
        <v>0.92836977217515937</v>
      </c>
      <c r="P16" s="730">
        <f t="shared" si="3"/>
        <v>12.608000000000001</v>
      </c>
      <c r="Q16" s="730">
        <f t="shared" si="3"/>
        <v>76.861999999999995</v>
      </c>
      <c r="S16" s="744"/>
      <c r="T16" s="744"/>
    </row>
    <row r="17" spans="1:20" s="743" customFormat="1" ht="30" customHeight="1">
      <c r="A17" s="738" t="s">
        <v>603</v>
      </c>
      <c r="B17" s="739">
        <v>4022</v>
      </c>
      <c r="C17" s="739">
        <v>5045</v>
      </c>
      <c r="D17" s="739">
        <v>35883</v>
      </c>
      <c r="E17" s="740">
        <f t="shared" si="0"/>
        <v>125.43510691198409</v>
      </c>
      <c r="F17" s="740">
        <f t="shared" si="1"/>
        <v>215.13859275053306</v>
      </c>
      <c r="G17" s="740">
        <f t="shared" si="1"/>
        <v>166.06349500185115</v>
      </c>
      <c r="H17" s="730"/>
      <c r="I17" s="739">
        <v>2345</v>
      </c>
      <c r="J17" s="739">
        <v>21608</v>
      </c>
      <c r="L17" s="730">
        <f t="shared" si="2"/>
        <v>25.435106911984093</v>
      </c>
      <c r="M17" s="730">
        <f t="shared" si="2"/>
        <v>115.13859275053306</v>
      </c>
      <c r="N17" s="730">
        <f t="shared" si="2"/>
        <v>66.063495001851152</v>
      </c>
      <c r="P17" s="730">
        <f t="shared" si="3"/>
        <v>5.0449999999999999</v>
      </c>
      <c r="Q17" s="730">
        <f t="shared" si="3"/>
        <v>35.883000000000003</v>
      </c>
      <c r="S17" s="744"/>
      <c r="T17" s="744"/>
    </row>
    <row r="18" spans="1:20" s="743" customFormat="1" ht="20.100000000000001" customHeight="1">
      <c r="A18" s="745"/>
      <c r="B18" s="746"/>
      <c r="C18" s="746"/>
      <c r="D18" s="746"/>
      <c r="E18" s="745"/>
      <c r="F18" s="745"/>
      <c r="G18" s="745"/>
      <c r="I18" s="746"/>
      <c r="J18" s="746"/>
    </row>
    <row r="19" spans="1:20">
      <c r="C19" s="746"/>
      <c r="D19" s="746"/>
    </row>
    <row r="20" spans="1:20">
      <c r="C20" s="746"/>
      <c r="D20" s="747"/>
    </row>
    <row r="21" spans="1:20">
      <c r="D21" s="746"/>
    </row>
    <row r="22" spans="1:20" ht="20.100000000000001" customHeight="1"/>
    <row r="23" spans="1:20" ht="20.100000000000001" customHeight="1"/>
    <row r="24" spans="1:20" ht="20.100000000000001" customHeight="1"/>
    <row r="25" spans="1:20" ht="20.100000000000001" customHeight="1"/>
    <row r="26" spans="1:20" ht="20.100000000000001" customHeight="1"/>
    <row r="27" spans="1:20" ht="20.100000000000001" customHeight="1"/>
    <row r="28" spans="1:20" ht="21.6" customHeight="1"/>
    <row r="29" spans="1:20" ht="21.6" customHeight="1"/>
    <row r="30" spans="1:20" ht="21.6" customHeight="1"/>
    <row r="40" spans="1:10" ht="15">
      <c r="A40" s="748"/>
      <c r="B40" s="748"/>
      <c r="C40" s="748"/>
      <c r="D40" s="748"/>
      <c r="E40" s="748"/>
      <c r="F40" s="748"/>
      <c r="G40" s="748"/>
      <c r="I40" s="748"/>
      <c r="J40" s="748"/>
    </row>
    <row r="41" spans="1:10" ht="15">
      <c r="A41" s="748"/>
      <c r="B41" s="748"/>
      <c r="C41" s="748"/>
      <c r="D41" s="748"/>
      <c r="E41" s="748"/>
      <c r="F41" s="748"/>
      <c r="G41" s="748"/>
      <c r="I41" s="748"/>
      <c r="J41" s="748"/>
    </row>
    <row r="42" spans="1:10" ht="15">
      <c r="A42" s="748"/>
      <c r="B42" s="748"/>
      <c r="C42" s="748"/>
      <c r="D42" s="748"/>
      <c r="E42" s="748"/>
      <c r="F42" s="748"/>
      <c r="G42" s="748"/>
      <c r="I42" s="748"/>
      <c r="J42" s="748"/>
    </row>
    <row r="43" spans="1:10" ht="15">
      <c r="A43" s="748"/>
      <c r="B43" s="748"/>
      <c r="C43" s="748"/>
      <c r="D43" s="748"/>
      <c r="E43" s="748"/>
      <c r="F43" s="748"/>
      <c r="G43" s="748"/>
      <c r="I43" s="748"/>
      <c r="J43" s="748"/>
    </row>
    <row r="44" spans="1:10" ht="15">
      <c r="A44" s="748"/>
      <c r="B44" s="748"/>
      <c r="C44" s="748"/>
      <c r="D44" s="748"/>
      <c r="E44" s="748"/>
      <c r="F44" s="748"/>
      <c r="G44" s="748"/>
      <c r="I44" s="748"/>
      <c r="J44" s="748"/>
    </row>
    <row r="45" spans="1:10" ht="15">
      <c r="A45" s="748"/>
      <c r="B45" s="748"/>
      <c r="C45" s="748"/>
      <c r="D45" s="748"/>
      <c r="E45" s="748"/>
      <c r="F45" s="748"/>
      <c r="G45" s="748"/>
      <c r="I45" s="748"/>
      <c r="J45" s="748"/>
    </row>
    <row r="46" spans="1:10" ht="15">
      <c r="A46" s="748"/>
      <c r="B46" s="748"/>
      <c r="C46" s="748"/>
      <c r="D46" s="748"/>
      <c r="E46" s="748"/>
      <c r="F46" s="748"/>
      <c r="G46" s="748"/>
      <c r="I46" s="748"/>
      <c r="J46" s="748"/>
    </row>
    <row r="47" spans="1:10" ht="15">
      <c r="A47" s="748"/>
      <c r="B47" s="748"/>
      <c r="C47" s="748"/>
      <c r="D47" s="748"/>
      <c r="E47" s="748"/>
      <c r="F47" s="748"/>
      <c r="G47" s="748"/>
      <c r="I47" s="748"/>
      <c r="J47" s="748"/>
    </row>
    <row r="48" spans="1:10" ht="15">
      <c r="A48" s="748"/>
      <c r="B48" s="748"/>
      <c r="C48" s="748"/>
      <c r="D48" s="748"/>
      <c r="E48" s="748"/>
      <c r="F48" s="748"/>
      <c r="G48" s="748"/>
      <c r="I48" s="748"/>
      <c r="J48" s="748"/>
    </row>
    <row r="49" spans="1:10" ht="15">
      <c r="A49" s="748"/>
      <c r="B49" s="748"/>
      <c r="C49" s="748"/>
      <c r="D49" s="748"/>
      <c r="E49" s="748"/>
      <c r="F49" s="748"/>
      <c r="G49" s="748"/>
      <c r="I49" s="748"/>
      <c r="J49" s="748"/>
    </row>
    <row r="50" spans="1:10" ht="15">
      <c r="A50" s="748"/>
      <c r="B50" s="748"/>
      <c r="C50" s="748"/>
      <c r="D50" s="748"/>
      <c r="E50" s="748"/>
      <c r="F50" s="748"/>
      <c r="G50" s="748"/>
      <c r="I50" s="748"/>
      <c r="J50" s="748"/>
    </row>
    <row r="51" spans="1:10" ht="15">
      <c r="A51" s="748"/>
      <c r="B51" s="748"/>
      <c r="C51" s="748"/>
      <c r="D51" s="748"/>
      <c r="E51" s="748"/>
      <c r="F51" s="748"/>
      <c r="G51" s="748"/>
      <c r="I51" s="748"/>
      <c r="J51" s="748"/>
    </row>
  </sheetData>
  <mergeCells count="2">
    <mergeCell ref="E4:F4"/>
    <mergeCell ref="E5:F5"/>
  </mergeCells>
  <pageMargins left="0.74803149606299202" right="0.17" top="0.74803149606299202" bottom="0.511811023622047" header="0.43307086614173201" footer="0.31496062992126"/>
  <pageSetup paperSize="9" scale="98" firstPageNumber="27" orientation="portrait" r:id="rId1"/>
  <headerFooter alignWithMargins="0"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zoomScaleNormal="100" workbookViewId="0">
      <selection activeCell="L15" sqref="L15"/>
    </sheetView>
  </sheetViews>
  <sheetFormatPr defaultColWidth="8.7109375" defaultRowHeight="12.75"/>
  <cols>
    <col min="1" max="1" width="1.28515625" style="720" customWidth="1"/>
    <col min="2" max="2" width="40.28515625" style="720" customWidth="1"/>
    <col min="3" max="5" width="8.140625" style="720" customWidth="1"/>
    <col min="6" max="6" width="0.42578125" style="720" customWidth="1"/>
    <col min="7" max="7" width="7.140625" style="720" customWidth="1"/>
    <col min="8" max="8" width="7.7109375" style="720" customWidth="1"/>
    <col min="9" max="9" width="6.7109375" style="720" customWidth="1"/>
    <col min="10" max="11" width="1.28515625" style="720" customWidth="1"/>
    <col min="12" max="12" width="8.140625" style="720" hidden="1" customWidth="1"/>
    <col min="13" max="13" width="9.28515625" style="720" hidden="1" customWidth="1"/>
    <col min="14" max="14" width="8.140625" style="720" hidden="1" customWidth="1"/>
    <col min="15" max="15" width="8.7109375" style="720" hidden="1" customWidth="1"/>
    <col min="16" max="16" width="0" style="720" hidden="1" customWidth="1"/>
    <col min="17" max="16384" width="8.7109375" style="720"/>
  </cols>
  <sheetData>
    <row r="1" spans="1:16" s="718" customFormat="1" ht="20.100000000000001" customHeight="1">
      <c r="A1" s="717" t="s">
        <v>632</v>
      </c>
      <c r="B1" s="717"/>
      <c r="C1" s="749"/>
      <c r="D1" s="749"/>
      <c r="E1" s="749"/>
      <c r="F1" s="749"/>
      <c r="G1" s="749"/>
      <c r="L1" s="749"/>
      <c r="M1" s="749"/>
      <c r="N1" s="749"/>
    </row>
    <row r="2" spans="1:16" ht="20.100000000000001" customHeight="1">
      <c r="A2" s="719"/>
      <c r="B2" s="719"/>
      <c r="C2" s="729"/>
      <c r="D2" s="729"/>
      <c r="E2" s="729"/>
      <c r="F2" s="729"/>
      <c r="G2" s="729"/>
      <c r="L2" s="729"/>
      <c r="M2" s="729"/>
      <c r="N2" s="729"/>
    </row>
    <row r="3" spans="1:16" s="722" customFormat="1" ht="20.100000000000001" customHeight="1">
      <c r="A3" s="721"/>
      <c r="B3" s="721"/>
      <c r="C3" s="721"/>
      <c r="D3" s="721"/>
      <c r="E3" s="721"/>
      <c r="F3" s="721"/>
      <c r="G3" s="750"/>
      <c r="L3" s="721"/>
      <c r="M3" s="721"/>
      <c r="N3" s="721"/>
    </row>
    <row r="4" spans="1:16" s="722" customFormat="1" ht="15" customHeight="1">
      <c r="A4" s="751"/>
      <c r="B4" s="751"/>
      <c r="C4" s="945" t="s">
        <v>86</v>
      </c>
      <c r="D4" s="946"/>
      <c r="E4" s="946"/>
      <c r="F4" s="174"/>
      <c r="G4" s="948" t="s">
        <v>604</v>
      </c>
      <c r="H4" s="948"/>
      <c r="I4" s="948"/>
      <c r="L4" s="753"/>
      <c r="M4" s="753" t="s">
        <v>54</v>
      </c>
      <c r="N4" s="753"/>
    </row>
    <row r="5" spans="1:16" s="722" customFormat="1" ht="15" customHeight="1">
      <c r="A5" s="754"/>
      <c r="B5" s="754"/>
      <c r="C5" s="947"/>
      <c r="D5" s="947"/>
      <c r="E5" s="947"/>
      <c r="F5" s="175"/>
      <c r="G5" s="949" t="s">
        <v>605</v>
      </c>
      <c r="H5" s="949"/>
      <c r="I5" s="949"/>
      <c r="L5" s="757"/>
      <c r="M5" s="757"/>
      <c r="N5" s="757"/>
    </row>
    <row r="6" spans="1:16" s="722" customFormat="1" ht="15" customHeight="1">
      <c r="A6" s="754"/>
      <c r="B6" s="754"/>
      <c r="C6" s="752" t="s">
        <v>606</v>
      </c>
      <c r="D6" s="752" t="s">
        <v>607</v>
      </c>
      <c r="E6" s="752" t="s">
        <v>608</v>
      </c>
      <c r="F6" s="175"/>
      <c r="G6" s="752" t="s">
        <v>606</v>
      </c>
      <c r="H6" s="752" t="s">
        <v>607</v>
      </c>
      <c r="I6" s="752" t="s">
        <v>608</v>
      </c>
      <c r="L6" s="752" t="s">
        <v>606</v>
      </c>
      <c r="M6" s="752" t="s">
        <v>607</v>
      </c>
      <c r="N6" s="752" t="s">
        <v>608</v>
      </c>
    </row>
    <row r="7" spans="1:16" s="722" customFormat="1" ht="15" customHeight="1">
      <c r="A7" s="754"/>
      <c r="B7" s="754"/>
      <c r="C7" s="758" t="s">
        <v>609</v>
      </c>
      <c r="D7" s="758" t="s">
        <v>610</v>
      </c>
      <c r="E7" s="758" t="s">
        <v>611</v>
      </c>
      <c r="F7" s="175"/>
      <c r="G7" s="758" t="s">
        <v>612</v>
      </c>
      <c r="H7" s="758" t="s">
        <v>610</v>
      </c>
      <c r="I7" s="758" t="s">
        <v>611</v>
      </c>
      <c r="L7" s="758" t="s">
        <v>609</v>
      </c>
      <c r="M7" s="758" t="s">
        <v>610</v>
      </c>
      <c r="N7" s="758" t="s">
        <v>611</v>
      </c>
    </row>
    <row r="8" spans="1:16" s="722" customFormat="1" ht="15" customHeight="1">
      <c r="A8" s="754"/>
      <c r="B8" s="754"/>
      <c r="C8" s="756" t="s">
        <v>613</v>
      </c>
      <c r="D8" s="756" t="s">
        <v>614</v>
      </c>
      <c r="E8" s="756" t="s">
        <v>615</v>
      </c>
      <c r="F8" s="755"/>
      <c r="G8" s="756" t="s">
        <v>616</v>
      </c>
      <c r="H8" s="756"/>
      <c r="I8" s="756"/>
      <c r="L8" s="756" t="s">
        <v>613</v>
      </c>
      <c r="M8" s="756" t="s">
        <v>614</v>
      </c>
      <c r="N8" s="756" t="s">
        <v>615</v>
      </c>
    </row>
    <row r="9" spans="1:16" s="722" customFormat="1" ht="20.100000000000001" customHeight="1">
      <c r="A9" s="721"/>
      <c r="B9" s="721"/>
      <c r="C9" s="175"/>
      <c r="D9" s="175"/>
      <c r="E9" s="175"/>
      <c r="F9" s="175"/>
      <c r="G9" s="175"/>
      <c r="L9" s="175"/>
      <c r="M9" s="175"/>
      <c r="N9" s="175"/>
    </row>
    <row r="10" spans="1:16" s="762" customFormat="1" ht="20.100000000000001" customHeight="1">
      <c r="A10" s="759" t="s">
        <v>265</v>
      </c>
      <c r="B10" s="759"/>
      <c r="C10" s="760">
        <f>C12+C13+C18</f>
        <v>195147</v>
      </c>
      <c r="D10" s="760">
        <f t="shared" ref="D10:E10" si="0">D12+D13+D18</f>
        <v>1919184.567964674</v>
      </c>
      <c r="E10" s="760">
        <f t="shared" si="0"/>
        <v>1151425</v>
      </c>
      <c r="F10" s="760"/>
      <c r="G10" s="761">
        <f>C10/L10*100</f>
        <v>124.10773340117018</v>
      </c>
      <c r="H10" s="761">
        <f t="shared" ref="H10:I10" si="1">D10/M10*100</f>
        <v>124.05592144215562</v>
      </c>
      <c r="I10" s="761">
        <f t="shared" si="1"/>
        <v>114.97199652914728</v>
      </c>
      <c r="L10" s="760">
        <f t="shared" ref="L10:N10" si="2">L12+L13+L18</f>
        <v>157240</v>
      </c>
      <c r="M10" s="760">
        <f t="shared" si="2"/>
        <v>1547031.810859222</v>
      </c>
      <c r="N10" s="760">
        <f t="shared" si="2"/>
        <v>1001483</v>
      </c>
      <c r="P10" s="763">
        <f>+G10-100</f>
        <v>24.107733401170179</v>
      </c>
    </row>
    <row r="11" spans="1:16" s="762" customFormat="1" ht="18" customHeight="1">
      <c r="A11" s="759" t="s">
        <v>617</v>
      </c>
      <c r="B11" s="759"/>
      <c r="C11" s="760"/>
      <c r="D11" s="760"/>
      <c r="E11" s="760"/>
      <c r="F11" s="760"/>
      <c r="G11" s="761"/>
      <c r="H11" s="761"/>
      <c r="I11" s="761"/>
      <c r="L11" s="743"/>
      <c r="M11" s="760"/>
      <c r="N11" s="760"/>
      <c r="P11" s="763">
        <f t="shared" ref="P11:P30" si="3">+G11-100</f>
        <v>-100</v>
      </c>
    </row>
    <row r="12" spans="1:16" s="768" customFormat="1" ht="18" customHeight="1">
      <c r="A12" s="764"/>
      <c r="B12" s="765" t="s">
        <v>618</v>
      </c>
      <c r="C12" s="766">
        <v>1871</v>
      </c>
      <c r="D12" s="766">
        <v>29284.626</v>
      </c>
      <c r="E12" s="766">
        <v>11409</v>
      </c>
      <c r="F12" s="766"/>
      <c r="G12" s="767">
        <f t="shared" ref="G12:I30" si="4">C12/L12*100</f>
        <v>115.35141800246609</v>
      </c>
      <c r="H12" s="767">
        <f t="shared" si="4"/>
        <v>127.25843828716799</v>
      </c>
      <c r="I12" s="767">
        <f t="shared" si="4"/>
        <v>108.07047456663825</v>
      </c>
      <c r="L12" s="766">
        <v>1622</v>
      </c>
      <c r="M12" s="766">
        <v>23011.932563495</v>
      </c>
      <c r="N12" s="766">
        <v>10557</v>
      </c>
      <c r="P12" s="763">
        <f t="shared" si="3"/>
        <v>15.35141800246609</v>
      </c>
    </row>
    <row r="13" spans="1:16" s="768" customFormat="1" ht="18" customHeight="1">
      <c r="A13" s="764"/>
      <c r="B13" s="765" t="s">
        <v>619</v>
      </c>
      <c r="C13" s="766">
        <f>SUM(C14:C17)</f>
        <v>43974</v>
      </c>
      <c r="D13" s="766">
        <f t="shared" ref="D13:E13" si="5">SUM(D14:D17)</f>
        <v>552838.85585800605</v>
      </c>
      <c r="E13" s="766">
        <f t="shared" si="5"/>
        <v>511810</v>
      </c>
      <c r="F13" s="766">
        <v>0</v>
      </c>
      <c r="G13" s="767">
        <f t="shared" si="4"/>
        <v>119.56604491815759</v>
      </c>
      <c r="H13" s="767">
        <f t="shared" si="4"/>
        <v>109.93634131803138</v>
      </c>
      <c r="I13" s="767">
        <f t="shared" si="4"/>
        <v>103.59247137499217</v>
      </c>
      <c r="L13" s="766">
        <f t="shared" ref="L13:N13" si="6">SUM(L14:L17)</f>
        <v>36778</v>
      </c>
      <c r="M13" s="766">
        <f t="shared" si="6"/>
        <v>502871.79765125702</v>
      </c>
      <c r="N13" s="766">
        <f t="shared" si="6"/>
        <v>494061</v>
      </c>
      <c r="P13" s="763">
        <f t="shared" si="3"/>
        <v>19.566044918157587</v>
      </c>
    </row>
    <row r="14" spans="1:16" s="722" customFormat="1" ht="18" customHeight="1">
      <c r="A14" s="769"/>
      <c r="B14" s="770" t="s">
        <v>92</v>
      </c>
      <c r="C14" s="771">
        <v>764</v>
      </c>
      <c r="D14" s="771">
        <v>21381.851000000002</v>
      </c>
      <c r="E14" s="771">
        <v>4552</v>
      </c>
      <c r="F14" s="771"/>
      <c r="G14" s="772">
        <f t="shared" si="4"/>
        <v>111.53284671532846</v>
      </c>
      <c r="H14" s="772">
        <f t="shared" si="4"/>
        <v>111.31007936570686</v>
      </c>
      <c r="I14" s="772">
        <f t="shared" si="4"/>
        <v>58.061224489795919</v>
      </c>
      <c r="L14" s="771">
        <v>685</v>
      </c>
      <c r="M14" s="771">
        <v>19209.267589999999</v>
      </c>
      <c r="N14" s="771">
        <v>7840</v>
      </c>
      <c r="P14" s="763">
        <f t="shared" si="3"/>
        <v>11.532846715328461</v>
      </c>
    </row>
    <row r="15" spans="1:16" s="722" customFormat="1" ht="18" customHeight="1">
      <c r="A15" s="769"/>
      <c r="B15" s="770" t="s">
        <v>98</v>
      </c>
      <c r="C15" s="771">
        <v>25923</v>
      </c>
      <c r="D15" s="771">
        <v>220645.20255200702</v>
      </c>
      <c r="E15" s="771">
        <v>428513</v>
      </c>
      <c r="F15" s="771"/>
      <c r="G15" s="772">
        <f t="shared" si="4"/>
        <v>135.758051846033</v>
      </c>
      <c r="H15" s="772">
        <f t="shared" si="4"/>
        <v>113.18926405509031</v>
      </c>
      <c r="I15" s="772">
        <f t="shared" si="4"/>
        <v>104.73454204163835</v>
      </c>
      <c r="L15" s="771">
        <v>19095</v>
      </c>
      <c r="M15" s="771">
        <v>194934.74438054202</v>
      </c>
      <c r="N15" s="771">
        <v>409142</v>
      </c>
      <c r="P15" s="763">
        <f t="shared" si="3"/>
        <v>35.758051846032998</v>
      </c>
    </row>
    <row r="16" spans="1:16" s="722" customFormat="1" ht="18" customHeight="1">
      <c r="A16" s="769"/>
      <c r="B16" s="770" t="s">
        <v>620</v>
      </c>
      <c r="C16" s="771">
        <v>1569</v>
      </c>
      <c r="D16" s="771">
        <v>54190.949000000001</v>
      </c>
      <c r="E16" s="771">
        <v>8898</v>
      </c>
      <c r="F16" s="771"/>
      <c r="G16" s="772">
        <f t="shared" si="4"/>
        <v>130.96828046744577</v>
      </c>
      <c r="H16" s="772">
        <f t="shared" si="4"/>
        <v>184.18126817815954</v>
      </c>
      <c r="I16" s="772">
        <f t="shared" si="4"/>
        <v>110.85087828578548</v>
      </c>
      <c r="L16" s="771">
        <v>1198</v>
      </c>
      <c r="M16" s="771">
        <v>29422.616933867997</v>
      </c>
      <c r="N16" s="771">
        <v>8027</v>
      </c>
      <c r="P16" s="763">
        <f t="shared" si="3"/>
        <v>30.968280467445766</v>
      </c>
    </row>
    <row r="17" spans="1:16" s="722" customFormat="1" ht="18" customHeight="1">
      <c r="A17" s="769"/>
      <c r="B17" s="770" t="s">
        <v>621</v>
      </c>
      <c r="C17" s="771">
        <v>15718</v>
      </c>
      <c r="D17" s="771">
        <v>256620.85330599896</v>
      </c>
      <c r="E17" s="771">
        <v>69847</v>
      </c>
      <c r="F17" s="771"/>
      <c r="G17" s="772">
        <f t="shared" si="4"/>
        <v>99.481012658227854</v>
      </c>
      <c r="H17" s="772">
        <f t="shared" si="4"/>
        <v>98.964804498953626</v>
      </c>
      <c r="I17" s="772">
        <f t="shared" si="4"/>
        <v>101.15130626194752</v>
      </c>
      <c r="L17" s="771">
        <v>15800</v>
      </c>
      <c r="M17" s="771">
        <v>259305.16874684702</v>
      </c>
      <c r="N17" s="771">
        <v>69052</v>
      </c>
      <c r="P17" s="763">
        <f t="shared" si="3"/>
        <v>-0.51898734177214578</v>
      </c>
    </row>
    <row r="18" spans="1:16" s="723" customFormat="1" ht="18" customHeight="1">
      <c r="A18" s="773"/>
      <c r="B18" s="765" t="s">
        <v>491</v>
      </c>
      <c r="C18" s="766">
        <f>SUM(C19:C30)</f>
        <v>149302</v>
      </c>
      <c r="D18" s="766">
        <f t="shared" ref="D18:E18" si="7">SUM(D19:D30)</f>
        <v>1337061.086106668</v>
      </c>
      <c r="E18" s="766">
        <f t="shared" si="7"/>
        <v>628206</v>
      </c>
      <c r="F18" s="766"/>
      <c r="G18" s="767">
        <f t="shared" si="4"/>
        <v>125.63278357455403</v>
      </c>
      <c r="H18" s="767">
        <f t="shared" si="4"/>
        <v>130.93704149772461</v>
      </c>
      <c r="I18" s="767">
        <f t="shared" si="4"/>
        <v>126.43394080887163</v>
      </c>
      <c r="L18" s="766">
        <f t="shared" ref="L18:N18" si="8">SUM(L19:L30)</f>
        <v>118840</v>
      </c>
      <c r="M18" s="766">
        <f t="shared" si="8"/>
        <v>1021148.0806444701</v>
      </c>
      <c r="N18" s="766">
        <f t="shared" si="8"/>
        <v>496865</v>
      </c>
      <c r="P18" s="763">
        <f t="shared" si="3"/>
        <v>25.632783574554026</v>
      </c>
    </row>
    <row r="19" spans="1:16" s="722" customFormat="1" ht="18" customHeight="1">
      <c r="A19" s="769"/>
      <c r="B19" s="770" t="s">
        <v>622</v>
      </c>
      <c r="C19" s="771">
        <v>83201</v>
      </c>
      <c r="D19" s="771">
        <v>314746.10600000003</v>
      </c>
      <c r="E19" s="771">
        <v>305324</v>
      </c>
      <c r="F19" s="771"/>
      <c r="G19" s="772">
        <f t="shared" si="4"/>
        <v>130.28248410635433</v>
      </c>
      <c r="H19" s="772">
        <f t="shared" si="4"/>
        <v>75.846644077463665</v>
      </c>
      <c r="I19" s="772">
        <f t="shared" si="4"/>
        <v>126.89316958626853</v>
      </c>
      <c r="L19" s="771">
        <v>63862</v>
      </c>
      <c r="M19" s="771">
        <v>414976.97073919798</v>
      </c>
      <c r="N19" s="771">
        <v>240615</v>
      </c>
      <c r="P19" s="763">
        <f t="shared" si="3"/>
        <v>30.282484106354332</v>
      </c>
    </row>
    <row r="20" spans="1:16" s="722" customFormat="1" ht="18" customHeight="1">
      <c r="A20" s="769"/>
      <c r="B20" s="770" t="s">
        <v>492</v>
      </c>
      <c r="C20" s="771">
        <v>11273</v>
      </c>
      <c r="D20" s="771">
        <v>99964.588457588005</v>
      </c>
      <c r="E20" s="771">
        <v>52943</v>
      </c>
      <c r="F20" s="771"/>
      <c r="G20" s="772">
        <f t="shared" si="4"/>
        <v>132.82667609284789</v>
      </c>
      <c r="H20" s="772">
        <f t="shared" si="4"/>
        <v>197.15158169298911</v>
      </c>
      <c r="I20" s="772">
        <f t="shared" si="4"/>
        <v>122.89176202966505</v>
      </c>
      <c r="L20" s="771">
        <v>8487</v>
      </c>
      <c r="M20" s="771">
        <v>50704.431381766</v>
      </c>
      <c r="N20" s="771">
        <v>43081</v>
      </c>
      <c r="P20" s="763">
        <f t="shared" si="3"/>
        <v>32.82667609284789</v>
      </c>
    </row>
    <row r="21" spans="1:16" s="722" customFormat="1" ht="18" customHeight="1">
      <c r="A21" s="769"/>
      <c r="B21" s="770" t="s">
        <v>493</v>
      </c>
      <c r="C21" s="771">
        <v>7935</v>
      </c>
      <c r="D21" s="771">
        <v>52212.165289000004</v>
      </c>
      <c r="E21" s="771">
        <v>35387</v>
      </c>
      <c r="F21" s="771"/>
      <c r="G21" s="772">
        <f t="shared" si="4"/>
        <v>136.29336997595328</v>
      </c>
      <c r="H21" s="772">
        <f t="shared" si="4"/>
        <v>76.181131901801493</v>
      </c>
      <c r="I21" s="772">
        <f t="shared" si="4"/>
        <v>136.88832153495031</v>
      </c>
      <c r="L21" s="771">
        <v>5822</v>
      </c>
      <c r="M21" s="771">
        <v>68536.872563540004</v>
      </c>
      <c r="N21" s="771">
        <v>25851</v>
      </c>
      <c r="P21" s="763">
        <f t="shared" si="3"/>
        <v>36.293369975953283</v>
      </c>
    </row>
    <row r="22" spans="1:16" s="722" customFormat="1" ht="18" customHeight="1">
      <c r="A22" s="769"/>
      <c r="B22" s="770" t="s">
        <v>494</v>
      </c>
      <c r="C22" s="771">
        <v>5334</v>
      </c>
      <c r="D22" s="771">
        <v>43019.801000000007</v>
      </c>
      <c r="E22" s="771">
        <v>26010</v>
      </c>
      <c r="F22" s="771"/>
      <c r="G22" s="772">
        <f t="shared" si="4"/>
        <v>108.94607843137254</v>
      </c>
      <c r="H22" s="772">
        <f t="shared" si="4"/>
        <v>264.82388912994895</v>
      </c>
      <c r="I22" s="772">
        <f t="shared" si="4"/>
        <v>117.98593785438875</v>
      </c>
      <c r="L22" s="771">
        <v>4896</v>
      </c>
      <c r="M22" s="771">
        <v>16244.682887687</v>
      </c>
      <c r="N22" s="771">
        <v>22045</v>
      </c>
      <c r="P22" s="763">
        <f t="shared" si="3"/>
        <v>8.9460784313725412</v>
      </c>
    </row>
    <row r="23" spans="1:16" s="722" customFormat="1" ht="18" customHeight="1">
      <c r="A23" s="769"/>
      <c r="B23" s="770" t="s">
        <v>623</v>
      </c>
      <c r="C23" s="771">
        <v>1242</v>
      </c>
      <c r="D23" s="771">
        <v>44667.927851893997</v>
      </c>
      <c r="E23" s="771">
        <v>4945</v>
      </c>
      <c r="F23" s="771"/>
      <c r="G23" s="772">
        <f t="shared" si="4"/>
        <v>91.931902294596597</v>
      </c>
      <c r="H23" s="772">
        <f t="shared" si="4"/>
        <v>176.8706197188431</v>
      </c>
      <c r="I23" s="772">
        <f t="shared" si="4"/>
        <v>76.773792889302911</v>
      </c>
      <c r="L23" s="771">
        <v>1351</v>
      </c>
      <c r="M23" s="771">
        <v>25254.577567998</v>
      </c>
      <c r="N23" s="771">
        <v>6441</v>
      </c>
      <c r="P23" s="763">
        <f t="shared" si="3"/>
        <v>-8.0680977054034031</v>
      </c>
    </row>
    <row r="24" spans="1:16" s="722" customFormat="1" ht="18" customHeight="1">
      <c r="A24" s="769"/>
      <c r="B24" s="770" t="s">
        <v>624</v>
      </c>
      <c r="C24" s="771">
        <v>5671</v>
      </c>
      <c r="D24" s="771">
        <v>504393.24907000002</v>
      </c>
      <c r="E24" s="771">
        <v>35421</v>
      </c>
      <c r="F24" s="771"/>
      <c r="G24" s="772">
        <f t="shared" si="4"/>
        <v>123.82096069868996</v>
      </c>
      <c r="H24" s="772">
        <f t="shared" si="4"/>
        <v>168.18469167845879</v>
      </c>
      <c r="I24" s="772">
        <f t="shared" si="4"/>
        <v>140.3645730136715</v>
      </c>
      <c r="L24" s="771">
        <v>4580</v>
      </c>
      <c r="M24" s="771">
        <v>299904.37538412603</v>
      </c>
      <c r="N24" s="771">
        <v>25235</v>
      </c>
      <c r="P24" s="763">
        <f t="shared" si="3"/>
        <v>23.820960698689959</v>
      </c>
    </row>
    <row r="25" spans="1:16" s="722" customFormat="1" ht="30" customHeight="1">
      <c r="A25" s="769"/>
      <c r="B25" s="770" t="s">
        <v>625</v>
      </c>
      <c r="C25" s="771">
        <v>12500</v>
      </c>
      <c r="D25" s="771">
        <v>196174.81192918599</v>
      </c>
      <c r="E25" s="771">
        <v>54135</v>
      </c>
      <c r="F25" s="771"/>
      <c r="G25" s="772">
        <f t="shared" si="4"/>
        <v>103.74304921570254</v>
      </c>
      <c r="H25" s="772">
        <f t="shared" si="4"/>
        <v>326.55967837336817</v>
      </c>
      <c r="I25" s="772">
        <f t="shared" si="4"/>
        <v>99.448883990079921</v>
      </c>
      <c r="J25" s="774"/>
      <c r="L25" s="771">
        <v>12049</v>
      </c>
      <c r="M25" s="771">
        <v>60073.188737310003</v>
      </c>
      <c r="N25" s="771">
        <v>54435</v>
      </c>
      <c r="P25" s="763">
        <f t="shared" si="3"/>
        <v>3.7430492157025412</v>
      </c>
    </row>
    <row r="26" spans="1:16" s="722" customFormat="1" ht="18" customHeight="1">
      <c r="A26" s="769"/>
      <c r="B26" s="770" t="s">
        <v>495</v>
      </c>
      <c r="C26" s="771">
        <v>8606</v>
      </c>
      <c r="D26" s="771">
        <v>21646.569000000003</v>
      </c>
      <c r="E26" s="771">
        <v>38127</v>
      </c>
      <c r="F26" s="771"/>
      <c r="G26" s="772">
        <f t="shared" si="4"/>
        <v>174.4223753546818</v>
      </c>
      <c r="H26" s="772">
        <f t="shared" si="4"/>
        <v>129.6930669021547</v>
      </c>
      <c r="I26" s="772">
        <f t="shared" si="4"/>
        <v>175.2723762239691</v>
      </c>
      <c r="L26" s="771">
        <v>4934</v>
      </c>
      <c r="M26" s="771">
        <v>16690.613860131001</v>
      </c>
      <c r="N26" s="771">
        <v>21753</v>
      </c>
      <c r="P26" s="763">
        <f t="shared" si="3"/>
        <v>74.422375354681805</v>
      </c>
    </row>
    <row r="27" spans="1:16" s="722" customFormat="1" ht="18" customHeight="1">
      <c r="A27" s="769"/>
      <c r="B27" s="770" t="s">
        <v>496</v>
      </c>
      <c r="C27" s="771">
        <v>2117</v>
      </c>
      <c r="D27" s="771">
        <v>15405.790800000001</v>
      </c>
      <c r="E27" s="771">
        <v>12650</v>
      </c>
      <c r="F27" s="771"/>
      <c r="G27" s="772">
        <f t="shared" si="4"/>
        <v>134.32741116751271</v>
      </c>
      <c r="H27" s="772">
        <f t="shared" si="4"/>
        <v>123.82247649147527</v>
      </c>
      <c r="I27" s="772">
        <f t="shared" si="4"/>
        <v>138.63013698630138</v>
      </c>
      <c r="L27" s="771">
        <v>1576</v>
      </c>
      <c r="M27" s="771">
        <v>12441.837085257001</v>
      </c>
      <c r="N27" s="771">
        <v>9125</v>
      </c>
      <c r="P27" s="763">
        <f t="shared" si="3"/>
        <v>34.327411167512707</v>
      </c>
    </row>
    <row r="28" spans="1:16" s="722" customFormat="1" ht="18" customHeight="1">
      <c r="A28" s="769"/>
      <c r="B28" s="770" t="s">
        <v>497</v>
      </c>
      <c r="C28" s="771">
        <v>1525</v>
      </c>
      <c r="D28" s="771">
        <v>6755.1039999999994</v>
      </c>
      <c r="E28" s="771">
        <v>6510</v>
      </c>
      <c r="F28" s="771"/>
      <c r="G28" s="772">
        <f t="shared" si="4"/>
        <v>110.98981077147016</v>
      </c>
      <c r="H28" s="772">
        <f t="shared" si="4"/>
        <v>82.627997788554836</v>
      </c>
      <c r="I28" s="772">
        <f t="shared" si="4"/>
        <v>109.3015446608462</v>
      </c>
      <c r="L28" s="771">
        <v>1374</v>
      </c>
      <c r="M28" s="771">
        <v>8175.3209333310006</v>
      </c>
      <c r="N28" s="771">
        <v>5956</v>
      </c>
      <c r="P28" s="763">
        <f t="shared" si="3"/>
        <v>10.989810771470161</v>
      </c>
    </row>
    <row r="29" spans="1:16" ht="30" customHeight="1">
      <c r="A29" s="769"/>
      <c r="B29" s="770" t="s">
        <v>626</v>
      </c>
      <c r="C29" s="771">
        <v>8002</v>
      </c>
      <c r="D29" s="771">
        <v>33993.992709000006</v>
      </c>
      <c r="E29" s="771">
        <v>49994</v>
      </c>
      <c r="F29" s="771"/>
      <c r="G29" s="772">
        <f t="shared" si="4"/>
        <v>95.706255232627683</v>
      </c>
      <c r="H29" s="772">
        <f t="shared" si="4"/>
        <v>76.560736242968517</v>
      </c>
      <c r="I29" s="772">
        <f t="shared" si="4"/>
        <v>135.93822225847677</v>
      </c>
      <c r="L29" s="771">
        <v>8361</v>
      </c>
      <c r="M29" s="771">
        <v>44401.339873638004</v>
      </c>
      <c r="N29" s="771">
        <v>36777</v>
      </c>
      <c r="P29" s="763">
        <f t="shared" si="3"/>
        <v>-4.293744767372317</v>
      </c>
    </row>
    <row r="30" spans="1:16" ht="18" customHeight="1">
      <c r="A30" s="769"/>
      <c r="B30" s="770" t="s">
        <v>627</v>
      </c>
      <c r="C30" s="771">
        <v>1896</v>
      </c>
      <c r="D30" s="771">
        <v>4080.9800000000005</v>
      </c>
      <c r="E30" s="771">
        <v>6760</v>
      </c>
      <c r="F30" s="771"/>
      <c r="G30" s="772">
        <f t="shared" si="4"/>
        <v>122.48062015503875</v>
      </c>
      <c r="H30" s="772">
        <f t="shared" si="4"/>
        <v>109.00432981871913</v>
      </c>
      <c r="I30" s="772">
        <f t="shared" si="4"/>
        <v>121.77985948477752</v>
      </c>
      <c r="L30" s="771">
        <v>1548</v>
      </c>
      <c r="M30" s="771">
        <v>3743.869630488</v>
      </c>
      <c r="N30" s="771">
        <v>5551</v>
      </c>
      <c r="P30" s="763">
        <f t="shared" si="3"/>
        <v>22.48062015503875</v>
      </c>
    </row>
    <row r="31" spans="1:16" ht="18" customHeight="1">
      <c r="C31" s="760"/>
      <c r="D31" s="760"/>
      <c r="E31" s="760"/>
      <c r="F31" s="771"/>
      <c r="G31" s="772"/>
      <c r="H31" s="775"/>
      <c r="I31" s="775"/>
      <c r="L31" s="729"/>
      <c r="M31" s="771"/>
      <c r="N31" s="771"/>
    </row>
    <row r="32" spans="1:16" ht="20.100000000000001" customHeight="1">
      <c r="A32" s="729"/>
      <c r="B32" s="729"/>
      <c r="C32" s="729"/>
      <c r="D32" s="729"/>
      <c r="E32" s="729"/>
      <c r="F32" s="729"/>
      <c r="G32" s="729"/>
      <c r="L32" s="729"/>
      <c r="M32" s="729"/>
      <c r="N32" s="729"/>
    </row>
    <row r="33" spans="1:14" ht="20.100000000000001" customHeight="1">
      <c r="A33" s="729"/>
      <c r="B33" s="729"/>
      <c r="C33" s="729"/>
      <c r="D33" s="729"/>
      <c r="E33" s="729"/>
      <c r="F33" s="729"/>
      <c r="G33" s="729"/>
      <c r="L33" s="729"/>
      <c r="M33" s="729"/>
      <c r="N33" s="729"/>
    </row>
    <row r="34" spans="1:14" ht="20.100000000000001" customHeight="1">
      <c r="A34" s="729"/>
      <c r="B34" s="729"/>
      <c r="C34" s="729"/>
      <c r="D34" s="729"/>
      <c r="E34" s="729"/>
      <c r="F34" s="729"/>
      <c r="G34" s="729"/>
      <c r="L34" s="729"/>
      <c r="M34" s="729"/>
      <c r="N34" s="729"/>
    </row>
    <row r="35" spans="1:14" ht="20.100000000000001" customHeight="1">
      <c r="A35" s="729"/>
      <c r="B35" s="729"/>
      <c r="C35" s="729"/>
      <c r="D35" s="729"/>
      <c r="E35" s="729"/>
      <c r="F35" s="729"/>
      <c r="G35" s="729"/>
      <c r="L35" s="729"/>
      <c r="M35" s="729"/>
      <c r="N35" s="729"/>
    </row>
    <row r="36" spans="1:14" ht="20.100000000000001" customHeight="1">
      <c r="A36" s="729"/>
      <c r="B36" s="729"/>
      <c r="C36" s="729"/>
      <c r="D36" s="729"/>
      <c r="E36" s="729"/>
      <c r="F36" s="729"/>
      <c r="G36" s="729"/>
      <c r="L36" s="729"/>
      <c r="M36" s="729"/>
      <c r="N36" s="729"/>
    </row>
    <row r="37" spans="1:14" ht="20.100000000000001" customHeight="1">
      <c r="A37" s="729"/>
      <c r="B37" s="729"/>
      <c r="C37" s="729"/>
      <c r="D37" s="729"/>
      <c r="E37" s="729"/>
      <c r="F37" s="729"/>
      <c r="G37" s="729"/>
      <c r="L37" s="729"/>
      <c r="M37" s="729"/>
      <c r="N37" s="729"/>
    </row>
    <row r="38" spans="1:14" ht="20.100000000000001" customHeight="1">
      <c r="A38" s="729"/>
      <c r="B38" s="729"/>
      <c r="C38" s="729"/>
      <c r="D38" s="729"/>
      <c r="E38" s="729"/>
      <c r="F38" s="729"/>
      <c r="G38" s="729"/>
      <c r="L38" s="729"/>
      <c r="M38" s="729"/>
      <c r="N38" s="729"/>
    </row>
    <row r="39" spans="1:14" ht="20.100000000000001" customHeight="1">
      <c r="A39" s="729"/>
      <c r="B39" s="729"/>
      <c r="C39" s="729"/>
      <c r="D39" s="729"/>
      <c r="E39" s="729"/>
      <c r="F39" s="729"/>
      <c r="G39" s="729"/>
      <c r="L39" s="729"/>
      <c r="M39" s="729"/>
      <c r="N39" s="729"/>
    </row>
    <row r="40" spans="1:14" ht="20.100000000000001" customHeight="1">
      <c r="A40" s="729"/>
      <c r="B40" s="729"/>
      <c r="C40" s="729"/>
      <c r="D40" s="729"/>
      <c r="E40" s="729"/>
      <c r="F40" s="729"/>
      <c r="G40" s="729"/>
      <c r="L40" s="729"/>
      <c r="M40" s="729"/>
      <c r="N40" s="729"/>
    </row>
    <row r="41" spans="1:14" ht="20.100000000000001" customHeight="1">
      <c r="A41" s="729"/>
      <c r="B41" s="729"/>
      <c r="C41" s="729"/>
      <c r="D41" s="729"/>
      <c r="E41" s="729"/>
      <c r="F41" s="729"/>
      <c r="G41" s="729"/>
      <c r="L41" s="729"/>
      <c r="M41" s="729"/>
      <c r="N41" s="729"/>
    </row>
    <row r="42" spans="1:14" ht="20.100000000000001" customHeight="1">
      <c r="A42" s="729"/>
      <c r="B42" s="729"/>
      <c r="C42" s="729"/>
      <c r="D42" s="729"/>
      <c r="E42" s="729"/>
      <c r="F42" s="729"/>
      <c r="G42" s="729"/>
      <c r="L42" s="729"/>
      <c r="M42" s="729"/>
      <c r="N42" s="729"/>
    </row>
    <row r="43" spans="1:14" ht="20.100000000000001" customHeight="1">
      <c r="A43" s="729"/>
      <c r="B43" s="729"/>
      <c r="C43" s="729"/>
      <c r="D43" s="729"/>
      <c r="E43" s="729"/>
      <c r="F43" s="729"/>
      <c r="G43" s="729"/>
      <c r="L43" s="729"/>
      <c r="M43" s="729"/>
      <c r="N43" s="729"/>
    </row>
    <row r="44" spans="1:14" ht="20.100000000000001" customHeight="1">
      <c r="A44" s="729"/>
      <c r="B44" s="729"/>
      <c r="C44" s="729"/>
      <c r="D44" s="729"/>
      <c r="E44" s="729"/>
      <c r="F44" s="729"/>
      <c r="G44" s="729"/>
      <c r="L44" s="729"/>
      <c r="M44" s="729"/>
      <c r="N44" s="729"/>
    </row>
    <row r="45" spans="1:14" ht="20.100000000000001" customHeight="1">
      <c r="A45" s="729"/>
      <c r="B45" s="729"/>
      <c r="C45" s="729"/>
      <c r="D45" s="729"/>
      <c r="E45" s="729"/>
      <c r="F45" s="729"/>
      <c r="G45" s="729"/>
      <c r="L45" s="729"/>
      <c r="M45" s="729"/>
      <c r="N45" s="729"/>
    </row>
    <row r="46" spans="1:14" ht="20.100000000000001" customHeight="1">
      <c r="A46" s="729"/>
      <c r="B46" s="729"/>
      <c r="C46" s="729"/>
      <c r="D46" s="729"/>
      <c r="E46" s="729"/>
      <c r="F46" s="729"/>
      <c r="G46" s="729"/>
      <c r="L46" s="729"/>
      <c r="M46" s="729"/>
      <c r="N46" s="729"/>
    </row>
    <row r="47" spans="1:14" ht="20.100000000000001" customHeight="1">
      <c r="A47" s="729"/>
      <c r="B47" s="729"/>
      <c r="C47" s="729"/>
      <c r="D47" s="729"/>
      <c r="E47" s="729"/>
      <c r="F47" s="729"/>
      <c r="G47" s="729"/>
      <c r="L47" s="729"/>
      <c r="M47" s="729"/>
      <c r="N47" s="729"/>
    </row>
    <row r="48" spans="1:14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</sheetData>
  <mergeCells count="3">
    <mergeCell ref="C4:E5"/>
    <mergeCell ref="G4:I4"/>
    <mergeCell ref="G5:I5"/>
  </mergeCells>
  <pageMargins left="0.74803149606299202" right="0.17" top="0.74803149606299202" bottom="0.511811023622047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3"/>
  <sheetViews>
    <sheetView zoomScaleNormal="100" workbookViewId="0">
      <selection activeCell="L15" sqref="L15"/>
    </sheetView>
  </sheetViews>
  <sheetFormatPr defaultColWidth="8.7109375" defaultRowHeight="12.75"/>
  <cols>
    <col min="1" max="1" width="49.28515625" style="720" customWidth="1"/>
    <col min="2" max="2" width="9.7109375" style="720" customWidth="1"/>
    <col min="3" max="3" width="9.28515625" style="720" customWidth="1"/>
    <col min="4" max="4" width="22.140625" style="720" customWidth="1"/>
    <col min="5" max="16384" width="8.7109375" style="720"/>
  </cols>
  <sheetData>
    <row r="1" spans="1:4" s="718" customFormat="1" ht="20.100000000000001" customHeight="1">
      <c r="A1" s="717" t="s">
        <v>633</v>
      </c>
      <c r="B1" s="749"/>
      <c r="C1" s="749"/>
    </row>
    <row r="2" spans="1:4" ht="20.100000000000001" customHeight="1">
      <c r="A2" s="729"/>
      <c r="B2" s="729"/>
      <c r="C2" s="729"/>
    </row>
    <row r="3" spans="1:4" s="722" customFormat="1" ht="20.100000000000001" customHeight="1">
      <c r="A3" s="721"/>
      <c r="B3" s="750"/>
      <c r="C3" s="750"/>
      <c r="D3" s="776" t="s">
        <v>628</v>
      </c>
    </row>
    <row r="4" spans="1:4" s="722" customFormat="1" ht="15.95" customHeight="1">
      <c r="A4" s="751"/>
      <c r="B4" s="752" t="s">
        <v>36</v>
      </c>
      <c r="C4" s="752" t="s">
        <v>36</v>
      </c>
      <c r="D4" s="752" t="s">
        <v>604</v>
      </c>
    </row>
    <row r="5" spans="1:4" s="722" customFormat="1" ht="15.95" customHeight="1">
      <c r="A5" s="754"/>
      <c r="B5" s="756">
        <v>2024</v>
      </c>
      <c r="C5" s="756">
        <v>2025</v>
      </c>
      <c r="D5" s="756" t="s">
        <v>605</v>
      </c>
    </row>
    <row r="6" spans="1:4" s="722" customFormat="1" ht="20.100000000000001" customHeight="1">
      <c r="A6" s="721"/>
      <c r="B6" s="175"/>
      <c r="C6" s="175"/>
      <c r="D6" s="175"/>
    </row>
    <row r="7" spans="1:4" s="762" customFormat="1" ht="20.100000000000001" customHeight="1">
      <c r="A7" s="777" t="s">
        <v>265</v>
      </c>
      <c r="B7" s="778">
        <f>SUM(B8,B9,B14)</f>
        <v>76179</v>
      </c>
      <c r="C7" s="778">
        <f>SUM(C8,C9,C14)</f>
        <v>102327</v>
      </c>
      <c r="D7" s="779">
        <f>C7/B7*100</f>
        <v>134.32442011577993</v>
      </c>
    </row>
    <row r="8" spans="1:4" s="762" customFormat="1" ht="20.100000000000001" customHeight="1">
      <c r="A8" s="765" t="s">
        <v>618</v>
      </c>
      <c r="B8" s="780">
        <v>998</v>
      </c>
      <c r="C8" s="780">
        <v>1493</v>
      </c>
      <c r="D8" s="781">
        <f t="shared" ref="D8:D26" si="0">C8/B8*100</f>
        <v>149.59919839679358</v>
      </c>
    </row>
    <row r="9" spans="1:4" s="762" customFormat="1" ht="20.100000000000001" customHeight="1">
      <c r="A9" s="765" t="s">
        <v>619</v>
      </c>
      <c r="B9" s="780">
        <f>SUM(B10:B13)</f>
        <v>20428</v>
      </c>
      <c r="C9" s="780">
        <f>SUM(C10:C13)</f>
        <v>27672</v>
      </c>
      <c r="D9" s="781">
        <f t="shared" si="0"/>
        <v>135.46113177990992</v>
      </c>
    </row>
    <row r="10" spans="1:4" s="722" customFormat="1" ht="20.100000000000001" customHeight="1">
      <c r="A10" s="782" t="s">
        <v>92</v>
      </c>
      <c r="B10" s="783">
        <v>506</v>
      </c>
      <c r="C10" s="783">
        <v>732</v>
      </c>
      <c r="D10" s="784">
        <f t="shared" si="0"/>
        <v>144.66403162055337</v>
      </c>
    </row>
    <row r="11" spans="1:4" s="722" customFormat="1" ht="20.100000000000001" customHeight="1">
      <c r="A11" s="782" t="s">
        <v>98</v>
      </c>
      <c r="B11" s="783">
        <v>8807</v>
      </c>
      <c r="C11" s="783">
        <v>12387</v>
      </c>
      <c r="D11" s="784">
        <f t="shared" si="0"/>
        <v>140.64948336550472</v>
      </c>
    </row>
    <row r="12" spans="1:4" s="722" customFormat="1" ht="20.100000000000001" customHeight="1">
      <c r="A12" s="782" t="s">
        <v>620</v>
      </c>
      <c r="B12" s="783">
        <v>1216</v>
      </c>
      <c r="C12" s="783">
        <v>1754</v>
      </c>
      <c r="D12" s="784">
        <f t="shared" si="0"/>
        <v>144.24342105263156</v>
      </c>
    </row>
    <row r="13" spans="1:4" s="722" customFormat="1" ht="20.100000000000001" customHeight="1">
      <c r="A13" s="782" t="s">
        <v>621</v>
      </c>
      <c r="B13" s="783">
        <v>9899</v>
      </c>
      <c r="C13" s="783">
        <v>12799</v>
      </c>
      <c r="D13" s="784">
        <f t="shared" si="0"/>
        <v>129.2958884735832</v>
      </c>
    </row>
    <row r="14" spans="1:4" s="762" customFormat="1" ht="20.100000000000001" customHeight="1">
      <c r="A14" s="785" t="s">
        <v>491</v>
      </c>
      <c r="B14" s="780">
        <f>SUM(B15:B26)</f>
        <v>54753</v>
      </c>
      <c r="C14" s="780">
        <f>SUM(C15:C26)</f>
        <v>73162</v>
      </c>
      <c r="D14" s="781">
        <f t="shared" si="0"/>
        <v>133.62190199623765</v>
      </c>
    </row>
    <row r="15" spans="1:4" s="722" customFormat="1" ht="20.100000000000001" customHeight="1">
      <c r="A15" s="782" t="s">
        <v>622</v>
      </c>
      <c r="B15" s="783">
        <v>27796</v>
      </c>
      <c r="C15" s="783">
        <v>36450</v>
      </c>
      <c r="D15" s="784">
        <f t="shared" si="0"/>
        <v>131.13397611167073</v>
      </c>
    </row>
    <row r="16" spans="1:4" s="722" customFormat="1" ht="20.100000000000001" customHeight="1">
      <c r="A16" s="782" t="s">
        <v>492</v>
      </c>
      <c r="B16" s="783">
        <v>3771</v>
      </c>
      <c r="C16" s="783">
        <v>4815</v>
      </c>
      <c r="D16" s="784">
        <f t="shared" si="0"/>
        <v>127.68496420047732</v>
      </c>
    </row>
    <row r="17" spans="1:4" s="722" customFormat="1" ht="20.100000000000001" customHeight="1">
      <c r="A17" s="782" t="s">
        <v>493</v>
      </c>
      <c r="B17" s="783">
        <v>3816</v>
      </c>
      <c r="C17" s="783">
        <v>4985</v>
      </c>
      <c r="D17" s="784">
        <f t="shared" si="0"/>
        <v>130.63417190775681</v>
      </c>
    </row>
    <row r="18" spans="1:4" s="722" customFormat="1" ht="20.100000000000001" customHeight="1">
      <c r="A18" s="782" t="s">
        <v>494</v>
      </c>
      <c r="B18" s="783">
        <v>1679</v>
      </c>
      <c r="C18" s="783">
        <v>2279</v>
      </c>
      <c r="D18" s="784">
        <f t="shared" si="0"/>
        <v>135.7355568790947</v>
      </c>
    </row>
    <row r="19" spans="1:4" s="722" customFormat="1" ht="20.100000000000001" customHeight="1">
      <c r="A19" s="782" t="s">
        <v>623</v>
      </c>
      <c r="B19" s="783">
        <v>604</v>
      </c>
      <c r="C19" s="783">
        <v>907</v>
      </c>
      <c r="D19" s="784">
        <f t="shared" si="0"/>
        <v>150.16556291390728</v>
      </c>
    </row>
    <row r="20" spans="1:4" s="722" customFormat="1" ht="20.100000000000001" customHeight="1">
      <c r="A20" s="782" t="s">
        <v>624</v>
      </c>
      <c r="B20" s="783">
        <v>3227</v>
      </c>
      <c r="C20" s="783">
        <v>4230</v>
      </c>
      <c r="D20" s="784">
        <f t="shared" si="0"/>
        <v>131.08149984505732</v>
      </c>
    </row>
    <row r="21" spans="1:4" s="722" customFormat="1" ht="27.95" customHeight="1">
      <c r="A21" s="782" t="s">
        <v>629</v>
      </c>
      <c r="B21" s="783">
        <v>5666</v>
      </c>
      <c r="C21" s="783">
        <v>7800</v>
      </c>
      <c r="D21" s="784">
        <f t="shared" si="0"/>
        <v>137.66325450052946</v>
      </c>
    </row>
    <row r="22" spans="1:4" s="722" customFormat="1" ht="20.100000000000001" customHeight="1">
      <c r="A22" s="782" t="s">
        <v>495</v>
      </c>
      <c r="B22" s="783">
        <v>1653</v>
      </c>
      <c r="C22" s="783">
        <v>2613</v>
      </c>
      <c r="D22" s="784">
        <f t="shared" si="0"/>
        <v>158.07622504537204</v>
      </c>
    </row>
    <row r="23" spans="1:4" s="722" customFormat="1" ht="20.100000000000001" customHeight="1">
      <c r="A23" s="782" t="s">
        <v>496</v>
      </c>
      <c r="B23" s="783">
        <v>375</v>
      </c>
      <c r="C23" s="783">
        <v>595</v>
      </c>
      <c r="D23" s="784">
        <f t="shared" si="0"/>
        <v>158.66666666666666</v>
      </c>
    </row>
    <row r="24" spans="1:4" s="722" customFormat="1" ht="20.100000000000001" customHeight="1">
      <c r="A24" s="782" t="s">
        <v>497</v>
      </c>
      <c r="B24" s="783">
        <v>497</v>
      </c>
      <c r="C24" s="783">
        <v>724</v>
      </c>
      <c r="D24" s="784">
        <f t="shared" si="0"/>
        <v>145.67404426559355</v>
      </c>
    </row>
    <row r="25" spans="1:4" ht="27.95" customHeight="1">
      <c r="A25" s="782" t="s">
        <v>630</v>
      </c>
      <c r="B25" s="783">
        <v>3713</v>
      </c>
      <c r="C25" s="783">
        <v>5032</v>
      </c>
      <c r="D25" s="784">
        <f t="shared" si="0"/>
        <v>135.52383517371399</v>
      </c>
    </row>
    <row r="26" spans="1:4" ht="20.100000000000001" customHeight="1">
      <c r="A26" s="782" t="s">
        <v>627</v>
      </c>
      <c r="B26" s="783">
        <v>1956</v>
      </c>
      <c r="C26" s="783">
        <v>2732</v>
      </c>
      <c r="D26" s="784">
        <f t="shared" si="0"/>
        <v>139.67280163599182</v>
      </c>
    </row>
    <row r="27" spans="1:4" ht="20.100000000000001" customHeight="1">
      <c r="A27" s="729"/>
      <c r="B27" s="783"/>
      <c r="C27" s="729"/>
    </row>
    <row r="28" spans="1:4" ht="20.100000000000001" customHeight="1">
      <c r="A28" s="729"/>
      <c r="B28" s="783"/>
      <c r="C28" s="729"/>
    </row>
    <row r="29" spans="1:4" ht="20.100000000000001" customHeight="1">
      <c r="A29" s="729"/>
      <c r="B29" s="729"/>
      <c r="C29" s="729"/>
    </row>
    <row r="30" spans="1:4" ht="20.100000000000001" customHeight="1">
      <c r="A30" s="729"/>
      <c r="B30" s="729"/>
      <c r="C30" s="729"/>
    </row>
    <row r="31" spans="1:4" ht="20.100000000000001" customHeight="1">
      <c r="A31" s="729"/>
      <c r="B31" s="729"/>
      <c r="C31" s="729"/>
    </row>
    <row r="32" spans="1:4" ht="20.100000000000001" customHeight="1">
      <c r="A32" s="729"/>
      <c r="B32" s="729"/>
      <c r="C32" s="729"/>
    </row>
    <row r="33" spans="1:4" ht="20.100000000000001" customHeight="1">
      <c r="A33" s="729"/>
      <c r="B33" s="729"/>
      <c r="C33" s="729"/>
    </row>
    <row r="34" spans="1:4" ht="20.100000000000001" customHeight="1">
      <c r="A34" s="729"/>
      <c r="B34" s="729"/>
      <c r="C34" s="729"/>
    </row>
    <row r="35" spans="1:4" ht="20.100000000000001" customHeight="1">
      <c r="A35" s="729"/>
      <c r="B35" s="729"/>
      <c r="C35" s="729"/>
    </row>
    <row r="36" spans="1:4" ht="20.100000000000001" customHeight="1">
      <c r="A36" s="729"/>
      <c r="B36" s="729"/>
      <c r="C36" s="729"/>
    </row>
    <row r="37" spans="1:4" ht="20.100000000000001" customHeight="1">
      <c r="A37" s="729"/>
      <c r="B37" s="729"/>
      <c r="C37" s="729"/>
    </row>
    <row r="38" spans="1:4" ht="20.100000000000001" customHeight="1">
      <c r="A38" s="729"/>
      <c r="B38" s="729"/>
      <c r="C38" s="729"/>
    </row>
    <row r="39" spans="1:4" ht="20.100000000000001" customHeight="1">
      <c r="A39" s="729"/>
      <c r="B39" s="729"/>
      <c r="C39" s="729"/>
    </row>
    <row r="40" spans="1:4" ht="20.100000000000001" customHeight="1">
      <c r="A40" s="729"/>
      <c r="B40" s="729"/>
      <c r="C40" s="729"/>
    </row>
    <row r="41" spans="1:4" ht="20.100000000000001" customHeight="1">
      <c r="A41" s="729"/>
      <c r="B41" s="729"/>
      <c r="C41" s="729"/>
    </row>
    <row r="42" spans="1:4" ht="20.100000000000001" customHeight="1">
      <c r="A42" s="729"/>
      <c r="B42" s="729"/>
      <c r="C42" s="729"/>
    </row>
    <row r="43" spans="1:4" ht="20.100000000000001" customHeight="1">
      <c r="A43" s="729"/>
      <c r="B43" s="729"/>
      <c r="C43" s="729"/>
    </row>
    <row r="44" spans="1:4" ht="20.100000000000001" customHeight="1">
      <c r="A44" s="729"/>
      <c r="B44" s="729"/>
      <c r="C44" s="729"/>
      <c r="D44" s="729"/>
    </row>
    <row r="45" spans="1:4" ht="20.100000000000001" customHeight="1">
      <c r="A45" s="729"/>
      <c r="B45" s="729"/>
      <c r="C45" s="729"/>
      <c r="D45" s="729"/>
    </row>
    <row r="46" spans="1:4" ht="20.100000000000001" customHeight="1">
      <c r="A46" s="729"/>
      <c r="B46" s="729"/>
      <c r="C46" s="729"/>
      <c r="D46" s="729"/>
    </row>
    <row r="47" spans="1:4" ht="20.100000000000001" customHeight="1">
      <c r="A47" s="729"/>
      <c r="B47" s="729"/>
      <c r="C47" s="729"/>
      <c r="D47" s="729"/>
    </row>
    <row r="48" spans="1:4" ht="20.100000000000001" customHeight="1">
      <c r="A48" s="729"/>
      <c r="B48" s="729"/>
      <c r="C48" s="729"/>
      <c r="D48" s="729"/>
    </row>
    <row r="49" spans="1:4" ht="20.100000000000001" customHeight="1">
      <c r="A49" s="729"/>
      <c r="B49" s="729"/>
      <c r="C49" s="729"/>
      <c r="D49" s="729"/>
    </row>
    <row r="50" spans="1:4" ht="20.100000000000001" customHeight="1">
      <c r="A50" s="729"/>
      <c r="B50" s="729"/>
      <c r="C50" s="729"/>
      <c r="D50" s="729"/>
    </row>
    <row r="51" spans="1:4" ht="20.100000000000001" customHeight="1">
      <c r="A51" s="729"/>
      <c r="B51" s="729"/>
      <c r="C51" s="729"/>
      <c r="D51" s="729"/>
    </row>
    <row r="52" spans="1:4" ht="20.100000000000001" customHeight="1">
      <c r="A52" s="729"/>
      <c r="B52" s="729"/>
      <c r="C52" s="729"/>
      <c r="D52" s="729"/>
    </row>
    <row r="53" spans="1:4" ht="20.100000000000001" customHeight="1">
      <c r="A53" s="729"/>
      <c r="B53" s="729"/>
      <c r="C53" s="729"/>
      <c r="D53" s="729"/>
    </row>
    <row r="54" spans="1:4" ht="20.100000000000001" customHeight="1">
      <c r="A54" s="729"/>
      <c r="B54" s="729"/>
      <c r="C54" s="729"/>
      <c r="D54" s="729"/>
    </row>
    <row r="55" spans="1:4" ht="20.100000000000001" customHeight="1">
      <c r="A55" s="729"/>
      <c r="B55" s="729"/>
      <c r="C55" s="729"/>
      <c r="D55" s="729"/>
    </row>
    <row r="56" spans="1:4" ht="20.100000000000001" customHeight="1">
      <c r="A56" s="729"/>
      <c r="B56" s="729"/>
      <c r="C56" s="729"/>
      <c r="D56" s="729"/>
    </row>
    <row r="57" spans="1:4" ht="20.100000000000001" customHeight="1">
      <c r="A57" s="729"/>
      <c r="B57" s="729"/>
      <c r="C57" s="729"/>
      <c r="D57" s="729"/>
    </row>
    <row r="58" spans="1:4" ht="20.100000000000001" customHeight="1"/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</sheetData>
  <pageMargins left="0.74803149606299202" right="0.17" top="0.74803149606299202" bottom="0.511811023622047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5"/>
  <sheetViews>
    <sheetView workbookViewId="0">
      <selection activeCell="L15" sqref="L15"/>
    </sheetView>
  </sheetViews>
  <sheetFormatPr defaultColWidth="8.7109375" defaultRowHeight="12.75"/>
  <cols>
    <col min="1" max="1" width="46.5703125" style="720" customWidth="1"/>
    <col min="2" max="2" width="9.7109375" style="720" customWidth="1"/>
    <col min="3" max="3" width="9.28515625" style="720" customWidth="1"/>
    <col min="4" max="4" width="21.85546875" style="720" customWidth="1"/>
    <col min="5" max="16384" width="8.7109375" style="720"/>
  </cols>
  <sheetData>
    <row r="1" spans="1:4" s="718" customFormat="1" ht="20.100000000000001" customHeight="1">
      <c r="A1" s="717" t="s">
        <v>634</v>
      </c>
      <c r="B1" s="749"/>
      <c r="C1" s="749"/>
      <c r="D1" s="749"/>
    </row>
    <row r="2" spans="1:4" ht="20.100000000000001" customHeight="1">
      <c r="A2" s="729"/>
      <c r="B2" s="729"/>
      <c r="C2" s="729"/>
    </row>
    <row r="3" spans="1:4" s="722" customFormat="1" ht="15.95" customHeight="1">
      <c r="A3" s="721"/>
      <c r="B3" s="750"/>
      <c r="C3" s="750"/>
      <c r="D3" s="776" t="s">
        <v>628</v>
      </c>
    </row>
    <row r="4" spans="1:4" s="722" customFormat="1" ht="15.75" customHeight="1">
      <c r="A4" s="751"/>
      <c r="B4" s="752" t="s">
        <v>36</v>
      </c>
      <c r="C4" s="752" t="s">
        <v>36</v>
      </c>
      <c r="D4" s="752" t="s">
        <v>604</v>
      </c>
    </row>
    <row r="5" spans="1:4" s="722" customFormat="1" ht="15.75" customHeight="1">
      <c r="A5" s="754"/>
      <c r="B5" s="756">
        <v>2024</v>
      </c>
      <c r="C5" s="756">
        <v>2025</v>
      </c>
      <c r="D5" s="756" t="s">
        <v>605</v>
      </c>
    </row>
    <row r="6" spans="1:4" s="722" customFormat="1" ht="20.100000000000001" customHeight="1">
      <c r="A6" s="721"/>
      <c r="B6" s="175"/>
      <c r="C6" s="175"/>
      <c r="D6" s="175"/>
    </row>
    <row r="7" spans="1:4" s="762" customFormat="1" ht="20.100000000000001" customHeight="1">
      <c r="A7" s="777" t="s">
        <v>265</v>
      </c>
      <c r="B7" s="778">
        <f>B8+B9+B14</f>
        <v>100098</v>
      </c>
      <c r="C7" s="778">
        <f>C8+C9+C14</f>
        <v>114415</v>
      </c>
      <c r="D7" s="786">
        <f t="shared" ref="D7:D26" si="0">+C7/B7*100</f>
        <v>114.30298307658495</v>
      </c>
    </row>
    <row r="8" spans="1:4" s="762" customFormat="1" ht="20.100000000000001" customHeight="1">
      <c r="A8" s="765" t="s">
        <v>618</v>
      </c>
      <c r="B8" s="780">
        <v>1180</v>
      </c>
      <c r="C8" s="780">
        <v>1322</v>
      </c>
      <c r="D8" s="787">
        <f t="shared" si="0"/>
        <v>112.03389830508475</v>
      </c>
    </row>
    <row r="9" spans="1:4" s="762" customFormat="1" ht="20.100000000000001" customHeight="1">
      <c r="A9" s="765" t="s">
        <v>619</v>
      </c>
      <c r="B9" s="780">
        <f>SUM(B10:B13)</f>
        <v>25748</v>
      </c>
      <c r="C9" s="780">
        <f>SUM(C10:C13)</f>
        <v>29626</v>
      </c>
      <c r="D9" s="787">
        <f t="shared" si="0"/>
        <v>115.06136398943607</v>
      </c>
    </row>
    <row r="10" spans="1:4" s="722" customFormat="1" ht="20.100000000000001" customHeight="1">
      <c r="A10" s="782" t="s">
        <v>92</v>
      </c>
      <c r="B10" s="783">
        <v>546</v>
      </c>
      <c r="C10" s="783">
        <v>592</v>
      </c>
      <c r="D10" s="788">
        <f t="shared" si="0"/>
        <v>108.42490842490842</v>
      </c>
    </row>
    <row r="11" spans="1:4" s="722" customFormat="1" ht="19.5" customHeight="1">
      <c r="A11" s="782" t="s">
        <v>98</v>
      </c>
      <c r="B11" s="783">
        <v>11559</v>
      </c>
      <c r="C11" s="783">
        <v>13406</v>
      </c>
      <c r="D11" s="788">
        <f t="shared" si="0"/>
        <v>115.97889090751796</v>
      </c>
    </row>
    <row r="12" spans="1:4" s="722" customFormat="1" ht="19.5" customHeight="1">
      <c r="A12" s="782" t="s">
        <v>620</v>
      </c>
      <c r="B12" s="783">
        <v>682</v>
      </c>
      <c r="C12" s="783">
        <v>739</v>
      </c>
      <c r="D12" s="788">
        <f t="shared" si="0"/>
        <v>108.35777126099705</v>
      </c>
    </row>
    <row r="13" spans="1:4" s="722" customFormat="1" ht="20.100000000000001" customHeight="1">
      <c r="A13" s="782" t="s">
        <v>621</v>
      </c>
      <c r="B13" s="783">
        <v>12961</v>
      </c>
      <c r="C13" s="783">
        <v>14889</v>
      </c>
      <c r="D13" s="788">
        <f t="shared" si="0"/>
        <v>114.8753954170203</v>
      </c>
    </row>
    <row r="14" spans="1:4" s="762" customFormat="1" ht="20.100000000000001" customHeight="1">
      <c r="A14" s="785" t="s">
        <v>491</v>
      </c>
      <c r="B14" s="780">
        <f>SUM(B15:B26)</f>
        <v>73170</v>
      </c>
      <c r="C14" s="780">
        <f>SUM(C15:C26)</f>
        <v>83467</v>
      </c>
      <c r="D14" s="787">
        <f t="shared" si="0"/>
        <v>114.0727073937406</v>
      </c>
    </row>
    <row r="15" spans="1:4" s="722" customFormat="1" ht="20.100000000000001" customHeight="1">
      <c r="A15" s="782" t="s">
        <v>622</v>
      </c>
      <c r="B15" s="783">
        <v>39576</v>
      </c>
      <c r="C15" s="783">
        <v>44970</v>
      </c>
      <c r="D15" s="788">
        <f t="shared" si="0"/>
        <v>113.6294724075197</v>
      </c>
    </row>
    <row r="16" spans="1:4" s="722" customFormat="1" ht="20.100000000000001" customHeight="1">
      <c r="A16" s="782" t="s">
        <v>492</v>
      </c>
      <c r="B16" s="783">
        <v>5219</v>
      </c>
      <c r="C16" s="783">
        <v>5868</v>
      </c>
      <c r="D16" s="788">
        <f t="shared" si="0"/>
        <v>112.4353324391646</v>
      </c>
    </row>
    <row r="17" spans="1:4" s="722" customFormat="1" ht="20.100000000000001" customHeight="1">
      <c r="A17" s="782" t="s">
        <v>493</v>
      </c>
      <c r="B17" s="783">
        <v>4637</v>
      </c>
      <c r="C17" s="783">
        <v>4835</v>
      </c>
      <c r="D17" s="788">
        <f t="shared" si="0"/>
        <v>104.27000215656675</v>
      </c>
    </row>
    <row r="18" spans="1:4" s="722" customFormat="1" ht="20.100000000000001" customHeight="1">
      <c r="A18" s="782" t="s">
        <v>494</v>
      </c>
      <c r="B18" s="783">
        <v>2618</v>
      </c>
      <c r="C18" s="783">
        <v>3190</v>
      </c>
      <c r="D18" s="788">
        <f t="shared" si="0"/>
        <v>121.84873949579831</v>
      </c>
    </row>
    <row r="19" spans="1:4" s="722" customFormat="1" ht="21.75" customHeight="1">
      <c r="A19" s="782" t="s">
        <v>623</v>
      </c>
      <c r="B19" s="783">
        <v>823</v>
      </c>
      <c r="C19" s="783">
        <v>906</v>
      </c>
      <c r="D19" s="788">
        <f t="shared" si="0"/>
        <v>110.08505467800728</v>
      </c>
    </row>
    <row r="20" spans="1:4" s="722" customFormat="1" ht="20.100000000000001" customHeight="1">
      <c r="A20" s="782" t="s">
        <v>624</v>
      </c>
      <c r="B20" s="783">
        <v>4225</v>
      </c>
      <c r="C20" s="783">
        <v>4259</v>
      </c>
      <c r="D20" s="788">
        <f t="shared" si="0"/>
        <v>100.80473372781064</v>
      </c>
    </row>
    <row r="21" spans="1:4" s="722" customFormat="1" ht="30" customHeight="1">
      <c r="A21" s="782" t="s">
        <v>629</v>
      </c>
      <c r="B21" s="783">
        <v>7565</v>
      </c>
      <c r="C21" s="783">
        <v>8976</v>
      </c>
      <c r="D21" s="788">
        <f t="shared" si="0"/>
        <v>118.65168539325843</v>
      </c>
    </row>
    <row r="22" spans="1:4" s="722" customFormat="1" ht="20.100000000000001" customHeight="1">
      <c r="A22" s="782" t="s">
        <v>495</v>
      </c>
      <c r="B22" s="783">
        <v>2038</v>
      </c>
      <c r="C22" s="783">
        <v>2586</v>
      </c>
      <c r="D22" s="788">
        <f t="shared" si="0"/>
        <v>126.88910696761531</v>
      </c>
    </row>
    <row r="23" spans="1:4" s="722" customFormat="1" ht="21" customHeight="1">
      <c r="A23" s="782" t="s">
        <v>496</v>
      </c>
      <c r="B23" s="783">
        <v>424</v>
      </c>
      <c r="C23" s="783">
        <v>552</v>
      </c>
      <c r="D23" s="788">
        <f t="shared" si="0"/>
        <v>130.18867924528303</v>
      </c>
    </row>
    <row r="24" spans="1:4" s="722" customFormat="1" ht="20.100000000000001" customHeight="1">
      <c r="A24" s="782" t="s">
        <v>497</v>
      </c>
      <c r="B24" s="783">
        <v>553</v>
      </c>
      <c r="C24" s="783">
        <v>648</v>
      </c>
      <c r="D24" s="788">
        <f t="shared" si="0"/>
        <v>117.17902350813742</v>
      </c>
    </row>
    <row r="25" spans="1:4" ht="29.25" customHeight="1">
      <c r="A25" s="782" t="s">
        <v>630</v>
      </c>
      <c r="B25" s="783">
        <v>4848</v>
      </c>
      <c r="C25" s="783">
        <v>5847</v>
      </c>
      <c r="D25" s="788">
        <f t="shared" si="0"/>
        <v>120.60643564356435</v>
      </c>
    </row>
    <row r="26" spans="1:4" ht="20.100000000000001" customHeight="1">
      <c r="A26" s="782" t="s">
        <v>627</v>
      </c>
      <c r="B26" s="783">
        <v>644</v>
      </c>
      <c r="C26" s="783">
        <v>830</v>
      </c>
      <c r="D26" s="788">
        <f t="shared" si="0"/>
        <v>128.88198757763976</v>
      </c>
    </row>
    <row r="27" spans="1:4" ht="29.25" customHeight="1">
      <c r="A27" s="789"/>
      <c r="B27" s="783"/>
      <c r="C27" s="729"/>
      <c r="D27" s="729"/>
    </row>
    <row r="28" spans="1:4" ht="20.100000000000001" customHeight="1">
      <c r="A28" s="789"/>
      <c r="B28" s="729"/>
      <c r="C28" s="729"/>
      <c r="D28" s="729"/>
    </row>
    <row r="29" spans="1:4" ht="20.100000000000001" customHeight="1">
      <c r="A29" s="729"/>
      <c r="B29" s="729"/>
      <c r="C29" s="729"/>
    </row>
    <row r="30" spans="1:4" ht="20.100000000000001" customHeight="1">
      <c r="A30" s="729"/>
      <c r="B30" s="729"/>
      <c r="C30" s="729"/>
    </row>
    <row r="31" spans="1:4" ht="20.100000000000001" customHeight="1">
      <c r="A31" s="729"/>
      <c r="B31" s="729"/>
      <c r="C31" s="729"/>
    </row>
    <row r="32" spans="1:4" ht="20.100000000000001" customHeight="1">
      <c r="A32" s="729"/>
      <c r="B32" s="729"/>
      <c r="C32" s="729"/>
    </row>
    <row r="33" spans="1:3" ht="20.100000000000001" customHeight="1">
      <c r="A33" s="729"/>
      <c r="B33" s="729"/>
      <c r="C33" s="729"/>
    </row>
    <row r="34" spans="1:3" ht="20.100000000000001" customHeight="1">
      <c r="A34" s="729"/>
      <c r="B34" s="729"/>
      <c r="C34" s="729"/>
    </row>
    <row r="35" spans="1:3" ht="20.100000000000001" customHeight="1">
      <c r="A35" s="729"/>
      <c r="B35" s="729"/>
      <c r="C35" s="729"/>
    </row>
    <row r="36" spans="1:3" ht="20.100000000000001" customHeight="1">
      <c r="A36" s="729"/>
      <c r="B36" s="729"/>
      <c r="C36" s="729"/>
    </row>
    <row r="37" spans="1:3" ht="20.100000000000001" customHeight="1">
      <c r="A37" s="729"/>
      <c r="B37" s="729"/>
      <c r="C37" s="729"/>
    </row>
    <row r="38" spans="1:3" ht="20.100000000000001" customHeight="1">
      <c r="A38" s="729"/>
      <c r="B38" s="729"/>
      <c r="C38" s="729"/>
    </row>
    <row r="39" spans="1:3" ht="20.100000000000001" customHeight="1">
      <c r="A39" s="729"/>
      <c r="B39" s="729"/>
      <c r="C39" s="729"/>
    </row>
    <row r="40" spans="1:3" ht="20.100000000000001" customHeight="1">
      <c r="A40" s="729"/>
      <c r="B40" s="729"/>
      <c r="C40" s="729"/>
    </row>
    <row r="41" spans="1:3" ht="20.100000000000001" customHeight="1">
      <c r="A41" s="729"/>
      <c r="B41" s="729"/>
      <c r="C41" s="729"/>
    </row>
    <row r="42" spans="1:3" ht="20.100000000000001" customHeight="1">
      <c r="A42" s="729"/>
      <c r="B42" s="729"/>
      <c r="C42" s="729"/>
    </row>
    <row r="43" spans="1:3" ht="20.100000000000001" customHeight="1">
      <c r="A43" s="729"/>
      <c r="B43" s="729"/>
      <c r="C43" s="729"/>
    </row>
    <row r="44" spans="1:3" ht="20.100000000000001" customHeight="1">
      <c r="A44" s="729"/>
      <c r="B44" s="729"/>
      <c r="C44" s="729"/>
    </row>
    <row r="45" spans="1:3" ht="20.100000000000001" customHeight="1">
      <c r="A45" s="729"/>
      <c r="B45" s="729"/>
      <c r="C45" s="729"/>
    </row>
    <row r="46" spans="1:3" ht="20.100000000000001" customHeight="1">
      <c r="A46" s="729"/>
      <c r="B46" s="729"/>
      <c r="C46" s="729"/>
    </row>
    <row r="47" spans="1:3" ht="20.100000000000001" customHeight="1">
      <c r="A47" s="729"/>
      <c r="B47" s="729"/>
      <c r="C47" s="729"/>
    </row>
    <row r="48" spans="1:3" ht="20.100000000000001" customHeight="1">
      <c r="A48" s="729"/>
      <c r="B48" s="729"/>
      <c r="C48" s="729"/>
    </row>
    <row r="49" spans="1:3" ht="20.100000000000001" customHeight="1">
      <c r="A49" s="729"/>
      <c r="B49" s="729"/>
      <c r="C49" s="729"/>
    </row>
    <row r="50" spans="1:3" ht="20.100000000000001" customHeight="1">
      <c r="A50" s="729"/>
      <c r="B50" s="729"/>
      <c r="C50" s="729"/>
    </row>
    <row r="51" spans="1:3" ht="20.100000000000001" customHeight="1">
      <c r="A51" s="729"/>
      <c r="B51" s="729"/>
      <c r="C51" s="729"/>
    </row>
    <row r="52" spans="1:3" ht="20.100000000000001" customHeight="1">
      <c r="A52" s="729"/>
      <c r="B52" s="729"/>
      <c r="C52" s="729"/>
    </row>
    <row r="53" spans="1:3" ht="20.100000000000001" customHeight="1">
      <c r="A53" s="729"/>
      <c r="B53" s="729"/>
      <c r="C53" s="729"/>
    </row>
    <row r="54" spans="1:3" ht="20.100000000000001" customHeight="1">
      <c r="A54" s="729"/>
      <c r="B54" s="729"/>
      <c r="C54" s="729"/>
    </row>
    <row r="55" spans="1:3" ht="20.100000000000001" customHeight="1">
      <c r="A55" s="729"/>
      <c r="B55" s="729"/>
      <c r="C55" s="729"/>
    </row>
    <row r="56" spans="1:3" ht="20.100000000000001" customHeight="1">
      <c r="A56" s="729"/>
      <c r="B56" s="729"/>
      <c r="C56" s="729"/>
    </row>
    <row r="57" spans="1:3" ht="20.100000000000001" customHeight="1">
      <c r="A57" s="729"/>
      <c r="B57" s="729"/>
      <c r="C57" s="729"/>
    </row>
    <row r="58" spans="1:3" ht="20.100000000000001" customHeight="1">
      <c r="A58" s="729"/>
      <c r="B58" s="729"/>
      <c r="C58" s="729"/>
    </row>
    <row r="59" spans="1:3" ht="20.100000000000001" customHeight="1">
      <c r="A59" s="729"/>
      <c r="B59" s="729"/>
      <c r="C59" s="729"/>
    </row>
    <row r="60" spans="1:3" ht="20.100000000000001" customHeight="1"/>
    <row r="61" spans="1:3" ht="20.100000000000001" customHeight="1"/>
    <row r="62" spans="1:3" ht="20.100000000000001" customHeight="1"/>
    <row r="63" spans="1:3" ht="20.100000000000001" customHeight="1"/>
    <row r="64" spans="1:3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74803149606299202" right="0.17" top="0.74803149606299202" bottom="0.511811023622047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5"/>
  <sheetViews>
    <sheetView workbookViewId="0">
      <selection activeCell="L15" sqref="L15"/>
    </sheetView>
  </sheetViews>
  <sheetFormatPr defaultColWidth="8.7109375" defaultRowHeight="12.75"/>
  <cols>
    <col min="1" max="1" width="45" style="720" customWidth="1"/>
    <col min="2" max="2" width="9.7109375" style="720" customWidth="1"/>
    <col min="3" max="3" width="9.28515625" style="720" customWidth="1"/>
    <col min="4" max="4" width="22.140625" style="720" customWidth="1"/>
    <col min="5" max="5" width="10" style="720" hidden="1" customWidth="1"/>
    <col min="6" max="6" width="10.28515625" style="720" customWidth="1"/>
    <col min="7" max="9" width="5.5703125" style="720" customWidth="1"/>
    <col min="10" max="16384" width="8.7109375" style="720"/>
  </cols>
  <sheetData>
    <row r="1" spans="1:6" s="718" customFormat="1" ht="20.100000000000001" customHeight="1">
      <c r="A1" s="717" t="s">
        <v>635</v>
      </c>
      <c r="B1" s="749"/>
      <c r="C1" s="749"/>
    </row>
    <row r="2" spans="1:6" ht="20.100000000000001" customHeight="1">
      <c r="A2" s="729"/>
      <c r="B2" s="729"/>
      <c r="C2" s="729"/>
    </row>
    <row r="3" spans="1:6" s="722" customFormat="1" ht="15.95" customHeight="1">
      <c r="A3" s="721"/>
      <c r="B3" s="750"/>
      <c r="C3" s="750"/>
      <c r="D3" s="776" t="s">
        <v>628</v>
      </c>
    </row>
    <row r="4" spans="1:6" s="722" customFormat="1" ht="15.95" customHeight="1">
      <c r="A4" s="751"/>
      <c r="B4" s="752" t="s">
        <v>36</v>
      </c>
      <c r="C4" s="752" t="s">
        <v>36</v>
      </c>
      <c r="D4" s="752" t="s">
        <v>604</v>
      </c>
    </row>
    <row r="5" spans="1:6" s="722" customFormat="1" ht="15.95" customHeight="1">
      <c r="A5" s="754"/>
      <c r="B5" s="756">
        <v>2024</v>
      </c>
      <c r="C5" s="756">
        <v>2025</v>
      </c>
      <c r="D5" s="756" t="s">
        <v>605</v>
      </c>
    </row>
    <row r="6" spans="1:6" s="722" customFormat="1" ht="20.100000000000001" customHeight="1">
      <c r="A6" s="721"/>
      <c r="B6" s="175"/>
      <c r="C6" s="175"/>
      <c r="D6" s="175"/>
    </row>
    <row r="7" spans="1:6" s="762" customFormat="1" ht="20.100000000000001" customHeight="1">
      <c r="A7" s="777" t="s">
        <v>265</v>
      </c>
      <c r="B7" s="778">
        <f>B8+B9+B14</f>
        <v>21608</v>
      </c>
      <c r="C7" s="778">
        <f>C8+C9+C14</f>
        <v>35883</v>
      </c>
      <c r="D7" s="779">
        <f>C7/B7*100</f>
        <v>166.06349500185115</v>
      </c>
      <c r="E7" s="763">
        <f>+D7-100</f>
        <v>66.063495001851152</v>
      </c>
    </row>
    <row r="8" spans="1:6" s="762" customFormat="1" ht="20.100000000000001" customHeight="1">
      <c r="A8" s="765" t="s">
        <v>618</v>
      </c>
      <c r="B8" s="780">
        <v>434</v>
      </c>
      <c r="C8" s="780">
        <v>666</v>
      </c>
      <c r="D8" s="781">
        <f t="shared" ref="D8:D26" si="0">C8/B8*100</f>
        <v>153.45622119815667</v>
      </c>
      <c r="E8" s="763">
        <f t="shared" ref="E8:E26" si="1">+D8-100</f>
        <v>53.456221198156669</v>
      </c>
      <c r="F8" s="786"/>
    </row>
    <row r="9" spans="1:6" s="762" customFormat="1" ht="20.100000000000001" customHeight="1">
      <c r="A9" s="765" t="s">
        <v>619</v>
      </c>
      <c r="B9" s="780">
        <f>SUM(B10:B13)</f>
        <v>4166</v>
      </c>
      <c r="C9" s="780">
        <f>SUM(C10:C13)</f>
        <v>7250</v>
      </c>
      <c r="D9" s="781">
        <f t="shared" si="0"/>
        <v>174.02784445511281</v>
      </c>
      <c r="E9" s="763">
        <f t="shared" si="1"/>
        <v>74.027844455112813</v>
      </c>
      <c r="F9" s="778"/>
    </row>
    <row r="10" spans="1:6" s="722" customFormat="1" ht="20.100000000000001" customHeight="1">
      <c r="A10" s="782" t="s">
        <v>92</v>
      </c>
      <c r="B10" s="783">
        <v>149</v>
      </c>
      <c r="C10" s="783">
        <v>246</v>
      </c>
      <c r="D10" s="784">
        <f t="shared" si="0"/>
        <v>165.1006711409396</v>
      </c>
      <c r="E10" s="763">
        <f t="shared" si="1"/>
        <v>65.100671140939596</v>
      </c>
    </row>
    <row r="11" spans="1:6" s="722" customFormat="1" ht="19.5" customHeight="1">
      <c r="A11" s="782" t="s">
        <v>98</v>
      </c>
      <c r="B11" s="783">
        <v>2332</v>
      </c>
      <c r="C11" s="783">
        <v>3929</v>
      </c>
      <c r="D11" s="784">
        <f t="shared" si="0"/>
        <v>168.4819897084048</v>
      </c>
      <c r="E11" s="763">
        <f t="shared" si="1"/>
        <v>68.481989708404797</v>
      </c>
    </row>
    <row r="12" spans="1:6" s="722" customFormat="1" ht="19.5" customHeight="1">
      <c r="A12" s="782" t="s">
        <v>620</v>
      </c>
      <c r="B12" s="783">
        <v>243</v>
      </c>
      <c r="C12" s="783">
        <v>432</v>
      </c>
      <c r="D12" s="784">
        <f t="shared" si="0"/>
        <v>177.77777777777777</v>
      </c>
      <c r="E12" s="763">
        <f t="shared" si="1"/>
        <v>77.777777777777771</v>
      </c>
    </row>
    <row r="13" spans="1:6" s="722" customFormat="1" ht="20.100000000000001" customHeight="1">
      <c r="A13" s="782" t="s">
        <v>621</v>
      </c>
      <c r="B13" s="783">
        <v>1442</v>
      </c>
      <c r="C13" s="783">
        <v>2643</v>
      </c>
      <c r="D13" s="784">
        <f t="shared" si="0"/>
        <v>183.28710124826631</v>
      </c>
      <c r="E13" s="763">
        <f t="shared" si="1"/>
        <v>83.28710124826631</v>
      </c>
    </row>
    <row r="14" spans="1:6" s="762" customFormat="1" ht="20.100000000000001" customHeight="1">
      <c r="A14" s="785" t="s">
        <v>491</v>
      </c>
      <c r="B14" s="780">
        <f>SUM(B15:B26)</f>
        <v>17008</v>
      </c>
      <c r="C14" s="780">
        <f>SUM(C15:C26)</f>
        <v>27967</v>
      </c>
      <c r="D14" s="781">
        <f t="shared" si="0"/>
        <v>164.43438381937912</v>
      </c>
      <c r="E14" s="763">
        <f t="shared" si="1"/>
        <v>64.434383819379121</v>
      </c>
    </row>
    <row r="15" spans="1:6" s="722" customFormat="1" ht="20.100000000000001" customHeight="1">
      <c r="A15" s="782" t="s">
        <v>622</v>
      </c>
      <c r="B15" s="783">
        <v>8688</v>
      </c>
      <c r="C15" s="783">
        <v>13140</v>
      </c>
      <c r="D15" s="784">
        <f t="shared" si="0"/>
        <v>151.24309392265195</v>
      </c>
      <c r="E15" s="763">
        <f t="shared" si="1"/>
        <v>51.243093922651951</v>
      </c>
    </row>
    <row r="16" spans="1:6" s="722" customFormat="1" ht="20.100000000000001" customHeight="1">
      <c r="A16" s="782" t="s">
        <v>492</v>
      </c>
      <c r="B16" s="783">
        <v>829</v>
      </c>
      <c r="C16" s="783">
        <v>1402</v>
      </c>
      <c r="D16" s="784">
        <f t="shared" si="0"/>
        <v>169.11942098914355</v>
      </c>
      <c r="E16" s="763">
        <f t="shared" si="1"/>
        <v>69.119420989143549</v>
      </c>
    </row>
    <row r="17" spans="1:7" s="722" customFormat="1" ht="20.100000000000001" customHeight="1">
      <c r="A17" s="782" t="s">
        <v>493</v>
      </c>
      <c r="B17" s="783">
        <v>992</v>
      </c>
      <c r="C17" s="783">
        <v>1807</v>
      </c>
      <c r="D17" s="784">
        <f t="shared" si="0"/>
        <v>182.15725806451613</v>
      </c>
      <c r="E17" s="763">
        <f t="shared" si="1"/>
        <v>82.157258064516128</v>
      </c>
    </row>
    <row r="18" spans="1:7" s="722" customFormat="1" ht="20.100000000000001" customHeight="1">
      <c r="A18" s="782" t="s">
        <v>494</v>
      </c>
      <c r="B18" s="783">
        <v>740</v>
      </c>
      <c r="C18" s="783">
        <v>1259</v>
      </c>
      <c r="D18" s="784">
        <f t="shared" si="0"/>
        <v>170.13513513513513</v>
      </c>
      <c r="E18" s="763">
        <f t="shared" si="1"/>
        <v>70.13513513513513</v>
      </c>
    </row>
    <row r="19" spans="1:7" s="722" customFormat="1" ht="21.75" customHeight="1">
      <c r="A19" s="782" t="s">
        <v>623</v>
      </c>
      <c r="B19" s="783">
        <v>235</v>
      </c>
      <c r="C19" s="783">
        <v>390</v>
      </c>
      <c r="D19" s="784">
        <f t="shared" si="0"/>
        <v>165.95744680851064</v>
      </c>
      <c r="E19" s="763">
        <f t="shared" si="1"/>
        <v>65.957446808510639</v>
      </c>
    </row>
    <row r="20" spans="1:7" s="722" customFormat="1" ht="20.100000000000001" customHeight="1">
      <c r="A20" s="782" t="s">
        <v>624</v>
      </c>
      <c r="B20" s="783">
        <v>1290</v>
      </c>
      <c r="C20" s="783">
        <v>2092</v>
      </c>
      <c r="D20" s="784">
        <f t="shared" si="0"/>
        <v>162.1705426356589</v>
      </c>
      <c r="E20" s="763">
        <f t="shared" si="1"/>
        <v>62.170542635658904</v>
      </c>
    </row>
    <row r="21" spans="1:7" s="722" customFormat="1" ht="30" customHeight="1">
      <c r="A21" s="782" t="s">
        <v>629</v>
      </c>
      <c r="B21" s="783">
        <v>1500</v>
      </c>
      <c r="C21" s="783">
        <v>2510</v>
      </c>
      <c r="D21" s="784">
        <f t="shared" si="0"/>
        <v>167.33333333333334</v>
      </c>
      <c r="E21" s="763">
        <f t="shared" si="1"/>
        <v>67.333333333333343</v>
      </c>
    </row>
    <row r="22" spans="1:7" s="722" customFormat="1" ht="20.100000000000001" customHeight="1">
      <c r="A22" s="782" t="s">
        <v>495</v>
      </c>
      <c r="B22" s="783">
        <v>880</v>
      </c>
      <c r="C22" s="783">
        <v>2004</v>
      </c>
      <c r="D22" s="784">
        <f t="shared" si="0"/>
        <v>227.72727272727275</v>
      </c>
      <c r="E22" s="763">
        <f t="shared" si="1"/>
        <v>127.72727272727275</v>
      </c>
    </row>
    <row r="23" spans="1:7" s="722" customFormat="1" ht="21" customHeight="1">
      <c r="A23" s="782" t="s">
        <v>496</v>
      </c>
      <c r="B23" s="783">
        <v>245</v>
      </c>
      <c r="C23" s="783">
        <v>437</v>
      </c>
      <c r="D23" s="784">
        <f t="shared" si="0"/>
        <v>178.36734693877551</v>
      </c>
      <c r="E23" s="763">
        <f t="shared" si="1"/>
        <v>78.367346938775512</v>
      </c>
    </row>
    <row r="24" spans="1:7" s="722" customFormat="1" ht="20.100000000000001" customHeight="1">
      <c r="A24" s="782" t="s">
        <v>497</v>
      </c>
      <c r="B24" s="783">
        <v>183</v>
      </c>
      <c r="C24" s="783">
        <v>345</v>
      </c>
      <c r="D24" s="784">
        <f t="shared" si="0"/>
        <v>188.52459016393445</v>
      </c>
      <c r="E24" s="763">
        <f t="shared" si="1"/>
        <v>88.524590163934448</v>
      </c>
    </row>
    <row r="25" spans="1:7" ht="29.25" customHeight="1">
      <c r="A25" s="782" t="s">
        <v>630</v>
      </c>
      <c r="B25" s="783">
        <v>1136</v>
      </c>
      <c r="C25" s="783">
        <v>2072</v>
      </c>
      <c r="D25" s="784">
        <f t="shared" si="0"/>
        <v>182.3943661971831</v>
      </c>
      <c r="E25" s="763">
        <f t="shared" si="1"/>
        <v>82.394366197183103</v>
      </c>
    </row>
    <row r="26" spans="1:7" ht="20.100000000000001" customHeight="1">
      <c r="A26" s="782" t="s">
        <v>627</v>
      </c>
      <c r="B26" s="783">
        <v>290</v>
      </c>
      <c r="C26" s="783">
        <v>509</v>
      </c>
      <c r="D26" s="784">
        <f t="shared" si="0"/>
        <v>175.51724137931035</v>
      </c>
      <c r="E26" s="763">
        <f t="shared" si="1"/>
        <v>75.517241379310349</v>
      </c>
    </row>
    <row r="27" spans="1:7" ht="20.100000000000001" customHeight="1">
      <c r="A27" s="789"/>
      <c r="B27" s="783"/>
      <c r="C27" s="729"/>
      <c r="D27" s="729"/>
      <c r="E27" s="729"/>
      <c r="F27" s="729"/>
      <c r="G27" s="729"/>
    </row>
    <row r="28" spans="1:7" ht="20.100000000000001" customHeight="1">
      <c r="A28" s="729"/>
      <c r="B28" s="783"/>
      <c r="C28" s="729"/>
    </row>
    <row r="29" spans="1:7" ht="20.100000000000001" customHeight="1">
      <c r="A29" s="729"/>
      <c r="B29" s="783"/>
      <c r="C29" s="729"/>
    </row>
    <row r="30" spans="1:7" ht="20.100000000000001" customHeight="1">
      <c r="A30" s="729"/>
      <c r="B30" s="783"/>
      <c r="C30" s="729"/>
    </row>
    <row r="31" spans="1:7" ht="20.100000000000001" customHeight="1">
      <c r="A31" s="729"/>
      <c r="B31" s="783"/>
      <c r="C31" s="729"/>
    </row>
    <row r="32" spans="1:7" ht="20.100000000000001" customHeight="1">
      <c r="A32" s="729"/>
      <c r="B32" s="783"/>
      <c r="C32" s="729"/>
    </row>
    <row r="33" spans="1:3" ht="20.100000000000001" customHeight="1">
      <c r="A33" s="729"/>
      <c r="B33" s="783"/>
      <c r="C33" s="729"/>
    </row>
    <row r="34" spans="1:3" ht="20.100000000000001" customHeight="1">
      <c r="A34" s="729"/>
      <c r="B34" s="783"/>
      <c r="C34" s="729"/>
    </row>
    <row r="35" spans="1:3" ht="20.100000000000001" customHeight="1">
      <c r="A35" s="729"/>
      <c r="B35" s="783"/>
      <c r="C35" s="729"/>
    </row>
    <row r="36" spans="1:3" ht="20.100000000000001" customHeight="1">
      <c r="A36" s="729"/>
      <c r="B36" s="783"/>
      <c r="C36" s="729"/>
    </row>
    <row r="37" spans="1:3" ht="20.100000000000001" customHeight="1">
      <c r="A37" s="729"/>
      <c r="B37" s="783"/>
      <c r="C37" s="729"/>
    </row>
    <row r="38" spans="1:3" ht="20.100000000000001" customHeight="1">
      <c r="A38" s="729"/>
      <c r="B38" s="783"/>
      <c r="C38" s="729"/>
    </row>
    <row r="39" spans="1:3" ht="20.100000000000001" customHeight="1">
      <c r="A39" s="729"/>
      <c r="B39" s="783"/>
      <c r="C39" s="729"/>
    </row>
    <row r="40" spans="1:3" ht="20.100000000000001" customHeight="1">
      <c r="A40" s="729"/>
      <c r="B40" s="783"/>
      <c r="C40" s="729"/>
    </row>
    <row r="41" spans="1:3" ht="20.100000000000001" customHeight="1">
      <c r="A41" s="729"/>
      <c r="B41" s="783"/>
      <c r="C41" s="729"/>
    </row>
    <row r="42" spans="1:3" ht="20.100000000000001" customHeight="1">
      <c r="A42" s="729"/>
      <c r="B42" s="783"/>
      <c r="C42" s="729"/>
    </row>
    <row r="43" spans="1:3" ht="20.100000000000001" customHeight="1">
      <c r="A43" s="729"/>
      <c r="B43" s="783"/>
      <c r="C43" s="729"/>
    </row>
    <row r="44" spans="1:3" ht="20.100000000000001" customHeight="1">
      <c r="A44" s="729"/>
      <c r="B44" s="783"/>
      <c r="C44" s="729"/>
    </row>
    <row r="45" spans="1:3" ht="20.100000000000001" customHeight="1">
      <c r="A45" s="729"/>
      <c r="B45" s="783"/>
      <c r="C45" s="729"/>
    </row>
    <row r="46" spans="1:3" ht="20.100000000000001" customHeight="1">
      <c r="A46" s="729"/>
      <c r="B46" s="729"/>
      <c r="C46" s="729"/>
    </row>
    <row r="47" spans="1:3" ht="20.100000000000001" customHeight="1">
      <c r="A47" s="729"/>
      <c r="B47" s="729"/>
      <c r="C47" s="729"/>
    </row>
    <row r="48" spans="1:3" ht="20.100000000000001" customHeight="1">
      <c r="A48" s="729"/>
      <c r="B48" s="729"/>
      <c r="C48" s="729"/>
    </row>
    <row r="49" spans="1:3" ht="20.100000000000001" customHeight="1">
      <c r="A49" s="729"/>
      <c r="B49" s="729"/>
      <c r="C49" s="729"/>
    </row>
    <row r="50" spans="1:3" ht="20.100000000000001" customHeight="1">
      <c r="A50" s="729"/>
      <c r="B50" s="729"/>
      <c r="C50" s="729"/>
    </row>
    <row r="51" spans="1:3" ht="20.100000000000001" customHeight="1">
      <c r="A51" s="729"/>
      <c r="B51" s="729"/>
      <c r="C51" s="729"/>
    </row>
    <row r="52" spans="1:3" ht="20.100000000000001" customHeight="1">
      <c r="A52" s="729"/>
      <c r="B52" s="729"/>
      <c r="C52" s="729"/>
    </row>
    <row r="53" spans="1:3" ht="20.100000000000001" customHeight="1">
      <c r="A53" s="729"/>
      <c r="B53" s="729"/>
      <c r="C53" s="729"/>
    </row>
    <row r="54" spans="1:3" ht="20.100000000000001" customHeight="1">
      <c r="A54" s="729"/>
      <c r="B54" s="729"/>
      <c r="C54" s="729"/>
    </row>
    <row r="55" spans="1:3" ht="20.100000000000001" customHeight="1">
      <c r="A55" s="729"/>
      <c r="B55" s="729"/>
      <c r="C55" s="729"/>
    </row>
    <row r="56" spans="1:3" ht="20.100000000000001" customHeight="1">
      <c r="A56" s="729"/>
      <c r="B56" s="729"/>
      <c r="C56" s="729"/>
    </row>
    <row r="57" spans="1:3" ht="20.100000000000001" customHeight="1">
      <c r="A57" s="729"/>
      <c r="B57" s="729"/>
      <c r="C57" s="729"/>
    </row>
    <row r="58" spans="1:3" ht="20.100000000000001" customHeight="1">
      <c r="A58" s="729"/>
      <c r="B58" s="729"/>
      <c r="C58" s="729"/>
    </row>
    <row r="59" spans="1:3" ht="20.100000000000001" customHeight="1"/>
    <row r="60" spans="1:3" ht="20.100000000000001" customHeight="1"/>
    <row r="61" spans="1:3" ht="20.100000000000001" customHeight="1"/>
    <row r="62" spans="1:3" ht="20.100000000000001" customHeight="1"/>
    <row r="63" spans="1:3" ht="20.100000000000001" customHeight="1"/>
    <row r="64" spans="1:3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74803149606299202" right="0.17" top="0.74803149606299202" bottom="0.511811023622047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workbookViewId="0">
      <selection activeCell="L15" sqref="L15"/>
    </sheetView>
  </sheetViews>
  <sheetFormatPr defaultColWidth="10" defaultRowHeight="15"/>
  <cols>
    <col min="1" max="1" width="1.5703125" style="272" customWidth="1"/>
    <col min="2" max="2" width="35.42578125" style="272" customWidth="1"/>
    <col min="3" max="3" width="9" style="272" customWidth="1"/>
    <col min="4" max="4" width="8.28515625" style="272" customWidth="1"/>
    <col min="5" max="5" width="6.7109375" style="272" customWidth="1"/>
    <col min="6" max="7" width="8.7109375" style="272" customWidth="1"/>
    <col min="8" max="8" width="8" style="272" customWidth="1"/>
    <col min="9" max="16384" width="10" style="272"/>
  </cols>
  <sheetData>
    <row r="1" spans="1:9" ht="20.100000000000001" customHeight="1">
      <c r="A1" s="270" t="s">
        <v>262</v>
      </c>
      <c r="B1" s="271"/>
    </row>
    <row r="2" spans="1:9" ht="20.100000000000001" customHeight="1">
      <c r="A2" s="273"/>
      <c r="B2" s="273"/>
      <c r="C2" s="274"/>
      <c r="D2" s="274"/>
      <c r="E2" s="274"/>
      <c r="F2" s="274"/>
      <c r="G2" s="274"/>
    </row>
    <row r="3" spans="1:9" ht="20.100000000000001" customHeight="1">
      <c r="A3" s="275"/>
      <c r="B3" s="275"/>
      <c r="C3" s="275"/>
      <c r="D3" s="275"/>
      <c r="E3" s="275"/>
      <c r="F3" s="275"/>
      <c r="G3" s="275"/>
      <c r="H3" s="276" t="s">
        <v>263</v>
      </c>
    </row>
    <row r="4" spans="1:9" ht="16.149999999999999" customHeight="1">
      <c r="A4" s="277"/>
      <c r="B4" s="277"/>
      <c r="C4" s="278" t="s">
        <v>1</v>
      </c>
      <c r="D4" s="278" t="s">
        <v>142</v>
      </c>
      <c r="E4" s="278" t="s">
        <v>264</v>
      </c>
      <c r="F4" s="935" t="s">
        <v>35</v>
      </c>
      <c r="G4" s="935"/>
      <c r="H4" s="84" t="s">
        <v>36</v>
      </c>
    </row>
    <row r="5" spans="1:9" ht="16.149999999999999" customHeight="1">
      <c r="A5" s="279"/>
      <c r="B5" s="279"/>
      <c r="C5" s="280" t="s">
        <v>39</v>
      </c>
      <c r="D5" s="280" t="s">
        <v>195</v>
      </c>
      <c r="E5" s="280">
        <v>2025</v>
      </c>
      <c r="F5" s="936" t="s">
        <v>7</v>
      </c>
      <c r="G5" s="936"/>
      <c r="H5" s="87">
        <v>2025</v>
      </c>
    </row>
    <row r="6" spans="1:9" ht="16.149999999999999" customHeight="1">
      <c r="A6" s="279"/>
      <c r="B6" s="279"/>
      <c r="C6" s="87" t="s">
        <v>41</v>
      </c>
      <c r="D6" s="87" t="s">
        <v>41</v>
      </c>
      <c r="E6" s="87"/>
      <c r="F6" s="87" t="s">
        <v>42</v>
      </c>
      <c r="G6" s="87" t="s">
        <v>43</v>
      </c>
      <c r="H6" s="87" t="s">
        <v>44</v>
      </c>
    </row>
    <row r="7" spans="1:9" ht="16.149999999999999" customHeight="1">
      <c r="A7" s="279"/>
      <c r="B7" s="279"/>
      <c r="C7" s="87">
        <v>2025</v>
      </c>
      <c r="D7" s="87">
        <v>2025</v>
      </c>
      <c r="E7" s="87"/>
      <c r="F7" s="87" t="s">
        <v>41</v>
      </c>
      <c r="G7" s="87" t="s">
        <v>41</v>
      </c>
      <c r="H7" s="87" t="s">
        <v>41</v>
      </c>
    </row>
    <row r="8" spans="1:9" ht="16.149999999999999" customHeight="1">
      <c r="A8" s="279"/>
      <c r="B8" s="279"/>
      <c r="C8" s="90"/>
      <c r="D8" s="90"/>
      <c r="E8" s="90"/>
      <c r="F8" s="90">
        <v>2025</v>
      </c>
      <c r="G8" s="90">
        <v>2025</v>
      </c>
      <c r="H8" s="90" t="s">
        <v>66</v>
      </c>
    </row>
    <row r="9" spans="1:9" ht="20.100000000000001" customHeight="1">
      <c r="A9" s="279"/>
      <c r="B9" s="279"/>
      <c r="C9" s="87"/>
      <c r="D9" s="87"/>
      <c r="E9" s="87"/>
      <c r="F9" s="87"/>
      <c r="G9" s="87"/>
      <c r="H9" s="87"/>
    </row>
    <row r="10" spans="1:9" ht="20.100000000000001" customHeight="1">
      <c r="A10" s="281" t="s">
        <v>265</v>
      </c>
      <c r="B10" s="282"/>
      <c r="C10" s="283">
        <v>1102.8746675709067</v>
      </c>
      <c r="D10" s="283">
        <v>1445.9284197814695</v>
      </c>
      <c r="E10" s="284">
        <v>4150.5042111600642</v>
      </c>
      <c r="F10" s="284">
        <v>113.60191398836686</v>
      </c>
      <c r="G10" s="284">
        <v>112.7558651526831</v>
      </c>
      <c r="H10" s="284">
        <v>112.0936659431633</v>
      </c>
      <c r="I10" s="285"/>
    </row>
    <row r="11" spans="1:9" ht="20.100000000000001" customHeight="1">
      <c r="A11" s="286"/>
      <c r="B11" s="287" t="s">
        <v>266</v>
      </c>
      <c r="C11" s="288">
        <v>246.84895577</v>
      </c>
      <c r="D11" s="289">
        <v>302.03123400000004</v>
      </c>
      <c r="E11" s="290">
        <v>850.68741298000009</v>
      </c>
      <c r="F11" s="290">
        <v>131.77707205908803</v>
      </c>
      <c r="G11" s="290">
        <v>124.91768774131717</v>
      </c>
      <c r="H11" s="290">
        <v>126.58478376192078</v>
      </c>
      <c r="I11" s="285"/>
    </row>
    <row r="12" spans="1:9" ht="20.100000000000001" customHeight="1">
      <c r="A12" s="286"/>
      <c r="B12" s="287" t="s">
        <v>267</v>
      </c>
      <c r="C12" s="288">
        <v>12.1786708876667</v>
      </c>
      <c r="D12" s="288">
        <v>13.9753836567292</v>
      </c>
      <c r="E12" s="290">
        <v>46.480524795051117</v>
      </c>
      <c r="F12" s="290">
        <v>107.85158090542426</v>
      </c>
      <c r="G12" s="290">
        <v>110.1645654024681</v>
      </c>
      <c r="H12" s="290">
        <v>107.02400367269409</v>
      </c>
      <c r="I12" s="285"/>
    </row>
    <row r="13" spans="1:9" ht="34.9" customHeight="1">
      <c r="A13" s="286"/>
      <c r="B13" s="291" t="s">
        <v>268</v>
      </c>
      <c r="C13" s="288">
        <v>34.329087058337301</v>
      </c>
      <c r="D13" s="288">
        <v>52.328375649196701</v>
      </c>
      <c r="E13" s="290">
        <v>141.91364933959818</v>
      </c>
      <c r="F13" s="290">
        <v>107.33101737445649</v>
      </c>
      <c r="G13" s="290">
        <v>109.74375593386915</v>
      </c>
      <c r="H13" s="290">
        <v>107.19363195075013</v>
      </c>
      <c r="I13" s="285"/>
    </row>
    <row r="14" spans="1:9" ht="34.9" customHeight="1">
      <c r="A14" s="286"/>
      <c r="B14" s="292" t="s">
        <v>269</v>
      </c>
      <c r="C14" s="288">
        <v>18.5643786864829</v>
      </c>
      <c r="D14" s="288">
        <v>20.42397555925</v>
      </c>
      <c r="E14" s="290">
        <v>72.738518248480489</v>
      </c>
      <c r="F14" s="290">
        <v>108.36409650884811</v>
      </c>
      <c r="G14" s="290">
        <v>109.45479702487746</v>
      </c>
      <c r="H14" s="290">
        <v>106.73296881655243</v>
      </c>
      <c r="I14" s="285"/>
    </row>
    <row r="15" spans="1:9" ht="20.100000000000001" customHeight="1">
      <c r="A15" s="286"/>
      <c r="B15" s="286" t="s">
        <v>270</v>
      </c>
      <c r="C15" s="288">
        <v>584.67942568237095</v>
      </c>
      <c r="D15" s="288">
        <v>793.33425481567997</v>
      </c>
      <c r="E15" s="290">
        <v>2237.0867617435879</v>
      </c>
      <c r="F15" s="290">
        <v>108.64208337627608</v>
      </c>
      <c r="G15" s="290">
        <v>109.2070359955265</v>
      </c>
      <c r="H15" s="290">
        <v>108.39596482930057</v>
      </c>
      <c r="I15" s="285"/>
    </row>
    <row r="16" spans="1:9" ht="20.100000000000001" customHeight="1">
      <c r="A16" s="286"/>
      <c r="B16" s="286" t="s">
        <v>271</v>
      </c>
      <c r="C16" s="288">
        <v>174.94938823999999</v>
      </c>
      <c r="D16" s="288">
        <v>217.69992407804</v>
      </c>
      <c r="E16" s="290">
        <v>679.83961136032804</v>
      </c>
      <c r="F16" s="290">
        <v>112.18863750753438</v>
      </c>
      <c r="G16" s="290">
        <v>112.78311528833942</v>
      </c>
      <c r="H16" s="290">
        <v>111.70163786797215</v>
      </c>
      <c r="I16" s="285"/>
    </row>
    <row r="17" spans="1:9" ht="20.100000000000001" customHeight="1">
      <c r="A17" s="286"/>
      <c r="B17" s="286" t="s">
        <v>272</v>
      </c>
      <c r="C17" s="288">
        <v>31.324761246048897</v>
      </c>
      <c r="D17" s="288">
        <v>46.135272022573695</v>
      </c>
      <c r="E17" s="290">
        <v>121.7577326930184</v>
      </c>
      <c r="F17" s="290">
        <v>108.08891252824932</v>
      </c>
      <c r="G17" s="290">
        <v>109.67365805837326</v>
      </c>
      <c r="H17" s="290">
        <v>106.54334327355477</v>
      </c>
      <c r="I17" s="293"/>
    </row>
    <row r="18" spans="1:9" ht="20.100000000000001" customHeight="1">
      <c r="A18" s="286"/>
      <c r="B18" s="294"/>
      <c r="C18" s="288"/>
      <c r="D18" s="288"/>
      <c r="E18" s="288"/>
      <c r="I18" s="293"/>
    </row>
    <row r="19" spans="1:9" ht="20.100000000000001" customHeight="1">
      <c r="A19" s="286"/>
      <c r="B19" s="295"/>
      <c r="C19" s="296"/>
      <c r="H19" s="297"/>
    </row>
    <row r="20" spans="1:9" ht="20.100000000000001" customHeight="1">
      <c r="A20" s="286"/>
      <c r="B20" s="295"/>
      <c r="C20" s="298"/>
      <c r="H20" s="297"/>
    </row>
    <row r="21" spans="1:9" ht="20.100000000000001" customHeight="1">
      <c r="A21" s="286"/>
      <c r="B21" s="295"/>
      <c r="C21" s="298"/>
      <c r="H21" s="297"/>
    </row>
    <row r="22" spans="1:9" ht="20.100000000000001" customHeight="1">
      <c r="B22" s="299"/>
      <c r="C22" s="300"/>
      <c r="H22" s="301"/>
    </row>
    <row r="23" spans="1:9" ht="20.100000000000001" customHeight="1">
      <c r="A23" s="302"/>
      <c r="B23" s="303"/>
      <c r="C23" s="304"/>
      <c r="H23" s="301"/>
    </row>
    <row r="24" spans="1:9" ht="20.100000000000001" customHeight="1">
      <c r="A24" s="302"/>
      <c r="B24" s="303"/>
      <c r="C24" s="304"/>
      <c r="H24" s="301"/>
    </row>
    <row r="25" spans="1:9" ht="20.100000000000001" customHeight="1">
      <c r="A25" s="302"/>
      <c r="B25" s="303"/>
      <c r="C25" s="304"/>
      <c r="H25" s="301"/>
    </row>
    <row r="26" spans="1:9" ht="20.100000000000001" customHeight="1">
      <c r="A26" s="302"/>
      <c r="B26" s="303"/>
      <c r="C26" s="304"/>
      <c r="H26" s="301"/>
    </row>
    <row r="27" spans="1:9" ht="20.100000000000001" customHeight="1">
      <c r="A27" s="302"/>
      <c r="B27" s="303"/>
      <c r="C27" s="304"/>
      <c r="H27" s="301"/>
    </row>
    <row r="28" spans="1:9" ht="20.100000000000001" customHeight="1">
      <c r="A28" s="302"/>
      <c r="B28" s="303"/>
      <c r="C28" s="304"/>
      <c r="D28" s="304"/>
      <c r="E28" s="304"/>
      <c r="F28" s="304"/>
      <c r="G28" s="304"/>
      <c r="H28" s="301"/>
    </row>
    <row r="29" spans="1:9" ht="20.100000000000001" customHeight="1">
      <c r="A29" s="302"/>
      <c r="B29" s="303"/>
      <c r="C29" s="304"/>
      <c r="D29" s="304"/>
      <c r="E29" s="304"/>
      <c r="F29" s="304"/>
      <c r="G29" s="304"/>
      <c r="H29" s="301"/>
    </row>
    <row r="30" spans="1:9" ht="20.100000000000001" customHeight="1">
      <c r="A30" s="302"/>
      <c r="B30" s="303"/>
      <c r="C30" s="304"/>
      <c r="D30" s="304"/>
      <c r="E30" s="304"/>
      <c r="F30" s="304"/>
      <c r="G30" s="304"/>
      <c r="H30" s="301"/>
    </row>
    <row r="31" spans="1:9" ht="20.100000000000001" customHeight="1">
      <c r="A31" s="302"/>
      <c r="B31" s="303"/>
      <c r="C31" s="304"/>
      <c r="D31" s="304"/>
      <c r="E31" s="304"/>
      <c r="F31" s="304"/>
      <c r="G31" s="304"/>
      <c r="H31" s="301"/>
    </row>
    <row r="32" spans="1:9">
      <c r="A32" s="302"/>
      <c r="B32" s="303"/>
      <c r="C32" s="304"/>
      <c r="D32" s="304"/>
      <c r="E32" s="304"/>
      <c r="F32" s="304"/>
      <c r="G32" s="304"/>
      <c r="H32" s="301"/>
    </row>
    <row r="33" spans="1:8">
      <c r="A33" s="302"/>
      <c r="B33" s="303"/>
      <c r="C33" s="304"/>
      <c r="D33" s="304"/>
      <c r="E33" s="304"/>
      <c r="F33" s="304"/>
      <c r="G33" s="304"/>
      <c r="H33" s="301"/>
    </row>
    <row r="34" spans="1:8">
      <c r="A34" s="302"/>
      <c r="B34" s="303"/>
      <c r="C34" s="304"/>
      <c r="D34" s="304"/>
      <c r="E34" s="304"/>
      <c r="F34" s="304"/>
      <c r="G34" s="304"/>
      <c r="H34" s="301"/>
    </row>
    <row r="35" spans="1:8">
      <c r="A35" s="302"/>
      <c r="B35" s="303"/>
      <c r="C35" s="304"/>
      <c r="D35" s="304"/>
      <c r="E35" s="304"/>
      <c r="F35" s="304"/>
      <c r="G35" s="304"/>
      <c r="H35" s="301"/>
    </row>
    <row r="36" spans="1:8">
      <c r="A36" s="302"/>
      <c r="B36" s="303"/>
      <c r="C36" s="304"/>
      <c r="D36" s="304"/>
      <c r="E36" s="304"/>
      <c r="F36" s="304"/>
      <c r="G36" s="304"/>
      <c r="H36" s="301"/>
    </row>
    <row r="37" spans="1:8">
      <c r="A37" s="302"/>
      <c r="B37" s="303"/>
      <c r="C37" s="304"/>
      <c r="D37" s="304"/>
      <c r="E37" s="304"/>
      <c r="F37" s="304"/>
      <c r="G37" s="304"/>
      <c r="H37" s="301"/>
    </row>
    <row r="38" spans="1:8">
      <c r="A38" s="302"/>
      <c r="B38" s="303"/>
      <c r="C38" s="304"/>
      <c r="D38" s="304"/>
      <c r="E38" s="304"/>
      <c r="F38" s="304"/>
      <c r="G38" s="304"/>
      <c r="H38" s="301"/>
    </row>
    <row r="39" spans="1:8">
      <c r="A39" s="302"/>
      <c r="B39" s="303"/>
      <c r="C39" s="304"/>
      <c r="D39" s="304"/>
      <c r="E39" s="304"/>
      <c r="F39" s="304"/>
      <c r="G39" s="304"/>
      <c r="H39" s="301"/>
    </row>
    <row r="40" spans="1:8">
      <c r="A40" s="302"/>
      <c r="B40" s="303"/>
      <c r="C40" s="304"/>
      <c r="D40" s="304"/>
      <c r="E40" s="304"/>
      <c r="F40" s="304"/>
      <c r="G40" s="304"/>
      <c r="H40" s="301"/>
    </row>
    <row r="41" spans="1:8">
      <c r="A41" s="302"/>
      <c r="B41" s="303"/>
      <c r="C41" s="304"/>
      <c r="D41" s="304"/>
      <c r="E41" s="304"/>
      <c r="F41" s="304"/>
      <c r="G41" s="304"/>
      <c r="H41" s="301"/>
    </row>
    <row r="42" spans="1:8">
      <c r="A42" s="302"/>
      <c r="B42" s="303"/>
      <c r="C42" s="304"/>
      <c r="D42" s="304"/>
      <c r="E42" s="304"/>
      <c r="F42" s="304"/>
      <c r="G42" s="304"/>
      <c r="H42" s="301"/>
    </row>
    <row r="43" spans="1:8">
      <c r="A43" s="302"/>
      <c r="B43" s="303"/>
      <c r="C43" s="304"/>
      <c r="D43" s="304"/>
      <c r="E43" s="304"/>
      <c r="F43" s="304"/>
      <c r="G43" s="304"/>
      <c r="H43" s="301"/>
    </row>
    <row r="44" spans="1:8">
      <c r="A44" s="302"/>
    </row>
    <row r="45" spans="1:8">
      <c r="A45" s="302"/>
    </row>
    <row r="46" spans="1:8">
      <c r="A46" s="302"/>
    </row>
  </sheetData>
  <mergeCells count="2">
    <mergeCell ref="F4:G4"/>
    <mergeCell ref="F5:G5"/>
  </mergeCells>
  <pageMargins left="0.74803149606299202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3"/>
  <sheetViews>
    <sheetView workbookViewId="0">
      <selection activeCell="J12" sqref="J12"/>
    </sheetView>
  </sheetViews>
  <sheetFormatPr defaultColWidth="9" defaultRowHeight="15"/>
  <cols>
    <col min="1" max="1" width="2" style="272" customWidth="1"/>
    <col min="2" max="2" width="35.28515625" style="272" customWidth="1"/>
    <col min="3" max="3" width="8.7109375" style="272" bestFit="1" customWidth="1"/>
    <col min="4" max="4" width="10.28515625" style="272" customWidth="1"/>
    <col min="5" max="5" width="8.28515625" style="272" customWidth="1"/>
    <col min="6" max="6" width="10.28515625" style="272" customWidth="1"/>
    <col min="7" max="7" width="9.28515625" style="272" bestFit="1" customWidth="1"/>
    <col min="8" max="16384" width="9" style="272"/>
  </cols>
  <sheetData>
    <row r="1" spans="1:8" ht="20.100000000000001" customHeight="1">
      <c r="A1" s="270" t="s">
        <v>273</v>
      </c>
      <c r="B1" s="271"/>
    </row>
    <row r="2" spans="1:8" ht="16.149999999999999" customHeight="1">
      <c r="A2" s="273"/>
      <c r="B2" s="273"/>
      <c r="C2" s="274"/>
      <c r="D2" s="274"/>
      <c r="E2" s="274"/>
      <c r="F2" s="274"/>
    </row>
    <row r="3" spans="1:8" ht="16.149999999999999" customHeight="1">
      <c r="A3" s="275"/>
      <c r="B3" s="275"/>
      <c r="C3" s="275"/>
      <c r="D3" s="275"/>
      <c r="E3" s="275"/>
      <c r="G3" s="276" t="s">
        <v>274</v>
      </c>
    </row>
    <row r="4" spans="1:8" ht="16.149999999999999" customHeight="1">
      <c r="A4" s="277"/>
      <c r="B4" s="277"/>
      <c r="C4" s="278" t="s">
        <v>1</v>
      </c>
      <c r="D4" s="278" t="s">
        <v>131</v>
      </c>
      <c r="E4" s="278" t="s">
        <v>264</v>
      </c>
      <c r="F4" s="305" t="s">
        <v>86</v>
      </c>
      <c r="G4" s="305" t="s">
        <v>86</v>
      </c>
    </row>
    <row r="5" spans="1:8" ht="16.149999999999999" customHeight="1">
      <c r="A5" s="279"/>
      <c r="B5" s="279"/>
      <c r="C5" s="280" t="s">
        <v>144</v>
      </c>
      <c r="D5" s="280" t="s">
        <v>145</v>
      </c>
      <c r="E5" s="280">
        <v>2025</v>
      </c>
      <c r="F5" s="280" t="s">
        <v>44</v>
      </c>
      <c r="G5" s="280" t="s">
        <v>44</v>
      </c>
    </row>
    <row r="6" spans="1:8" ht="16.149999999999999" customHeight="1">
      <c r="A6" s="279"/>
      <c r="B6" s="279"/>
      <c r="C6" s="280" t="s">
        <v>41</v>
      </c>
      <c r="D6" s="280" t="s">
        <v>41</v>
      </c>
      <c r="E6" s="280"/>
      <c r="F6" s="280" t="s">
        <v>275</v>
      </c>
      <c r="G6" s="280" t="s">
        <v>88</v>
      </c>
    </row>
    <row r="7" spans="1:8" ht="16.149999999999999" customHeight="1">
      <c r="A7" s="279"/>
      <c r="B7" s="279"/>
      <c r="C7" s="90">
        <v>2025</v>
      </c>
      <c r="D7" s="90">
        <v>2025</v>
      </c>
      <c r="E7" s="306"/>
      <c r="F7" s="306" t="s">
        <v>276</v>
      </c>
      <c r="G7" s="306" t="s">
        <v>147</v>
      </c>
    </row>
    <row r="8" spans="1:8" ht="16.149999999999999" customHeight="1">
      <c r="A8" s="279"/>
      <c r="B8" s="279"/>
      <c r="E8" s="280"/>
      <c r="F8" s="280"/>
      <c r="G8" s="280"/>
      <c r="H8" s="285"/>
    </row>
    <row r="9" spans="1:8" ht="15.6" customHeight="1">
      <c r="A9" s="281" t="s">
        <v>265</v>
      </c>
      <c r="B9" s="282"/>
      <c r="C9" s="307">
        <v>100207.89899999999</v>
      </c>
      <c r="D9" s="307">
        <v>111538.149</v>
      </c>
      <c r="E9" s="308">
        <v>850687.41422000004</v>
      </c>
      <c r="F9" s="309">
        <v>83.59046162044416</v>
      </c>
      <c r="G9" s="309">
        <v>126.5847839464364</v>
      </c>
      <c r="H9" s="285"/>
    </row>
    <row r="10" spans="1:8" ht="15.6" customHeight="1">
      <c r="A10" s="286"/>
      <c r="B10" s="294" t="s">
        <v>277</v>
      </c>
      <c r="C10" s="310">
        <v>13302.51</v>
      </c>
      <c r="D10" s="311">
        <v>15608.44</v>
      </c>
      <c r="E10" s="312">
        <v>118391.87</v>
      </c>
      <c r="F10" s="313">
        <v>80.518813717011696</v>
      </c>
      <c r="G10" s="313">
        <v>106.1933163221007</v>
      </c>
      <c r="H10" s="285"/>
    </row>
    <row r="11" spans="1:8" ht="15.6" customHeight="1">
      <c r="A11" s="286"/>
      <c r="B11" s="314" t="s">
        <v>278</v>
      </c>
      <c r="C11" s="310"/>
      <c r="D11" s="311"/>
      <c r="E11" s="312"/>
      <c r="F11" s="313"/>
      <c r="G11" s="313"/>
      <c r="H11" s="285"/>
    </row>
    <row r="12" spans="1:8" ht="15.6" customHeight="1">
      <c r="A12" s="286"/>
      <c r="B12" s="315" t="s">
        <v>279</v>
      </c>
      <c r="C12" s="316">
        <v>7957.31</v>
      </c>
      <c r="D12" s="317">
        <v>9383.61</v>
      </c>
      <c r="E12" s="318">
        <v>71623.090000000011</v>
      </c>
      <c r="F12" s="319">
        <v>85.108318358920059</v>
      </c>
      <c r="G12" s="319">
        <v>101.126990648769</v>
      </c>
      <c r="H12" s="285"/>
    </row>
    <row r="13" spans="1:8" ht="15.6" customHeight="1">
      <c r="A13" s="286"/>
      <c r="B13" s="315" t="s">
        <v>280</v>
      </c>
      <c r="C13" s="316">
        <v>1729.71</v>
      </c>
      <c r="D13" s="317">
        <v>2001.52</v>
      </c>
      <c r="E13" s="318">
        <v>16967.170000000002</v>
      </c>
      <c r="F13" s="319">
        <v>78.619413013057553</v>
      </c>
      <c r="G13" s="319">
        <v>157.24041435728589</v>
      </c>
      <c r="H13" s="285"/>
    </row>
    <row r="14" spans="1:8" ht="15.6" customHeight="1">
      <c r="A14" s="286"/>
      <c r="B14" s="315" t="s">
        <v>281</v>
      </c>
      <c r="C14" s="316">
        <v>448.21000000000004</v>
      </c>
      <c r="D14" s="317">
        <v>568.91999999999996</v>
      </c>
      <c r="E14" s="318">
        <v>3598.4309999999996</v>
      </c>
      <c r="F14" s="320">
        <v>55.72077603333554</v>
      </c>
      <c r="G14" s="319">
        <v>289.69608900768031</v>
      </c>
      <c r="H14" s="285"/>
    </row>
    <row r="15" spans="1:8" ht="15.6" customHeight="1">
      <c r="A15" s="286"/>
      <c r="B15" s="315" t="s">
        <v>282</v>
      </c>
      <c r="C15" s="316">
        <v>239.61</v>
      </c>
      <c r="D15" s="317">
        <v>263.81</v>
      </c>
      <c r="E15" s="318">
        <v>1932.88</v>
      </c>
      <c r="F15" s="319">
        <v>66.099446002325436</v>
      </c>
      <c r="G15" s="319">
        <v>170.33981951494644</v>
      </c>
      <c r="H15" s="285"/>
    </row>
    <row r="16" spans="1:8" ht="15.6" customHeight="1">
      <c r="A16" s="286"/>
      <c r="B16" s="315" t="s">
        <v>283</v>
      </c>
      <c r="C16" s="316">
        <v>174.52</v>
      </c>
      <c r="D16" s="316">
        <v>224.31</v>
      </c>
      <c r="E16" s="321">
        <v>1229.0900000000001</v>
      </c>
      <c r="F16" s="320">
        <v>67.158690539678105</v>
      </c>
      <c r="G16" s="320">
        <v>173.60763874175464</v>
      </c>
      <c r="H16" s="285"/>
    </row>
    <row r="17" spans="1:8" ht="15.6" customHeight="1">
      <c r="A17" s="286"/>
      <c r="B17" s="315" t="s">
        <v>284</v>
      </c>
      <c r="C17" s="316">
        <v>43.8</v>
      </c>
      <c r="D17" s="317">
        <v>58.27</v>
      </c>
      <c r="E17" s="318">
        <v>432.9</v>
      </c>
      <c r="F17" s="319">
        <v>59.84720920394502</v>
      </c>
      <c r="G17" s="320">
        <v>73.268566786270412</v>
      </c>
      <c r="H17" s="285"/>
    </row>
    <row r="18" spans="1:8" ht="15.6" customHeight="1">
      <c r="A18" s="286"/>
      <c r="B18" s="315" t="s">
        <v>285</v>
      </c>
      <c r="C18" s="317">
        <v>49.52</v>
      </c>
      <c r="D18" s="317">
        <v>61.22</v>
      </c>
      <c r="E18" s="318">
        <v>312.642</v>
      </c>
      <c r="F18" s="319">
        <v>73.822330734393375</v>
      </c>
      <c r="G18" s="320">
        <v>53.270970710013785</v>
      </c>
      <c r="H18" s="285"/>
    </row>
    <row r="19" spans="1:8" ht="15.6" customHeight="1">
      <c r="A19" s="286"/>
      <c r="B19" s="294" t="s">
        <v>286</v>
      </c>
      <c r="C19" s="307">
        <v>86905.388999999996</v>
      </c>
      <c r="D19" s="307">
        <v>95929.709000000003</v>
      </c>
      <c r="E19" s="322">
        <v>732295.54422000004</v>
      </c>
      <c r="F19" s="323">
        <v>84.109205617504372</v>
      </c>
      <c r="G19" s="309">
        <v>130.64047187007731</v>
      </c>
      <c r="H19" s="285"/>
    </row>
    <row r="20" spans="1:8" ht="15.6" customHeight="1">
      <c r="A20" s="286"/>
      <c r="B20" s="324" t="s">
        <v>287</v>
      </c>
      <c r="C20" s="316">
        <v>72370.595000000001</v>
      </c>
      <c r="D20" s="316">
        <v>79446.339000000007</v>
      </c>
      <c r="E20" s="318">
        <v>600734.21427</v>
      </c>
      <c r="F20" s="319">
        <v>83.578971373352701</v>
      </c>
      <c r="G20" s="320">
        <v>136.26966200997637</v>
      </c>
      <c r="H20" s="285"/>
    </row>
    <row r="21" spans="1:8" ht="15.6" customHeight="1">
      <c r="A21" s="286"/>
      <c r="B21" s="324" t="s">
        <v>288</v>
      </c>
      <c r="C21" s="316">
        <v>14534.794</v>
      </c>
      <c r="D21" s="317">
        <v>16483.37</v>
      </c>
      <c r="E21" s="318">
        <v>131561.32994999998</v>
      </c>
      <c r="F21" s="319">
        <v>86.618404245717869</v>
      </c>
      <c r="G21" s="320">
        <v>109.90884049413114</v>
      </c>
      <c r="H21" s="285"/>
    </row>
    <row r="22" spans="1:8" ht="15.6" customHeight="1">
      <c r="B22" s="299" t="s">
        <v>289</v>
      </c>
      <c r="C22" s="301"/>
      <c r="D22" s="301"/>
      <c r="E22" s="325"/>
      <c r="F22" s="326"/>
      <c r="G22" s="326"/>
      <c r="H22" s="285"/>
    </row>
    <row r="23" spans="1:8" ht="15" customHeight="1">
      <c r="A23" s="302"/>
      <c r="B23" s="303" t="s">
        <v>256</v>
      </c>
      <c r="C23" s="327">
        <v>14395.249</v>
      </c>
      <c r="D23" s="327">
        <v>15175.526</v>
      </c>
      <c r="E23" s="328">
        <v>130669.80876999999</v>
      </c>
      <c r="F23" s="326">
        <v>85.654025004679752</v>
      </c>
      <c r="G23" s="326">
        <v>139.24852465561941</v>
      </c>
      <c r="H23" s="285"/>
    </row>
    <row r="24" spans="1:8" ht="15" customHeight="1">
      <c r="A24" s="302"/>
      <c r="B24" s="303" t="s">
        <v>228</v>
      </c>
      <c r="C24" s="327">
        <v>11005.939</v>
      </c>
      <c r="D24" s="327">
        <v>13154.991</v>
      </c>
      <c r="E24" s="328">
        <v>93423.611000000004</v>
      </c>
      <c r="F24" s="326">
        <v>89.340463259351324</v>
      </c>
      <c r="G24" s="326">
        <v>128.79773505625931</v>
      </c>
      <c r="H24" s="285"/>
    </row>
    <row r="25" spans="1:8" ht="15" customHeight="1">
      <c r="A25" s="302"/>
      <c r="B25" s="303" t="s">
        <v>233</v>
      </c>
      <c r="C25" s="327">
        <v>7575.4160000000002</v>
      </c>
      <c r="D25" s="327">
        <v>7936.1909999999998</v>
      </c>
      <c r="E25" s="328">
        <v>54045.894999999997</v>
      </c>
      <c r="F25" s="326">
        <v>70.542948249090884</v>
      </c>
      <c r="G25" s="326">
        <v>231.19865652469494</v>
      </c>
      <c r="H25" s="285"/>
    </row>
    <row r="26" spans="1:8" ht="15" customHeight="1">
      <c r="A26" s="302"/>
      <c r="B26" s="303" t="s">
        <v>232</v>
      </c>
      <c r="C26" s="327">
        <v>5244.63</v>
      </c>
      <c r="D26" s="327">
        <v>5546.5680000000002</v>
      </c>
      <c r="E26" s="328">
        <v>40935.941450000006</v>
      </c>
      <c r="F26" s="326">
        <v>75.958189925769034</v>
      </c>
      <c r="G26" s="326">
        <v>154.28697406915293</v>
      </c>
      <c r="H26" s="285"/>
    </row>
    <row r="27" spans="1:8" ht="15" customHeight="1">
      <c r="A27" s="302"/>
      <c r="B27" s="303" t="s">
        <v>231</v>
      </c>
      <c r="C27" s="327">
        <v>4062.5189999999998</v>
      </c>
      <c r="D27" s="327">
        <v>4465.9189999999999</v>
      </c>
      <c r="E27" s="328">
        <v>33530.337</v>
      </c>
      <c r="F27" s="326">
        <v>95.259501048930659</v>
      </c>
      <c r="G27" s="326">
        <v>115.75656842014412</v>
      </c>
      <c r="H27" s="285"/>
    </row>
    <row r="28" spans="1:8" ht="15" customHeight="1">
      <c r="A28" s="302"/>
      <c r="B28" s="303" t="s">
        <v>255</v>
      </c>
      <c r="C28" s="327">
        <v>3198.799</v>
      </c>
      <c r="D28" s="327">
        <v>3349.9720000000002</v>
      </c>
      <c r="E28" s="328">
        <v>26678.303</v>
      </c>
      <c r="F28" s="326">
        <v>90.653279981775768</v>
      </c>
      <c r="G28" s="326">
        <v>147.19200967997992</v>
      </c>
      <c r="H28" s="285"/>
    </row>
    <row r="29" spans="1:8" ht="15" customHeight="1">
      <c r="A29" s="302"/>
      <c r="B29" s="303" t="s">
        <v>260</v>
      </c>
      <c r="C29" s="327">
        <v>3284.7460000000001</v>
      </c>
      <c r="D29" s="327">
        <v>3576.538</v>
      </c>
      <c r="E29" s="328">
        <v>26134.875</v>
      </c>
      <c r="F29" s="326">
        <v>89.37466129542959</v>
      </c>
      <c r="G29" s="326">
        <v>119.85599326400134</v>
      </c>
      <c r="H29" s="285"/>
    </row>
    <row r="30" spans="1:8" ht="15" customHeight="1">
      <c r="A30" s="302"/>
      <c r="B30" s="303" t="s">
        <v>239</v>
      </c>
      <c r="C30" s="327">
        <v>2519.422</v>
      </c>
      <c r="D30" s="327">
        <v>2689.8980000000001</v>
      </c>
      <c r="E30" s="328">
        <v>24540.530999999999</v>
      </c>
      <c r="F30" s="326">
        <v>84.910328640495678</v>
      </c>
      <c r="G30" s="326">
        <v>109.6956913367713</v>
      </c>
      <c r="H30" s="285"/>
    </row>
    <row r="31" spans="1:8" ht="15" customHeight="1">
      <c r="A31" s="302"/>
      <c r="B31" s="303" t="s">
        <v>243</v>
      </c>
      <c r="C31" s="327">
        <v>3836.7919999999999</v>
      </c>
      <c r="D31" s="327">
        <v>4085.4679999999998</v>
      </c>
      <c r="E31" s="328">
        <v>20419.172999999999</v>
      </c>
      <c r="F31" s="326">
        <v>81.599238003287283</v>
      </c>
      <c r="G31" s="326">
        <v>158.71909127541318</v>
      </c>
      <c r="H31" s="285"/>
    </row>
    <row r="32" spans="1:8" ht="15" customHeight="1">
      <c r="A32" s="302"/>
      <c r="B32" s="303" t="s">
        <v>290</v>
      </c>
      <c r="C32" s="327">
        <v>2894.1419999999998</v>
      </c>
      <c r="D32" s="327">
        <v>3418.2750000000001</v>
      </c>
      <c r="E32" s="328">
        <v>19019.404999999999</v>
      </c>
      <c r="F32" s="326">
        <v>71.042062026366764</v>
      </c>
      <c r="G32" s="326">
        <v>128.02890043294241</v>
      </c>
      <c r="H32" s="285"/>
    </row>
    <row r="33" spans="1:8" ht="15" customHeight="1">
      <c r="A33" s="302"/>
      <c r="B33" s="303" t="s">
        <v>229</v>
      </c>
      <c r="C33" s="327">
        <v>2115.375</v>
      </c>
      <c r="D33" s="327">
        <v>2179.8429999999998</v>
      </c>
      <c r="E33" s="328">
        <v>17573.767</v>
      </c>
      <c r="F33" s="326">
        <v>86.522953159020801</v>
      </c>
      <c r="G33" s="326">
        <v>122.79341177430727</v>
      </c>
      <c r="H33" s="285"/>
    </row>
    <row r="34" spans="1:8" ht="15" customHeight="1">
      <c r="A34" s="302"/>
      <c r="B34" s="303" t="s">
        <v>254</v>
      </c>
      <c r="C34" s="327">
        <v>1799.2529999999999</v>
      </c>
      <c r="D34" s="327">
        <v>1877.105</v>
      </c>
      <c r="E34" s="328">
        <v>16692.939999999999</v>
      </c>
      <c r="F34" s="326">
        <v>98.785618400312259</v>
      </c>
      <c r="G34" s="326">
        <v>122.50282095810422</v>
      </c>
      <c r="H34" s="285"/>
    </row>
    <row r="35" spans="1:8" ht="15" customHeight="1">
      <c r="A35" s="302"/>
      <c r="B35" s="303" t="s">
        <v>291</v>
      </c>
      <c r="C35" s="327">
        <v>1733.614</v>
      </c>
      <c r="D35" s="327">
        <v>1857.56</v>
      </c>
      <c r="E35" s="328">
        <v>16367.319</v>
      </c>
      <c r="F35" s="326">
        <v>99.844559806744428</v>
      </c>
      <c r="G35" s="326">
        <v>131.75984802550039</v>
      </c>
      <c r="H35" s="285"/>
    </row>
    <row r="36" spans="1:8" ht="15" customHeight="1">
      <c r="A36" s="302"/>
      <c r="B36" s="303" t="s">
        <v>250</v>
      </c>
      <c r="C36" s="327">
        <v>1765.528</v>
      </c>
      <c r="D36" s="327">
        <v>2447.86</v>
      </c>
      <c r="E36" s="328">
        <v>16325.072</v>
      </c>
      <c r="F36" s="326">
        <v>86.157971487721795</v>
      </c>
      <c r="G36" s="326">
        <v>132.81195886483982</v>
      </c>
      <c r="H36" s="285"/>
    </row>
    <row r="37" spans="1:8" ht="15" customHeight="1">
      <c r="A37" s="302"/>
      <c r="B37" s="303" t="s">
        <v>257</v>
      </c>
      <c r="C37" s="327">
        <v>1887.422</v>
      </c>
      <c r="D37" s="327">
        <v>2039.633</v>
      </c>
      <c r="E37" s="328">
        <v>15816.823</v>
      </c>
      <c r="F37" s="326">
        <v>77.052434922189178</v>
      </c>
      <c r="G37" s="326">
        <v>127.02837887663958</v>
      </c>
      <c r="H37" s="285"/>
    </row>
    <row r="38" spans="1:8" ht="15" customHeight="1">
      <c r="A38" s="302"/>
      <c r="B38" s="303" t="s">
        <v>292</v>
      </c>
      <c r="C38" s="327">
        <v>1473.7239999999999</v>
      </c>
      <c r="D38" s="327">
        <v>1743.9359999999999</v>
      </c>
      <c r="E38" s="328">
        <v>15229.225</v>
      </c>
      <c r="F38" s="326">
        <v>86.908137874707705</v>
      </c>
      <c r="G38" s="326">
        <v>103.34401049588853</v>
      </c>
      <c r="H38" s="285"/>
    </row>
    <row r="39" spans="1:8" ht="15" customHeight="1">
      <c r="A39" s="302"/>
      <c r="B39" s="303" t="s">
        <v>253</v>
      </c>
      <c r="C39" s="327">
        <v>1671.364</v>
      </c>
      <c r="D39" s="327">
        <v>1768.1969999999999</v>
      </c>
      <c r="E39" s="328">
        <v>14411.494000000001</v>
      </c>
      <c r="F39" s="326">
        <v>90.738487496481184</v>
      </c>
      <c r="G39" s="326">
        <v>105.4099851453889</v>
      </c>
      <c r="H39" s="285"/>
    </row>
    <row r="40" spans="1:8" ht="15" customHeight="1">
      <c r="A40" s="302"/>
      <c r="B40" s="303" t="s">
        <v>230</v>
      </c>
      <c r="C40" s="327">
        <v>1363.684</v>
      </c>
      <c r="D40" s="327">
        <v>1387.4069999999999</v>
      </c>
      <c r="E40" s="328">
        <v>13355.558000000001</v>
      </c>
      <c r="F40" s="326">
        <v>80.186380064319337</v>
      </c>
      <c r="G40" s="326">
        <v>98.535908326995113</v>
      </c>
      <c r="H40" s="285"/>
    </row>
    <row r="41" spans="1:8" ht="15" customHeight="1">
      <c r="A41" s="302"/>
      <c r="B41" s="303" t="s">
        <v>237</v>
      </c>
      <c r="C41" s="327">
        <v>1135.0719999999999</v>
      </c>
      <c r="D41" s="327">
        <v>1301.915</v>
      </c>
      <c r="E41" s="328">
        <v>12754.932000000001</v>
      </c>
      <c r="F41" s="326">
        <v>94.451417982150033</v>
      </c>
      <c r="G41" s="326">
        <v>113.4328411303005</v>
      </c>
      <c r="H41" s="285"/>
    </row>
    <row r="42" spans="1:8" ht="15" customHeight="1">
      <c r="A42" s="302"/>
      <c r="B42" s="303" t="s">
        <v>251</v>
      </c>
      <c r="C42" s="327">
        <v>1332.883</v>
      </c>
      <c r="D42" s="327">
        <v>1678.2840000000001</v>
      </c>
      <c r="E42" s="328">
        <v>12624.346</v>
      </c>
      <c r="F42" s="326">
        <v>71.996747460421972</v>
      </c>
      <c r="G42" s="326">
        <v>124.0593334057255</v>
      </c>
      <c r="H42" s="285"/>
    </row>
    <row r="43" spans="1:8" ht="15" customHeight="1">
      <c r="A43" s="302"/>
      <c r="B43" s="303" t="s">
        <v>252</v>
      </c>
      <c r="C43" s="327">
        <v>1107.7149999999999</v>
      </c>
      <c r="D43" s="327">
        <v>1195.268</v>
      </c>
      <c r="E43" s="328">
        <v>12182.091</v>
      </c>
      <c r="F43" s="326">
        <v>78.965523075268635</v>
      </c>
      <c r="G43" s="326">
        <v>135.94651411726267</v>
      </c>
      <c r="H43" s="285"/>
    </row>
    <row r="44" spans="1:8" ht="15" customHeight="1">
      <c r="A44" s="302"/>
      <c r="B44" s="303" t="s">
        <v>236</v>
      </c>
      <c r="C44" s="327">
        <v>1226.838</v>
      </c>
      <c r="D44" s="327">
        <v>1305.085</v>
      </c>
      <c r="E44" s="328">
        <v>11394.976000000001</v>
      </c>
      <c r="F44" s="326">
        <v>92.488054852390547</v>
      </c>
      <c r="G44" s="326">
        <v>114.98573548240225</v>
      </c>
    </row>
    <row r="45" spans="1:8">
      <c r="A45" s="302"/>
    </row>
    <row r="46" spans="1:8">
      <c r="A46" s="302"/>
    </row>
    <row r="47" spans="1:8">
      <c r="A47" s="302"/>
    </row>
    <row r="48" spans="1:8">
      <c r="A48" s="302"/>
    </row>
    <row r="49" spans="1:1">
      <c r="A49" s="302"/>
    </row>
    <row r="50" spans="1:1">
      <c r="A50" s="302"/>
    </row>
    <row r="51" spans="1:1">
      <c r="A51" s="302"/>
    </row>
    <row r="52" spans="1:1">
      <c r="A52" s="302"/>
    </row>
    <row r="53" spans="1:1">
      <c r="A53" s="302"/>
    </row>
    <row r="54" spans="1:1">
      <c r="A54" s="302"/>
    </row>
    <row r="55" spans="1:1">
      <c r="A55" s="302"/>
    </row>
    <row r="56" spans="1:1">
      <c r="A56" s="302"/>
    </row>
    <row r="57" spans="1:1">
      <c r="A57" s="302"/>
    </row>
    <row r="58" spans="1:1">
      <c r="A58" s="302"/>
    </row>
    <row r="59" spans="1:1">
      <c r="A59" s="302"/>
    </row>
    <row r="60" spans="1:1">
      <c r="A60" s="302"/>
    </row>
    <row r="61" spans="1:1">
      <c r="A61" s="302"/>
    </row>
    <row r="62" spans="1:1">
      <c r="A62" s="302"/>
    </row>
    <row r="63" spans="1:1">
      <c r="A63" s="302"/>
    </row>
    <row r="64" spans="1:1">
      <c r="A64" s="302"/>
    </row>
    <row r="65" spans="1:6">
      <c r="A65" s="302"/>
    </row>
    <row r="66" spans="1:6">
      <c r="A66" s="302"/>
    </row>
    <row r="67" spans="1:6">
      <c r="A67" s="329"/>
      <c r="B67" s="329"/>
      <c r="C67" s="329"/>
      <c r="D67" s="329"/>
      <c r="E67" s="329"/>
      <c r="F67" s="329"/>
    </row>
    <row r="68" spans="1:6">
      <c r="A68" s="329"/>
      <c r="B68" s="329"/>
      <c r="C68" s="329"/>
      <c r="D68" s="329"/>
      <c r="E68" s="329"/>
      <c r="F68" s="329"/>
    </row>
    <row r="69" spans="1:6">
      <c r="A69" s="329"/>
      <c r="B69" s="329"/>
      <c r="C69" s="329"/>
      <c r="D69" s="329"/>
      <c r="E69" s="329"/>
      <c r="F69" s="329"/>
    </row>
    <row r="70" spans="1:6">
      <c r="A70" s="329"/>
      <c r="B70" s="329"/>
      <c r="C70" s="329"/>
      <c r="D70" s="329"/>
      <c r="E70" s="329"/>
      <c r="F70" s="329"/>
    </row>
    <row r="71" spans="1:6">
      <c r="A71" s="329"/>
      <c r="B71" s="329"/>
      <c r="C71" s="329"/>
      <c r="D71" s="329"/>
      <c r="E71" s="329"/>
      <c r="F71" s="329"/>
    </row>
    <row r="72" spans="1:6">
      <c r="A72" s="329"/>
      <c r="B72" s="329"/>
      <c r="C72" s="329"/>
      <c r="D72" s="329"/>
      <c r="E72" s="329"/>
      <c r="F72" s="329"/>
    </row>
    <row r="73" spans="1:6">
      <c r="A73" s="329"/>
      <c r="B73" s="329"/>
      <c r="C73" s="329"/>
      <c r="D73" s="329"/>
      <c r="E73" s="329"/>
      <c r="F73" s="329"/>
    </row>
  </sheetData>
  <pageMargins left="0.74803149606299202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2"/>
  <sheetViews>
    <sheetView workbookViewId="0">
      <selection activeCell="L15" sqref="L15"/>
    </sheetView>
  </sheetViews>
  <sheetFormatPr defaultColWidth="9" defaultRowHeight="15"/>
  <cols>
    <col min="1" max="1" width="2" style="272" customWidth="1"/>
    <col min="2" max="2" width="30.28515625" style="272" customWidth="1"/>
    <col min="3" max="5" width="9.28515625" style="272" customWidth="1"/>
    <col min="6" max="6" width="8.7109375" style="272" customWidth="1"/>
    <col min="7" max="8" width="9.28515625" style="272" customWidth="1"/>
    <col min="9" max="16384" width="9" style="272"/>
  </cols>
  <sheetData>
    <row r="1" spans="1:9" ht="20.100000000000001" customHeight="1">
      <c r="A1" s="270" t="s">
        <v>293</v>
      </c>
      <c r="B1" s="271"/>
    </row>
    <row r="2" spans="1:9" ht="16.149999999999999" customHeight="1">
      <c r="A2" s="273"/>
      <c r="B2" s="273"/>
      <c r="C2" s="274"/>
      <c r="D2" s="274"/>
      <c r="E2" s="274"/>
      <c r="F2" s="274"/>
    </row>
    <row r="3" spans="1:9" ht="16.149999999999999" customHeight="1">
      <c r="A3" s="275"/>
      <c r="B3" s="275"/>
      <c r="C3" s="275"/>
      <c r="D3" s="275"/>
      <c r="E3" s="275"/>
      <c r="H3" s="330" t="s">
        <v>274</v>
      </c>
    </row>
    <row r="4" spans="1:9" ht="16.149999999999999" customHeight="1">
      <c r="A4" s="277"/>
      <c r="B4" s="277"/>
      <c r="C4" s="174" t="s">
        <v>1</v>
      </c>
      <c r="D4" s="174" t="s">
        <v>1</v>
      </c>
      <c r="E4" s="174" t="s">
        <v>142</v>
      </c>
      <c r="F4" s="950" t="s">
        <v>194</v>
      </c>
      <c r="G4" s="950"/>
      <c r="H4" s="950"/>
    </row>
    <row r="5" spans="1:9" ht="16.149999999999999" customHeight="1">
      <c r="A5" s="279"/>
      <c r="B5" s="279"/>
      <c r="C5" s="175" t="s">
        <v>294</v>
      </c>
      <c r="D5" s="175" t="s">
        <v>39</v>
      </c>
      <c r="E5" s="175" t="s">
        <v>195</v>
      </c>
      <c r="F5" s="175" t="s">
        <v>295</v>
      </c>
      <c r="G5" s="175" t="s">
        <v>42</v>
      </c>
      <c r="H5" s="175" t="s">
        <v>43</v>
      </c>
    </row>
    <row r="6" spans="1:9" ht="16.149999999999999" customHeight="1">
      <c r="A6" s="279"/>
      <c r="B6" s="279"/>
      <c r="C6" s="90" t="s">
        <v>87</v>
      </c>
      <c r="D6" s="90" t="s">
        <v>87</v>
      </c>
      <c r="E6" s="90" t="s">
        <v>87</v>
      </c>
      <c r="F6" s="90" t="s">
        <v>87</v>
      </c>
      <c r="G6" s="90" t="s">
        <v>87</v>
      </c>
      <c r="H6" s="90" t="s">
        <v>87</v>
      </c>
    </row>
    <row r="7" spans="1:9" ht="9" customHeight="1">
      <c r="A7" s="279"/>
      <c r="B7" s="279"/>
      <c r="C7" s="87"/>
      <c r="D7" s="87"/>
      <c r="E7" s="87"/>
      <c r="F7" s="87"/>
      <c r="G7" s="87"/>
      <c r="H7" s="87"/>
    </row>
    <row r="8" spans="1:9" ht="16.149999999999999" customHeight="1">
      <c r="A8" s="281" t="s">
        <v>265</v>
      </c>
      <c r="B8" s="282"/>
      <c r="C8" s="307">
        <v>182942.46700999999</v>
      </c>
      <c r="D8" s="307">
        <v>246848.95577</v>
      </c>
      <c r="E8" s="307">
        <v>302031.23400000005</v>
      </c>
      <c r="F8" s="331">
        <v>125.86592425027933</v>
      </c>
      <c r="G8" s="331">
        <v>131.77707205908803</v>
      </c>
      <c r="H8" s="331">
        <v>124.91768774131717</v>
      </c>
    </row>
    <row r="9" spans="1:9" ht="20.100000000000001" customHeight="1">
      <c r="A9" s="286"/>
      <c r="B9" s="294" t="s">
        <v>277</v>
      </c>
      <c r="C9" s="310">
        <v>26583.239999999998</v>
      </c>
      <c r="D9" s="311">
        <v>34292.32</v>
      </c>
      <c r="E9" s="311">
        <v>40630.65</v>
      </c>
      <c r="F9" s="332">
        <v>105.22731555005247</v>
      </c>
      <c r="G9" s="332">
        <v>104.11406413283922</v>
      </c>
      <c r="H9" s="332">
        <v>108.19856662493778</v>
      </c>
      <c r="I9" s="285"/>
    </row>
    <row r="10" spans="1:9" ht="15.6" customHeight="1">
      <c r="A10" s="286"/>
      <c r="B10" s="314" t="s">
        <v>278</v>
      </c>
      <c r="C10" s="310"/>
      <c r="D10" s="311"/>
      <c r="E10" s="311"/>
      <c r="F10" s="332"/>
      <c r="G10" s="332"/>
      <c r="H10" s="332"/>
      <c r="I10" s="285"/>
    </row>
    <row r="11" spans="1:9" ht="15.6" customHeight="1">
      <c r="A11" s="286"/>
      <c r="B11" s="315" t="s">
        <v>279</v>
      </c>
      <c r="C11" s="316">
        <v>16617.559999999998</v>
      </c>
      <c r="D11" s="317">
        <v>20303.95</v>
      </c>
      <c r="E11" s="317">
        <v>24218.25</v>
      </c>
      <c r="F11" s="297">
        <v>103.48236275831577</v>
      </c>
      <c r="G11" s="297">
        <v>97.837630766117201</v>
      </c>
      <c r="H11" s="297">
        <v>102.23523824600285</v>
      </c>
      <c r="I11" s="285"/>
    </row>
    <row r="12" spans="1:9" ht="15.6" customHeight="1">
      <c r="A12" s="286"/>
      <c r="B12" s="315" t="s">
        <v>280</v>
      </c>
      <c r="C12" s="316">
        <v>4332.1499999999996</v>
      </c>
      <c r="D12" s="317">
        <v>4891.0600000000004</v>
      </c>
      <c r="E12" s="317">
        <v>5315.76</v>
      </c>
      <c r="F12" s="297">
        <v>148.18621833792264</v>
      </c>
      <c r="G12" s="297">
        <v>165.34794480536274</v>
      </c>
      <c r="H12" s="297">
        <v>154.66233732226559</v>
      </c>
      <c r="I12" s="285"/>
    </row>
    <row r="13" spans="1:9" ht="15.6" customHeight="1">
      <c r="A13" s="286"/>
      <c r="B13" s="315" t="s">
        <v>281</v>
      </c>
      <c r="C13" s="316">
        <v>693.36099999999999</v>
      </c>
      <c r="D13" s="316">
        <v>1019.45</v>
      </c>
      <c r="E13" s="316">
        <v>1460.35</v>
      </c>
      <c r="F13" s="333">
        <v>274.31595189112204</v>
      </c>
      <c r="G13" s="333">
        <v>270.6552328359794</v>
      </c>
      <c r="H13" s="333">
        <v>306.10811830548977</v>
      </c>
      <c r="I13" s="285"/>
    </row>
    <row r="14" spans="1:9" ht="15.6" customHeight="1">
      <c r="A14" s="286"/>
      <c r="B14" s="315" t="s">
        <v>296</v>
      </c>
      <c r="C14" s="316">
        <v>421.05999999999995</v>
      </c>
      <c r="D14" s="317">
        <v>576.27</v>
      </c>
      <c r="E14" s="317">
        <v>714.13000000000011</v>
      </c>
      <c r="F14" s="333">
        <v>164.71462660877049</v>
      </c>
      <c r="G14" s="297">
        <v>184.02950756849972</v>
      </c>
      <c r="H14" s="297">
        <v>168.67353205158489</v>
      </c>
      <c r="I14" s="285"/>
    </row>
    <row r="15" spans="1:9" ht="15.6" customHeight="1">
      <c r="A15" s="286"/>
      <c r="B15" s="315" t="s">
        <v>283</v>
      </c>
      <c r="C15" s="316">
        <v>177.23000000000002</v>
      </c>
      <c r="D15" s="317">
        <v>376.15999999999997</v>
      </c>
      <c r="E15" s="317">
        <v>554.65000000000009</v>
      </c>
      <c r="F15" s="297">
        <v>131.22316007700283</v>
      </c>
      <c r="G15" s="297">
        <v>171.16854750637057</v>
      </c>
      <c r="H15" s="297">
        <v>220.57186033563991</v>
      </c>
      <c r="I15" s="285"/>
    </row>
    <row r="16" spans="1:9" ht="15.6" customHeight="1">
      <c r="A16" s="286"/>
      <c r="B16" s="315" t="s">
        <v>285</v>
      </c>
      <c r="C16" s="316">
        <v>50.951999999999998</v>
      </c>
      <c r="D16" s="317">
        <v>73.58</v>
      </c>
      <c r="E16" s="317">
        <v>149.84</v>
      </c>
      <c r="F16" s="297">
        <v>38.226423587665991</v>
      </c>
      <c r="G16" s="297">
        <v>44.416274296752384</v>
      </c>
      <c r="H16" s="297">
        <v>76.85284915628047</v>
      </c>
      <c r="I16" s="285"/>
    </row>
    <row r="17" spans="1:9" ht="15.6" customHeight="1">
      <c r="A17" s="286"/>
      <c r="B17" s="315" t="s">
        <v>284</v>
      </c>
      <c r="C17" s="316">
        <v>100.37</v>
      </c>
      <c r="D17" s="317">
        <v>113.06</v>
      </c>
      <c r="E17" s="317">
        <v>142.9</v>
      </c>
      <c r="F17" s="297">
        <v>95.562262570098355</v>
      </c>
      <c r="G17" s="297">
        <v>56.445332001997009</v>
      </c>
      <c r="H17" s="297">
        <v>66.375586418319472</v>
      </c>
      <c r="I17" s="285"/>
    </row>
    <row r="18" spans="1:9" ht="15.6" customHeight="1">
      <c r="A18" s="286"/>
      <c r="B18" s="294" t="s">
        <v>286</v>
      </c>
      <c r="C18" s="310">
        <v>156359.22701</v>
      </c>
      <c r="D18" s="311">
        <v>212556.63576999999</v>
      </c>
      <c r="E18" s="311">
        <v>261400.58400000003</v>
      </c>
      <c r="F18" s="332">
        <v>130.20775793915044</v>
      </c>
      <c r="G18" s="332">
        <v>137.67880125181131</v>
      </c>
      <c r="H18" s="332">
        <v>127.99181143789546</v>
      </c>
      <c r="I18" s="285"/>
    </row>
    <row r="19" spans="1:9" ht="15.6" customHeight="1">
      <c r="A19" s="286"/>
      <c r="B19" s="324" t="s">
        <v>287</v>
      </c>
      <c r="C19" s="316">
        <v>126975.77468999999</v>
      </c>
      <c r="D19" s="317">
        <v>176425.71576999998</v>
      </c>
      <c r="E19" s="317">
        <v>217147.32900000006</v>
      </c>
      <c r="F19" s="297">
        <v>135.16435000092184</v>
      </c>
      <c r="G19" s="297">
        <v>145.96455942752803</v>
      </c>
      <c r="H19" s="297">
        <v>134.1033275889277</v>
      </c>
      <c r="I19" s="285"/>
    </row>
    <row r="20" spans="1:9" ht="15.6" customHeight="1">
      <c r="A20" s="286"/>
      <c r="B20" s="324" t="s">
        <v>288</v>
      </c>
      <c r="C20" s="316">
        <v>29383.45232</v>
      </c>
      <c r="D20" s="317">
        <v>36130.92</v>
      </c>
      <c r="E20" s="317">
        <v>44253.25499999999</v>
      </c>
      <c r="F20" s="297">
        <v>112.39659693298918</v>
      </c>
      <c r="G20" s="297">
        <v>107.79874525515227</v>
      </c>
      <c r="H20" s="297">
        <v>104.60059375202904</v>
      </c>
      <c r="I20" s="285"/>
    </row>
    <row r="21" spans="1:9" ht="15.6" customHeight="1">
      <c r="B21" s="299" t="s">
        <v>289</v>
      </c>
      <c r="C21" s="301"/>
      <c r="D21" s="301"/>
      <c r="E21" s="301"/>
      <c r="F21" s="301"/>
      <c r="G21" s="301"/>
      <c r="H21" s="301"/>
      <c r="I21" s="285"/>
    </row>
    <row r="22" spans="1:9" ht="15.6" customHeight="1">
      <c r="A22" s="302"/>
      <c r="B22" s="303" t="s">
        <v>228</v>
      </c>
      <c r="C22" s="327">
        <v>19397.816999999999</v>
      </c>
      <c r="D22" s="327">
        <v>25993.885999999999</v>
      </c>
      <c r="E22" s="327">
        <v>33827.074000000008</v>
      </c>
      <c r="F22" s="301">
        <v>135.2565987894985</v>
      </c>
      <c r="G22" s="301">
        <v>123.24732960972473</v>
      </c>
      <c r="H22" s="301">
        <v>124.54155410598364</v>
      </c>
      <c r="I22" s="285"/>
    </row>
    <row r="23" spans="1:9" ht="15.6" customHeight="1">
      <c r="A23" s="302"/>
      <c r="B23" s="303" t="s">
        <v>234</v>
      </c>
      <c r="C23" s="327">
        <v>1337.2460000000001</v>
      </c>
      <c r="D23" s="327">
        <v>2205.9589999999998</v>
      </c>
      <c r="E23" s="327">
        <v>2894.0480000000007</v>
      </c>
      <c r="F23" s="301">
        <v>152.61166733809534</v>
      </c>
      <c r="G23" s="301">
        <v>172.52385346931112</v>
      </c>
      <c r="H23" s="301">
        <v>146.23612447347787</v>
      </c>
      <c r="I23" s="285"/>
    </row>
    <row r="24" spans="1:9" ht="15.6" customHeight="1">
      <c r="A24" s="302"/>
      <c r="B24" s="303" t="s">
        <v>235</v>
      </c>
      <c r="C24" s="327">
        <v>2364.335</v>
      </c>
      <c r="D24" s="327">
        <v>2709.886</v>
      </c>
      <c r="E24" s="327">
        <v>3320.8669999999997</v>
      </c>
      <c r="F24" s="301">
        <v>91.668320908426864</v>
      </c>
      <c r="G24" s="301">
        <v>103.59239913269253</v>
      </c>
      <c r="H24" s="301">
        <v>94.699279960076993</v>
      </c>
      <c r="I24" s="285"/>
    </row>
    <row r="25" spans="1:9" ht="15.6" customHeight="1">
      <c r="A25" s="302"/>
      <c r="B25" s="303" t="s">
        <v>240</v>
      </c>
      <c r="C25" s="327">
        <v>845.18299999999999</v>
      </c>
      <c r="D25" s="327">
        <v>1031.7260000000001</v>
      </c>
      <c r="E25" s="327">
        <v>1391.7109999999998</v>
      </c>
      <c r="F25" s="301">
        <v>91.756014417231185</v>
      </c>
      <c r="G25" s="301">
        <v>107.59115349159273</v>
      </c>
      <c r="H25" s="301">
        <v>114.05045977944025</v>
      </c>
    </row>
    <row r="26" spans="1:9" ht="15.6" customHeight="1">
      <c r="A26" s="302"/>
      <c r="B26" s="303" t="s">
        <v>241</v>
      </c>
      <c r="C26" s="327">
        <v>581.14499999999998</v>
      </c>
      <c r="D26" s="327">
        <v>767.72900000000004</v>
      </c>
      <c r="E26" s="327">
        <v>1035.4479999999996</v>
      </c>
      <c r="F26" s="301">
        <v>89.941173648394539</v>
      </c>
      <c r="G26" s="301">
        <v>121.56170088115843</v>
      </c>
      <c r="H26" s="301">
        <v>149.37937794264556</v>
      </c>
    </row>
    <row r="27" spans="1:9" ht="15.6" customHeight="1">
      <c r="A27" s="302"/>
      <c r="B27" s="303" t="s">
        <v>242</v>
      </c>
      <c r="C27" s="327">
        <v>1045.739</v>
      </c>
      <c r="D27" s="327">
        <v>1291.17</v>
      </c>
      <c r="E27" s="327">
        <v>2051.0000000000005</v>
      </c>
      <c r="F27" s="301">
        <v>111.36967773541502</v>
      </c>
      <c r="G27" s="301">
        <v>119.43411777003033</v>
      </c>
      <c r="H27" s="301">
        <v>159.87640174421961</v>
      </c>
    </row>
    <row r="28" spans="1:9" ht="15.6" customHeight="1">
      <c r="A28" s="302"/>
      <c r="B28" s="303" t="s">
        <v>236</v>
      </c>
      <c r="C28" s="327">
        <v>2483.6080000000002</v>
      </c>
      <c r="D28" s="327">
        <v>3401.0390000000002</v>
      </c>
      <c r="E28" s="327">
        <v>3743.5020000000009</v>
      </c>
      <c r="F28" s="301">
        <v>113.60720467528095</v>
      </c>
      <c r="G28" s="301">
        <v>124.79210116520217</v>
      </c>
      <c r="H28" s="301">
        <v>112.14610411203164</v>
      </c>
    </row>
    <row r="29" spans="1:9" ht="15" customHeight="1">
      <c r="A29" s="302"/>
      <c r="B29" s="303" t="s">
        <v>237</v>
      </c>
      <c r="C29" s="327">
        <v>3617.6379999999999</v>
      </c>
      <c r="D29" s="327">
        <v>3963.2069999999999</v>
      </c>
      <c r="E29" s="327">
        <v>3463.284000000001</v>
      </c>
      <c r="F29" s="301">
        <v>181.54453756210168</v>
      </c>
      <c r="G29" s="301">
        <v>138.70529586467717</v>
      </c>
      <c r="H29" s="301">
        <v>70.603201163481231</v>
      </c>
    </row>
    <row r="30" spans="1:9" ht="15" customHeight="1">
      <c r="A30" s="302"/>
      <c r="B30" s="303" t="s">
        <v>238</v>
      </c>
      <c r="C30" s="327">
        <v>1235.1559999999999</v>
      </c>
      <c r="D30" s="327">
        <v>1870.3869999999999</v>
      </c>
      <c r="E30" s="327">
        <v>2293.652</v>
      </c>
      <c r="F30" s="301">
        <v>143.84206621955096</v>
      </c>
      <c r="G30" s="301">
        <v>166.3499260474097</v>
      </c>
      <c r="H30" s="301">
        <v>172.67328104167748</v>
      </c>
    </row>
    <row r="31" spans="1:9" ht="15" customHeight="1">
      <c r="A31" s="302"/>
      <c r="B31" s="303" t="s">
        <v>230</v>
      </c>
      <c r="C31" s="327">
        <v>3168.2660000000001</v>
      </c>
      <c r="D31" s="327">
        <v>3879.7429999999999</v>
      </c>
      <c r="E31" s="327">
        <v>4228.4130000000005</v>
      </c>
      <c r="F31" s="301">
        <v>110.1037035595471</v>
      </c>
      <c r="G31" s="301">
        <v>100.31886965207472</v>
      </c>
      <c r="H31" s="301">
        <v>97.403375521983179</v>
      </c>
    </row>
    <row r="32" spans="1:9" ht="15" customHeight="1">
      <c r="A32" s="302"/>
      <c r="B32" s="303" t="s">
        <v>297</v>
      </c>
      <c r="C32" s="327">
        <v>3545.6959999999999</v>
      </c>
      <c r="D32" s="327">
        <v>5233.1459999999997</v>
      </c>
      <c r="E32" s="327">
        <v>6175.9630000000006</v>
      </c>
      <c r="F32" s="301">
        <v>105.60002096694548</v>
      </c>
      <c r="G32" s="301">
        <v>139.22640380490117</v>
      </c>
      <c r="H32" s="301">
        <v>119.53068827521953</v>
      </c>
    </row>
    <row r="33" spans="1:8" ht="15" customHeight="1">
      <c r="A33" s="302"/>
      <c r="B33" s="303" t="s">
        <v>239</v>
      </c>
      <c r="C33" s="327">
        <v>5940.16</v>
      </c>
      <c r="D33" s="327">
        <v>6889.0649999999996</v>
      </c>
      <c r="E33" s="327">
        <v>7483.8300000000008</v>
      </c>
      <c r="F33" s="301">
        <v>108.45530574991172</v>
      </c>
      <c r="G33" s="301">
        <v>129.5092830716477</v>
      </c>
      <c r="H33" s="301">
        <v>92.173669286318955</v>
      </c>
    </row>
    <row r="34" spans="1:8" ht="15" customHeight="1">
      <c r="A34" s="302"/>
      <c r="B34" s="303" t="s">
        <v>231</v>
      </c>
      <c r="C34" s="327">
        <v>7169.7479999999996</v>
      </c>
      <c r="D34" s="327">
        <v>9648.1280000000006</v>
      </c>
      <c r="E34" s="327">
        <v>12271.402999999998</v>
      </c>
      <c r="F34" s="301">
        <v>139.48320919150783</v>
      </c>
      <c r="G34" s="301">
        <v>123.27660997908876</v>
      </c>
      <c r="H34" s="301">
        <v>95.274823629740538</v>
      </c>
    </row>
    <row r="35" spans="1:8" ht="15" customHeight="1">
      <c r="A35" s="302"/>
      <c r="B35" s="303" t="s">
        <v>232</v>
      </c>
      <c r="C35" s="327">
        <v>7689.5510100000001</v>
      </c>
      <c r="D35" s="327">
        <v>10934.073</v>
      </c>
      <c r="E35" s="327">
        <v>15812.644000000008</v>
      </c>
      <c r="F35" s="301">
        <v>132.27036695559138</v>
      </c>
      <c r="G35" s="301">
        <v>148.10194015767999</v>
      </c>
      <c r="H35" s="301">
        <v>169.43357251867673</v>
      </c>
    </row>
    <row r="36" spans="1:8" ht="15" customHeight="1">
      <c r="A36" s="302"/>
      <c r="B36" s="303" t="s">
        <v>233</v>
      </c>
      <c r="C36" s="327">
        <v>8732.5889999999999</v>
      </c>
      <c r="D36" s="327">
        <v>16980.965</v>
      </c>
      <c r="E36" s="327">
        <v>22456.413999999993</v>
      </c>
      <c r="F36" s="301">
        <v>176.50315691349704</v>
      </c>
      <c r="G36" s="301">
        <v>277.75071670497107</v>
      </c>
      <c r="H36" s="301">
        <v>258.01136603217054</v>
      </c>
    </row>
    <row r="37" spans="1:8" ht="15" customHeight="1">
      <c r="A37" s="302"/>
      <c r="B37" s="303" t="s">
        <v>243</v>
      </c>
      <c r="C37" s="327">
        <v>3446.3760000000002</v>
      </c>
      <c r="D37" s="327">
        <v>4665.7209999999995</v>
      </c>
      <c r="E37" s="327">
        <v>10005.385</v>
      </c>
      <c r="F37" s="301">
        <v>110.66837885302138</v>
      </c>
      <c r="G37" s="301">
        <v>113.89835928707959</v>
      </c>
      <c r="H37" s="301">
        <v>265.66274529379496</v>
      </c>
    </row>
    <row r="38" spans="1:8" ht="15" customHeight="1">
      <c r="A38" s="302"/>
      <c r="B38" s="303" t="s">
        <v>244</v>
      </c>
      <c r="C38" s="327">
        <v>2071.3310000000001</v>
      </c>
      <c r="D38" s="327">
        <v>2674.55</v>
      </c>
      <c r="E38" s="327">
        <v>3224.5009999999993</v>
      </c>
      <c r="F38" s="301">
        <v>98.429045946806454</v>
      </c>
      <c r="G38" s="301">
        <v>104.05493468724774</v>
      </c>
      <c r="H38" s="301">
        <v>98.063188012117294</v>
      </c>
    </row>
    <row r="39" spans="1:8" ht="15" customHeight="1">
      <c r="A39" s="302"/>
      <c r="B39" s="303" t="s">
        <v>245</v>
      </c>
      <c r="C39" s="327">
        <v>1693.165</v>
      </c>
      <c r="D39" s="327">
        <v>2847.835</v>
      </c>
      <c r="E39" s="327">
        <v>4266.3919999999998</v>
      </c>
      <c r="F39" s="301">
        <v>149.52810068362922</v>
      </c>
      <c r="G39" s="301">
        <v>135.77981607634626</v>
      </c>
      <c r="H39" s="301">
        <v>133.209565353958</v>
      </c>
    </row>
    <row r="40" spans="1:8" ht="15" customHeight="1">
      <c r="A40" s="302"/>
      <c r="B40" s="303" t="s">
        <v>246</v>
      </c>
      <c r="C40" s="327">
        <v>2088.86</v>
      </c>
      <c r="D40" s="327">
        <v>3385.857</v>
      </c>
      <c r="E40" s="327">
        <v>3513.8819999999996</v>
      </c>
      <c r="F40" s="301">
        <v>123.26901355754967</v>
      </c>
      <c r="G40" s="301">
        <v>163.89949138668408</v>
      </c>
      <c r="H40" s="301">
        <v>142.46886480450823</v>
      </c>
    </row>
    <row r="41" spans="1:8" ht="15" customHeight="1">
      <c r="A41" s="302"/>
      <c r="B41" s="303" t="s">
        <v>298</v>
      </c>
      <c r="C41" s="327">
        <v>1311.154</v>
      </c>
      <c r="D41" s="327">
        <v>2139.4949999999999</v>
      </c>
      <c r="E41" s="327">
        <v>1613.9029999999998</v>
      </c>
      <c r="F41" s="301">
        <v>84.154173389865974</v>
      </c>
      <c r="G41" s="301">
        <v>93.484554803618607</v>
      </c>
      <c r="H41" s="301">
        <v>56.832653342939821</v>
      </c>
    </row>
    <row r="42" spans="1:8" ht="15" customHeight="1">
      <c r="A42" s="302"/>
      <c r="B42" s="303" t="s">
        <v>292</v>
      </c>
      <c r="C42" s="327">
        <v>3476.3870000000002</v>
      </c>
      <c r="D42" s="327">
        <v>4329.8860000000004</v>
      </c>
      <c r="E42" s="327">
        <v>4445.4470000000001</v>
      </c>
      <c r="F42" s="301">
        <v>105.34582675752793</v>
      </c>
      <c r="G42" s="301">
        <v>99.276978598713271</v>
      </c>
      <c r="H42" s="301">
        <v>93.527299335738931</v>
      </c>
    </row>
    <row r="43" spans="1:8" ht="15" customHeight="1">
      <c r="A43" s="302"/>
      <c r="B43" s="303" t="s">
        <v>249</v>
      </c>
      <c r="C43" s="327">
        <v>2041.2919999999999</v>
      </c>
      <c r="D43" s="327">
        <v>2466.509</v>
      </c>
      <c r="E43" s="327">
        <v>2283.4560000000001</v>
      </c>
      <c r="F43" s="301">
        <v>102.5128888629979</v>
      </c>
      <c r="G43" s="301">
        <v>102.87494056506978</v>
      </c>
      <c r="H43" s="301">
        <v>81.049608214226382</v>
      </c>
    </row>
    <row r="44" spans="1:8" ht="15" customHeight="1">
      <c r="A44" s="302"/>
    </row>
    <row r="45" spans="1:8">
      <c r="A45" s="302"/>
    </row>
    <row r="46" spans="1:8">
      <c r="A46" s="302"/>
    </row>
    <row r="47" spans="1:8">
      <c r="A47" s="302"/>
    </row>
    <row r="48" spans="1:8">
      <c r="A48" s="302"/>
    </row>
    <row r="49" spans="1:1">
      <c r="A49" s="302"/>
    </row>
    <row r="50" spans="1:1">
      <c r="A50" s="302"/>
    </row>
    <row r="51" spans="1:1">
      <c r="A51" s="302"/>
    </row>
    <row r="52" spans="1:1">
      <c r="A52" s="302"/>
    </row>
    <row r="53" spans="1:1">
      <c r="A53" s="302"/>
    </row>
    <row r="54" spans="1:1">
      <c r="A54" s="302"/>
    </row>
    <row r="55" spans="1:1">
      <c r="A55" s="302"/>
    </row>
    <row r="56" spans="1:1">
      <c r="A56" s="302"/>
    </row>
    <row r="57" spans="1:1">
      <c r="A57" s="302"/>
    </row>
    <row r="58" spans="1:1">
      <c r="A58" s="302"/>
    </row>
    <row r="59" spans="1:1">
      <c r="A59" s="302"/>
    </row>
    <row r="60" spans="1:1">
      <c r="A60" s="302"/>
    </row>
    <row r="61" spans="1:1">
      <c r="A61" s="302"/>
    </row>
    <row r="62" spans="1:1">
      <c r="A62" s="302"/>
    </row>
    <row r="63" spans="1:1">
      <c r="A63" s="302"/>
    </row>
    <row r="64" spans="1:1">
      <c r="A64" s="302"/>
    </row>
    <row r="65" spans="1:6">
      <c r="A65" s="302"/>
    </row>
    <row r="66" spans="1:6">
      <c r="A66" s="329"/>
      <c r="B66" s="329"/>
      <c r="C66" s="329"/>
      <c r="D66" s="329"/>
      <c r="E66" s="329"/>
      <c r="F66" s="329"/>
    </row>
    <row r="67" spans="1:6">
      <c r="A67" s="329"/>
      <c r="B67" s="329"/>
      <c r="C67" s="329"/>
      <c r="D67" s="329"/>
      <c r="E67" s="329"/>
      <c r="F67" s="329"/>
    </row>
    <row r="68" spans="1:6">
      <c r="A68" s="329"/>
      <c r="B68" s="329"/>
      <c r="C68" s="329"/>
      <c r="D68" s="329"/>
      <c r="E68" s="329"/>
      <c r="F68" s="329"/>
    </row>
    <row r="69" spans="1:6">
      <c r="A69" s="329"/>
      <c r="B69" s="329"/>
      <c r="C69" s="329"/>
      <c r="D69" s="329"/>
      <c r="E69" s="329"/>
      <c r="F69" s="329"/>
    </row>
    <row r="70" spans="1:6">
      <c r="A70" s="329"/>
      <c r="B70" s="329"/>
      <c r="C70" s="329"/>
      <c r="D70" s="329"/>
      <c r="E70" s="329"/>
      <c r="F70" s="329"/>
    </row>
    <row r="71" spans="1:6">
      <c r="A71" s="329"/>
      <c r="B71" s="329"/>
      <c r="C71" s="329"/>
      <c r="D71" s="329"/>
      <c r="E71" s="329"/>
      <c r="F71" s="329"/>
    </row>
    <row r="72" spans="1:6">
      <c r="A72" s="329"/>
      <c r="B72" s="329"/>
      <c r="C72" s="329"/>
      <c r="D72" s="329"/>
      <c r="E72" s="329"/>
      <c r="F72" s="329"/>
    </row>
  </sheetData>
  <mergeCells count="1">
    <mergeCell ref="F4:H4"/>
  </mergeCells>
  <pageMargins left="0.74803149606299202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L15" sqref="L15"/>
    </sheetView>
  </sheetViews>
  <sheetFormatPr defaultRowHeight="15"/>
  <cols>
    <col min="1" max="1" width="4.28515625" style="882" customWidth="1"/>
    <col min="2" max="2" width="46.42578125" style="882" customWidth="1"/>
    <col min="3" max="3" width="13.28515625" style="882" customWidth="1"/>
    <col min="4" max="4" width="12.85546875" style="882" customWidth="1"/>
    <col min="5" max="5" width="12.140625" style="882" customWidth="1"/>
    <col min="6" max="123" width="8.7109375" style="882"/>
    <col min="124" max="124" width="4.28515625" style="882" customWidth="1"/>
    <col min="125" max="125" width="45.42578125" style="882" customWidth="1"/>
    <col min="126" max="127" width="20.7109375" style="882" customWidth="1"/>
    <col min="128" max="128" width="21.42578125" style="882" bestFit="1" customWidth="1"/>
    <col min="129" max="379" width="8.7109375" style="882"/>
    <col min="380" max="380" width="4.28515625" style="882" customWidth="1"/>
    <col min="381" max="381" width="45.42578125" style="882" customWidth="1"/>
    <col min="382" max="383" width="20.7109375" style="882" customWidth="1"/>
    <col min="384" max="384" width="21.42578125" style="882" bestFit="1" customWidth="1"/>
    <col min="385" max="635" width="8.7109375" style="882"/>
    <col min="636" max="636" width="4.28515625" style="882" customWidth="1"/>
    <col min="637" max="637" width="45.42578125" style="882" customWidth="1"/>
    <col min="638" max="639" width="20.7109375" style="882" customWidth="1"/>
    <col min="640" max="640" width="21.42578125" style="882" bestFit="1" customWidth="1"/>
    <col min="641" max="891" width="8.7109375" style="882"/>
    <col min="892" max="892" width="4.28515625" style="882" customWidth="1"/>
    <col min="893" max="893" width="45.42578125" style="882" customWidth="1"/>
    <col min="894" max="895" width="20.7109375" style="882" customWidth="1"/>
    <col min="896" max="896" width="21.42578125" style="882" bestFit="1" customWidth="1"/>
    <col min="897" max="1147" width="8.7109375" style="882"/>
    <col min="1148" max="1148" width="4.28515625" style="882" customWidth="1"/>
    <col min="1149" max="1149" width="45.42578125" style="882" customWidth="1"/>
    <col min="1150" max="1151" width="20.7109375" style="882" customWidth="1"/>
    <col min="1152" max="1152" width="21.42578125" style="882" bestFit="1" customWidth="1"/>
    <col min="1153" max="1403" width="8.7109375" style="882"/>
    <col min="1404" max="1404" width="4.28515625" style="882" customWidth="1"/>
    <col min="1405" max="1405" width="45.42578125" style="882" customWidth="1"/>
    <col min="1406" max="1407" width="20.7109375" style="882" customWidth="1"/>
    <col min="1408" max="1408" width="21.42578125" style="882" bestFit="1" customWidth="1"/>
    <col min="1409" max="1659" width="8.7109375" style="882"/>
    <col min="1660" max="1660" width="4.28515625" style="882" customWidth="1"/>
    <col min="1661" max="1661" width="45.42578125" style="882" customWidth="1"/>
    <col min="1662" max="1663" width="20.7109375" style="882" customWidth="1"/>
    <col min="1664" max="1664" width="21.42578125" style="882" bestFit="1" customWidth="1"/>
    <col min="1665" max="1915" width="8.7109375" style="882"/>
    <col min="1916" max="1916" width="4.28515625" style="882" customWidth="1"/>
    <col min="1917" max="1917" width="45.42578125" style="882" customWidth="1"/>
    <col min="1918" max="1919" width="20.7109375" style="882" customWidth="1"/>
    <col min="1920" max="1920" width="21.42578125" style="882" bestFit="1" customWidth="1"/>
    <col min="1921" max="2171" width="8.7109375" style="882"/>
    <col min="2172" max="2172" width="4.28515625" style="882" customWidth="1"/>
    <col min="2173" max="2173" width="45.42578125" style="882" customWidth="1"/>
    <col min="2174" max="2175" width="20.7109375" style="882" customWidth="1"/>
    <col min="2176" max="2176" width="21.42578125" style="882" bestFit="1" customWidth="1"/>
    <col min="2177" max="2427" width="8.7109375" style="882"/>
    <col min="2428" max="2428" width="4.28515625" style="882" customWidth="1"/>
    <col min="2429" max="2429" width="45.42578125" style="882" customWidth="1"/>
    <col min="2430" max="2431" width="20.7109375" style="882" customWidth="1"/>
    <col min="2432" max="2432" width="21.42578125" style="882" bestFit="1" customWidth="1"/>
    <col min="2433" max="2683" width="8.7109375" style="882"/>
    <col min="2684" max="2684" width="4.28515625" style="882" customWidth="1"/>
    <col min="2685" max="2685" width="45.42578125" style="882" customWidth="1"/>
    <col min="2686" max="2687" width="20.7109375" style="882" customWidth="1"/>
    <col min="2688" max="2688" width="21.42578125" style="882" bestFit="1" customWidth="1"/>
    <col min="2689" max="2939" width="8.7109375" style="882"/>
    <col min="2940" max="2940" width="4.28515625" style="882" customWidth="1"/>
    <col min="2941" max="2941" width="45.42578125" style="882" customWidth="1"/>
    <col min="2942" max="2943" width="20.7109375" style="882" customWidth="1"/>
    <col min="2944" max="2944" width="21.42578125" style="882" bestFit="1" customWidth="1"/>
    <col min="2945" max="3195" width="8.7109375" style="882"/>
    <col min="3196" max="3196" width="4.28515625" style="882" customWidth="1"/>
    <col min="3197" max="3197" width="45.42578125" style="882" customWidth="1"/>
    <col min="3198" max="3199" width="20.7109375" style="882" customWidth="1"/>
    <col min="3200" max="3200" width="21.42578125" style="882" bestFit="1" customWidth="1"/>
    <col min="3201" max="3451" width="8.7109375" style="882"/>
    <col min="3452" max="3452" width="4.28515625" style="882" customWidth="1"/>
    <col min="3453" max="3453" width="45.42578125" style="882" customWidth="1"/>
    <col min="3454" max="3455" width="20.7109375" style="882" customWidth="1"/>
    <col min="3456" max="3456" width="21.42578125" style="882" bestFit="1" customWidth="1"/>
    <col min="3457" max="3707" width="8.7109375" style="882"/>
    <col min="3708" max="3708" width="4.28515625" style="882" customWidth="1"/>
    <col min="3709" max="3709" width="45.42578125" style="882" customWidth="1"/>
    <col min="3710" max="3711" width="20.7109375" style="882" customWidth="1"/>
    <col min="3712" max="3712" width="21.42578125" style="882" bestFit="1" customWidth="1"/>
    <col min="3713" max="3963" width="8.7109375" style="882"/>
    <col min="3964" max="3964" width="4.28515625" style="882" customWidth="1"/>
    <col min="3965" max="3965" width="45.42578125" style="882" customWidth="1"/>
    <col min="3966" max="3967" width="20.7109375" style="882" customWidth="1"/>
    <col min="3968" max="3968" width="21.42578125" style="882" bestFit="1" customWidth="1"/>
    <col min="3969" max="4219" width="8.7109375" style="882"/>
    <col min="4220" max="4220" width="4.28515625" style="882" customWidth="1"/>
    <col min="4221" max="4221" width="45.42578125" style="882" customWidth="1"/>
    <col min="4222" max="4223" width="20.7109375" style="882" customWidth="1"/>
    <col min="4224" max="4224" width="21.42578125" style="882" bestFit="1" customWidth="1"/>
    <col min="4225" max="4475" width="8.7109375" style="882"/>
    <col min="4476" max="4476" width="4.28515625" style="882" customWidth="1"/>
    <col min="4477" max="4477" width="45.42578125" style="882" customWidth="1"/>
    <col min="4478" max="4479" width="20.7109375" style="882" customWidth="1"/>
    <col min="4480" max="4480" width="21.42578125" style="882" bestFit="1" customWidth="1"/>
    <col min="4481" max="4731" width="8.7109375" style="882"/>
    <col min="4732" max="4732" width="4.28515625" style="882" customWidth="1"/>
    <col min="4733" max="4733" width="45.42578125" style="882" customWidth="1"/>
    <col min="4734" max="4735" width="20.7109375" style="882" customWidth="1"/>
    <col min="4736" max="4736" width="21.42578125" style="882" bestFit="1" customWidth="1"/>
    <col min="4737" max="4987" width="8.7109375" style="882"/>
    <col min="4988" max="4988" width="4.28515625" style="882" customWidth="1"/>
    <col min="4989" max="4989" width="45.42578125" style="882" customWidth="1"/>
    <col min="4990" max="4991" width="20.7109375" style="882" customWidth="1"/>
    <col min="4992" max="4992" width="21.42578125" style="882" bestFit="1" customWidth="1"/>
    <col min="4993" max="5243" width="8.7109375" style="882"/>
    <col min="5244" max="5244" width="4.28515625" style="882" customWidth="1"/>
    <col min="5245" max="5245" width="45.42578125" style="882" customWidth="1"/>
    <col min="5246" max="5247" width="20.7109375" style="882" customWidth="1"/>
    <col min="5248" max="5248" width="21.42578125" style="882" bestFit="1" customWidth="1"/>
    <col min="5249" max="5499" width="8.7109375" style="882"/>
    <col min="5500" max="5500" width="4.28515625" style="882" customWidth="1"/>
    <col min="5501" max="5501" width="45.42578125" style="882" customWidth="1"/>
    <col min="5502" max="5503" width="20.7109375" style="882" customWidth="1"/>
    <col min="5504" max="5504" width="21.42578125" style="882" bestFit="1" customWidth="1"/>
    <col min="5505" max="5755" width="8.7109375" style="882"/>
    <col min="5756" max="5756" width="4.28515625" style="882" customWidth="1"/>
    <col min="5757" max="5757" width="45.42578125" style="882" customWidth="1"/>
    <col min="5758" max="5759" width="20.7109375" style="882" customWidth="1"/>
    <col min="5760" max="5760" width="21.42578125" style="882" bestFit="1" customWidth="1"/>
    <col min="5761" max="6011" width="8.7109375" style="882"/>
    <col min="6012" max="6012" width="4.28515625" style="882" customWidth="1"/>
    <col min="6013" max="6013" width="45.42578125" style="882" customWidth="1"/>
    <col min="6014" max="6015" width="20.7109375" style="882" customWidth="1"/>
    <col min="6016" max="6016" width="21.42578125" style="882" bestFit="1" customWidth="1"/>
    <col min="6017" max="6267" width="8.7109375" style="882"/>
    <col min="6268" max="6268" width="4.28515625" style="882" customWidth="1"/>
    <col min="6269" max="6269" width="45.42578125" style="882" customWidth="1"/>
    <col min="6270" max="6271" width="20.7109375" style="882" customWidth="1"/>
    <col min="6272" max="6272" width="21.42578125" style="882" bestFit="1" customWidth="1"/>
    <col min="6273" max="6523" width="8.7109375" style="882"/>
    <col min="6524" max="6524" width="4.28515625" style="882" customWidth="1"/>
    <col min="6525" max="6525" width="45.42578125" style="882" customWidth="1"/>
    <col min="6526" max="6527" width="20.7109375" style="882" customWidth="1"/>
    <col min="6528" max="6528" width="21.42578125" style="882" bestFit="1" customWidth="1"/>
    <col min="6529" max="6779" width="8.7109375" style="882"/>
    <col min="6780" max="6780" width="4.28515625" style="882" customWidth="1"/>
    <col min="6781" max="6781" width="45.42578125" style="882" customWidth="1"/>
    <col min="6782" max="6783" width="20.7109375" style="882" customWidth="1"/>
    <col min="6784" max="6784" width="21.42578125" style="882" bestFit="1" customWidth="1"/>
    <col min="6785" max="7035" width="8.7109375" style="882"/>
    <col min="7036" max="7036" width="4.28515625" style="882" customWidth="1"/>
    <col min="7037" max="7037" width="45.42578125" style="882" customWidth="1"/>
    <col min="7038" max="7039" width="20.7109375" style="882" customWidth="1"/>
    <col min="7040" max="7040" width="21.42578125" style="882" bestFit="1" customWidth="1"/>
    <col min="7041" max="7291" width="8.7109375" style="882"/>
    <col min="7292" max="7292" width="4.28515625" style="882" customWidth="1"/>
    <col min="7293" max="7293" width="45.42578125" style="882" customWidth="1"/>
    <col min="7294" max="7295" width="20.7109375" style="882" customWidth="1"/>
    <col min="7296" max="7296" width="21.42578125" style="882" bestFit="1" customWidth="1"/>
    <col min="7297" max="7547" width="8.7109375" style="882"/>
    <col min="7548" max="7548" width="4.28515625" style="882" customWidth="1"/>
    <col min="7549" max="7549" width="45.42578125" style="882" customWidth="1"/>
    <col min="7550" max="7551" width="20.7109375" style="882" customWidth="1"/>
    <col min="7552" max="7552" width="21.42578125" style="882" bestFit="1" customWidth="1"/>
    <col min="7553" max="7803" width="8.7109375" style="882"/>
    <col min="7804" max="7804" width="4.28515625" style="882" customWidth="1"/>
    <col min="7805" max="7805" width="45.42578125" style="882" customWidth="1"/>
    <col min="7806" max="7807" width="20.7109375" style="882" customWidth="1"/>
    <col min="7808" max="7808" width="21.42578125" style="882" bestFit="1" customWidth="1"/>
    <col min="7809" max="8059" width="8.7109375" style="882"/>
    <col min="8060" max="8060" width="4.28515625" style="882" customWidth="1"/>
    <col min="8061" max="8061" width="45.42578125" style="882" customWidth="1"/>
    <col min="8062" max="8063" width="20.7109375" style="882" customWidth="1"/>
    <col min="8064" max="8064" width="21.42578125" style="882" bestFit="1" customWidth="1"/>
    <col min="8065" max="8315" width="8.7109375" style="882"/>
    <col min="8316" max="8316" width="4.28515625" style="882" customWidth="1"/>
    <col min="8317" max="8317" width="45.42578125" style="882" customWidth="1"/>
    <col min="8318" max="8319" width="20.7109375" style="882" customWidth="1"/>
    <col min="8320" max="8320" width="21.42578125" style="882" bestFit="1" customWidth="1"/>
    <col min="8321" max="8571" width="8.7109375" style="882"/>
    <col min="8572" max="8572" width="4.28515625" style="882" customWidth="1"/>
    <col min="8573" max="8573" width="45.42578125" style="882" customWidth="1"/>
    <col min="8574" max="8575" width="20.7109375" style="882" customWidth="1"/>
    <col min="8576" max="8576" width="21.42578125" style="882" bestFit="1" customWidth="1"/>
    <col min="8577" max="8827" width="8.7109375" style="882"/>
    <col min="8828" max="8828" width="4.28515625" style="882" customWidth="1"/>
    <col min="8829" max="8829" width="45.42578125" style="882" customWidth="1"/>
    <col min="8830" max="8831" width="20.7109375" style="882" customWidth="1"/>
    <col min="8832" max="8832" width="21.42578125" style="882" bestFit="1" customWidth="1"/>
    <col min="8833" max="9083" width="8.7109375" style="882"/>
    <col min="9084" max="9084" width="4.28515625" style="882" customWidth="1"/>
    <col min="9085" max="9085" width="45.42578125" style="882" customWidth="1"/>
    <col min="9086" max="9087" width="20.7109375" style="882" customWidth="1"/>
    <col min="9088" max="9088" width="21.42578125" style="882" bestFit="1" customWidth="1"/>
    <col min="9089" max="9339" width="8.7109375" style="882"/>
    <col min="9340" max="9340" width="4.28515625" style="882" customWidth="1"/>
    <col min="9341" max="9341" width="45.42578125" style="882" customWidth="1"/>
    <col min="9342" max="9343" width="20.7109375" style="882" customWidth="1"/>
    <col min="9344" max="9344" width="21.42578125" style="882" bestFit="1" customWidth="1"/>
    <col min="9345" max="9595" width="8.7109375" style="882"/>
    <col min="9596" max="9596" width="4.28515625" style="882" customWidth="1"/>
    <col min="9597" max="9597" width="45.42578125" style="882" customWidth="1"/>
    <col min="9598" max="9599" width="20.7109375" style="882" customWidth="1"/>
    <col min="9600" max="9600" width="21.42578125" style="882" bestFit="1" customWidth="1"/>
    <col min="9601" max="9851" width="8.7109375" style="882"/>
    <col min="9852" max="9852" width="4.28515625" style="882" customWidth="1"/>
    <col min="9853" max="9853" width="45.42578125" style="882" customWidth="1"/>
    <col min="9854" max="9855" width="20.7109375" style="882" customWidth="1"/>
    <col min="9856" max="9856" width="21.42578125" style="882" bestFit="1" customWidth="1"/>
    <col min="9857" max="10107" width="8.7109375" style="882"/>
    <col min="10108" max="10108" width="4.28515625" style="882" customWidth="1"/>
    <col min="10109" max="10109" width="45.42578125" style="882" customWidth="1"/>
    <col min="10110" max="10111" width="20.7109375" style="882" customWidth="1"/>
    <col min="10112" max="10112" width="21.42578125" style="882" bestFit="1" customWidth="1"/>
    <col min="10113" max="10363" width="8.7109375" style="882"/>
    <col min="10364" max="10364" width="4.28515625" style="882" customWidth="1"/>
    <col min="10365" max="10365" width="45.42578125" style="882" customWidth="1"/>
    <col min="10366" max="10367" width="20.7109375" style="882" customWidth="1"/>
    <col min="10368" max="10368" width="21.42578125" style="882" bestFit="1" customWidth="1"/>
    <col min="10369" max="10619" width="8.7109375" style="882"/>
    <col min="10620" max="10620" width="4.28515625" style="882" customWidth="1"/>
    <col min="10621" max="10621" width="45.42578125" style="882" customWidth="1"/>
    <col min="10622" max="10623" width="20.7109375" style="882" customWidth="1"/>
    <col min="10624" max="10624" width="21.42578125" style="882" bestFit="1" customWidth="1"/>
    <col min="10625" max="10875" width="8.7109375" style="882"/>
    <col min="10876" max="10876" width="4.28515625" style="882" customWidth="1"/>
    <col min="10877" max="10877" width="45.42578125" style="882" customWidth="1"/>
    <col min="10878" max="10879" width="20.7109375" style="882" customWidth="1"/>
    <col min="10880" max="10880" width="21.42578125" style="882" bestFit="1" customWidth="1"/>
    <col min="10881" max="11131" width="8.7109375" style="882"/>
    <col min="11132" max="11132" width="4.28515625" style="882" customWidth="1"/>
    <col min="11133" max="11133" width="45.42578125" style="882" customWidth="1"/>
    <col min="11134" max="11135" width="20.7109375" style="882" customWidth="1"/>
    <col min="11136" max="11136" width="21.42578125" style="882" bestFit="1" customWidth="1"/>
    <col min="11137" max="11387" width="8.7109375" style="882"/>
    <col min="11388" max="11388" width="4.28515625" style="882" customWidth="1"/>
    <col min="11389" max="11389" width="45.42578125" style="882" customWidth="1"/>
    <col min="11390" max="11391" width="20.7109375" style="882" customWidth="1"/>
    <col min="11392" max="11392" width="21.42578125" style="882" bestFit="1" customWidth="1"/>
    <col min="11393" max="11643" width="8.7109375" style="882"/>
    <col min="11644" max="11644" width="4.28515625" style="882" customWidth="1"/>
    <col min="11645" max="11645" width="45.42578125" style="882" customWidth="1"/>
    <col min="11646" max="11647" width="20.7109375" style="882" customWidth="1"/>
    <col min="11648" max="11648" width="21.42578125" style="882" bestFit="1" customWidth="1"/>
    <col min="11649" max="11899" width="8.7109375" style="882"/>
    <col min="11900" max="11900" width="4.28515625" style="882" customWidth="1"/>
    <col min="11901" max="11901" width="45.42578125" style="882" customWidth="1"/>
    <col min="11902" max="11903" width="20.7109375" style="882" customWidth="1"/>
    <col min="11904" max="11904" width="21.42578125" style="882" bestFit="1" customWidth="1"/>
    <col min="11905" max="12155" width="8.7109375" style="882"/>
    <col min="12156" max="12156" width="4.28515625" style="882" customWidth="1"/>
    <col min="12157" max="12157" width="45.42578125" style="882" customWidth="1"/>
    <col min="12158" max="12159" width="20.7109375" style="882" customWidth="1"/>
    <col min="12160" max="12160" width="21.42578125" style="882" bestFit="1" customWidth="1"/>
    <col min="12161" max="12411" width="8.7109375" style="882"/>
    <col min="12412" max="12412" width="4.28515625" style="882" customWidth="1"/>
    <col min="12413" max="12413" width="45.42578125" style="882" customWidth="1"/>
    <col min="12414" max="12415" width="20.7109375" style="882" customWidth="1"/>
    <col min="12416" max="12416" width="21.42578125" style="882" bestFit="1" customWidth="1"/>
    <col min="12417" max="12667" width="8.7109375" style="882"/>
    <col min="12668" max="12668" width="4.28515625" style="882" customWidth="1"/>
    <col min="12669" max="12669" width="45.42578125" style="882" customWidth="1"/>
    <col min="12670" max="12671" width="20.7109375" style="882" customWidth="1"/>
    <col min="12672" max="12672" width="21.42578125" style="882" bestFit="1" customWidth="1"/>
    <col min="12673" max="12923" width="8.7109375" style="882"/>
    <col min="12924" max="12924" width="4.28515625" style="882" customWidth="1"/>
    <col min="12925" max="12925" width="45.42578125" style="882" customWidth="1"/>
    <col min="12926" max="12927" width="20.7109375" style="882" customWidth="1"/>
    <col min="12928" max="12928" width="21.42578125" style="882" bestFit="1" customWidth="1"/>
    <col min="12929" max="13179" width="8.7109375" style="882"/>
    <col min="13180" max="13180" width="4.28515625" style="882" customWidth="1"/>
    <col min="13181" max="13181" width="45.42578125" style="882" customWidth="1"/>
    <col min="13182" max="13183" width="20.7109375" style="882" customWidth="1"/>
    <col min="13184" max="13184" width="21.42578125" style="882" bestFit="1" customWidth="1"/>
    <col min="13185" max="13435" width="8.7109375" style="882"/>
    <col min="13436" max="13436" width="4.28515625" style="882" customWidth="1"/>
    <col min="13437" max="13437" width="45.42578125" style="882" customWidth="1"/>
    <col min="13438" max="13439" width="20.7109375" style="882" customWidth="1"/>
    <col min="13440" max="13440" width="21.42578125" style="882" bestFit="1" customWidth="1"/>
    <col min="13441" max="13691" width="8.7109375" style="882"/>
    <col min="13692" max="13692" width="4.28515625" style="882" customWidth="1"/>
    <col min="13693" max="13693" width="45.42578125" style="882" customWidth="1"/>
    <col min="13694" max="13695" width="20.7109375" style="882" customWidth="1"/>
    <col min="13696" max="13696" width="21.42578125" style="882" bestFit="1" customWidth="1"/>
    <col min="13697" max="13947" width="8.7109375" style="882"/>
    <col min="13948" max="13948" width="4.28515625" style="882" customWidth="1"/>
    <col min="13949" max="13949" width="45.42578125" style="882" customWidth="1"/>
    <col min="13950" max="13951" width="20.7109375" style="882" customWidth="1"/>
    <col min="13952" max="13952" width="21.42578125" style="882" bestFit="1" customWidth="1"/>
    <col min="13953" max="14203" width="8.7109375" style="882"/>
    <col min="14204" max="14204" width="4.28515625" style="882" customWidth="1"/>
    <col min="14205" max="14205" width="45.42578125" style="882" customWidth="1"/>
    <col min="14206" max="14207" width="20.7109375" style="882" customWidth="1"/>
    <col min="14208" max="14208" width="21.42578125" style="882" bestFit="1" customWidth="1"/>
    <col min="14209" max="14459" width="8.7109375" style="882"/>
    <col min="14460" max="14460" width="4.28515625" style="882" customWidth="1"/>
    <col min="14461" max="14461" width="45.42578125" style="882" customWidth="1"/>
    <col min="14462" max="14463" width="20.7109375" style="882" customWidth="1"/>
    <col min="14464" max="14464" width="21.42578125" style="882" bestFit="1" customWidth="1"/>
    <col min="14465" max="14715" width="8.7109375" style="882"/>
    <col min="14716" max="14716" width="4.28515625" style="882" customWidth="1"/>
    <col min="14717" max="14717" width="45.42578125" style="882" customWidth="1"/>
    <col min="14718" max="14719" width="20.7109375" style="882" customWidth="1"/>
    <col min="14720" max="14720" width="21.42578125" style="882" bestFit="1" customWidth="1"/>
    <col min="14721" max="14971" width="8.7109375" style="882"/>
    <col min="14972" max="14972" width="4.28515625" style="882" customWidth="1"/>
    <col min="14973" max="14973" width="45.42578125" style="882" customWidth="1"/>
    <col min="14974" max="14975" width="20.7109375" style="882" customWidth="1"/>
    <col min="14976" max="14976" width="21.42578125" style="882" bestFit="1" customWidth="1"/>
    <col min="14977" max="15227" width="8.7109375" style="882"/>
    <col min="15228" max="15228" width="4.28515625" style="882" customWidth="1"/>
    <col min="15229" max="15229" width="45.42578125" style="882" customWidth="1"/>
    <col min="15230" max="15231" width="20.7109375" style="882" customWidth="1"/>
    <col min="15232" max="15232" width="21.42578125" style="882" bestFit="1" customWidth="1"/>
    <col min="15233" max="15483" width="8.7109375" style="882"/>
    <col min="15484" max="15484" width="4.28515625" style="882" customWidth="1"/>
    <col min="15485" max="15485" width="45.42578125" style="882" customWidth="1"/>
    <col min="15486" max="15487" width="20.7109375" style="882" customWidth="1"/>
    <col min="15488" max="15488" width="21.42578125" style="882" bestFit="1" customWidth="1"/>
    <col min="15489" max="15739" width="8.7109375" style="882"/>
    <col min="15740" max="15740" width="4.28515625" style="882" customWidth="1"/>
    <col min="15741" max="15741" width="45.42578125" style="882" customWidth="1"/>
    <col min="15742" max="15743" width="20.7109375" style="882" customWidth="1"/>
    <col min="15744" max="15744" width="21.42578125" style="882" bestFit="1" customWidth="1"/>
    <col min="15745" max="15995" width="8.7109375" style="882"/>
    <col min="15996" max="15996" width="4.28515625" style="882" customWidth="1"/>
    <col min="15997" max="15997" width="45.42578125" style="882" customWidth="1"/>
    <col min="15998" max="15999" width="20.7109375" style="882" customWidth="1"/>
    <col min="16000" max="16000" width="21.42578125" style="882" bestFit="1" customWidth="1"/>
    <col min="16001" max="16384" width="8.7109375" style="882"/>
  </cols>
  <sheetData>
    <row r="1" spans="1:6" ht="15.75">
      <c r="A1" s="879" t="s">
        <v>711</v>
      </c>
      <c r="B1" s="880"/>
      <c r="C1" s="881"/>
      <c r="D1" s="881"/>
      <c r="E1" s="881"/>
    </row>
    <row r="2" spans="1:6">
      <c r="A2" s="883"/>
      <c r="B2" s="883"/>
      <c r="C2" s="881"/>
      <c r="D2" s="881"/>
      <c r="E2" s="881"/>
    </row>
    <row r="3" spans="1:6">
      <c r="A3" s="884"/>
      <c r="B3" s="884"/>
      <c r="C3" s="885"/>
      <c r="D3" s="885"/>
      <c r="E3" s="886" t="s">
        <v>469</v>
      </c>
    </row>
    <row r="4" spans="1:6">
      <c r="A4" s="887"/>
      <c r="B4" s="888"/>
      <c r="C4" s="889" t="s">
        <v>712</v>
      </c>
      <c r="D4" s="889" t="s">
        <v>713</v>
      </c>
      <c r="E4" s="889" t="s">
        <v>713</v>
      </c>
    </row>
    <row r="5" spans="1:6">
      <c r="A5" s="884"/>
      <c r="B5" s="890"/>
      <c r="C5" s="891" t="s">
        <v>714</v>
      </c>
      <c r="D5" s="891" t="s">
        <v>715</v>
      </c>
      <c r="E5" s="891" t="s">
        <v>716</v>
      </c>
    </row>
    <row r="6" spans="1:6">
      <c r="A6" s="884"/>
      <c r="B6" s="884"/>
      <c r="C6" s="885"/>
      <c r="D6" s="885"/>
      <c r="E6" s="885"/>
    </row>
    <row r="7" spans="1:6">
      <c r="A7" s="892" t="s">
        <v>265</v>
      </c>
      <c r="B7" s="893"/>
      <c r="C7" s="894">
        <v>4054</v>
      </c>
      <c r="D7" s="895">
        <v>17321.284889119994</v>
      </c>
      <c r="E7" s="895">
        <v>14069.509652143073</v>
      </c>
    </row>
    <row r="8" spans="1:6" ht="15.75">
      <c r="A8" s="892" t="s">
        <v>717</v>
      </c>
      <c r="B8" s="884"/>
      <c r="C8" s="896"/>
      <c r="D8" s="897"/>
      <c r="E8" s="897"/>
    </row>
    <row r="9" spans="1:6" ht="18.75">
      <c r="A9" s="892"/>
      <c r="B9" s="898" t="s">
        <v>256</v>
      </c>
      <c r="C9" s="896">
        <v>1994</v>
      </c>
      <c r="D9" s="899">
        <v>2113.4711454800004</v>
      </c>
      <c r="E9" s="899">
        <v>1460.8228804089454</v>
      </c>
      <c r="F9" s="900"/>
    </row>
    <row r="10" spans="1:6" ht="18.75">
      <c r="A10" s="892"/>
      <c r="B10" s="898" t="s">
        <v>229</v>
      </c>
      <c r="C10" s="896">
        <v>384</v>
      </c>
      <c r="D10" s="899">
        <v>2016.6684339999999</v>
      </c>
      <c r="E10" s="899">
        <v>3440.1421725</v>
      </c>
      <c r="F10" s="900"/>
    </row>
    <row r="11" spans="1:6">
      <c r="A11" s="892"/>
      <c r="B11" s="898" t="s">
        <v>255</v>
      </c>
      <c r="C11" s="896">
        <v>198</v>
      </c>
      <c r="D11" s="899">
        <v>1781.9396048499998</v>
      </c>
      <c r="E11" s="899">
        <v>1102.608591875</v>
      </c>
    </row>
    <row r="12" spans="1:6">
      <c r="A12" s="892"/>
      <c r="B12" s="898" t="s">
        <v>231</v>
      </c>
      <c r="C12" s="896">
        <v>220</v>
      </c>
      <c r="D12" s="899">
        <v>1777.2837157199999</v>
      </c>
      <c r="E12" s="899">
        <v>336.04137292187499</v>
      </c>
    </row>
    <row r="13" spans="1:6" ht="18.75">
      <c r="A13" s="892"/>
      <c r="B13" s="898" t="s">
        <v>250</v>
      </c>
      <c r="C13" s="896">
        <v>16</v>
      </c>
      <c r="D13" s="899">
        <v>1501.39886</v>
      </c>
      <c r="E13" s="899">
        <v>3.9191050000000001</v>
      </c>
      <c r="F13" s="900"/>
    </row>
    <row r="14" spans="1:6" ht="18.75">
      <c r="A14" s="892"/>
      <c r="B14" s="898" t="s">
        <v>232</v>
      </c>
      <c r="C14" s="896">
        <v>148</v>
      </c>
      <c r="D14" s="899">
        <v>1461.1870009000002</v>
      </c>
      <c r="E14" s="899">
        <v>162.30338900000001</v>
      </c>
      <c r="F14" s="900"/>
    </row>
    <row r="15" spans="1:6">
      <c r="A15" s="892"/>
      <c r="B15" s="898" t="s">
        <v>233</v>
      </c>
      <c r="C15" s="896">
        <v>92</v>
      </c>
      <c r="D15" s="899">
        <v>1120.7812604200001</v>
      </c>
      <c r="E15" s="899">
        <v>485.234238</v>
      </c>
    </row>
    <row r="16" spans="1:6">
      <c r="A16" s="892"/>
      <c r="B16" s="898" t="s">
        <v>254</v>
      </c>
      <c r="C16" s="896">
        <v>209</v>
      </c>
      <c r="D16" s="899">
        <v>978.89815336000004</v>
      </c>
      <c r="E16" s="899">
        <v>1552.0291346132813</v>
      </c>
    </row>
    <row r="17" spans="1:5">
      <c r="A17" s="892"/>
      <c r="B17" s="898" t="s">
        <v>239</v>
      </c>
      <c r="C17" s="896">
        <v>48</v>
      </c>
      <c r="D17" s="899">
        <v>731.06302327999992</v>
      </c>
      <c r="E17" s="899">
        <v>404.08765699999998</v>
      </c>
    </row>
    <row r="18" spans="1:5">
      <c r="A18" s="892"/>
      <c r="B18" s="898" t="s">
        <v>243</v>
      </c>
      <c r="C18" s="896">
        <v>16</v>
      </c>
      <c r="D18" s="899">
        <v>565.61355300000002</v>
      </c>
      <c r="E18" s="899">
        <v>161.21631062500001</v>
      </c>
    </row>
    <row r="19" spans="1:5">
      <c r="A19" s="892"/>
      <c r="B19" s="898" t="s">
        <v>230</v>
      </c>
      <c r="C19" s="896">
        <v>27</v>
      </c>
      <c r="D19" s="899">
        <v>555.04754000000003</v>
      </c>
      <c r="E19" s="899">
        <v>72.226466000000002</v>
      </c>
    </row>
    <row r="20" spans="1:5">
      <c r="A20" s="892"/>
      <c r="B20" s="898" t="s">
        <v>228</v>
      </c>
      <c r="C20" s="896">
        <v>445</v>
      </c>
      <c r="D20" s="899">
        <v>383.36157059999994</v>
      </c>
      <c r="E20" s="899">
        <v>3484.0873147194825</v>
      </c>
    </row>
    <row r="21" spans="1:5">
      <c r="A21" s="892"/>
      <c r="B21" s="898" t="s">
        <v>244</v>
      </c>
      <c r="C21" s="896">
        <v>24</v>
      </c>
      <c r="D21" s="899">
        <v>324.00706003999994</v>
      </c>
      <c r="E21" s="899">
        <v>690.23255300000005</v>
      </c>
    </row>
    <row r="22" spans="1:5">
      <c r="A22" s="892"/>
      <c r="B22" s="898" t="s">
        <v>260</v>
      </c>
      <c r="C22" s="896">
        <v>2</v>
      </c>
      <c r="D22" s="899">
        <v>316.12967800000001</v>
      </c>
      <c r="E22" s="899">
        <v>16.558827999999998</v>
      </c>
    </row>
    <row r="23" spans="1:5">
      <c r="A23" s="892"/>
      <c r="B23" s="898" t="s">
        <v>246</v>
      </c>
      <c r="C23" s="896">
        <v>10</v>
      </c>
      <c r="D23" s="899">
        <v>260.04836499999999</v>
      </c>
      <c r="E23" s="899">
        <v>15.144837781250001</v>
      </c>
    </row>
    <row r="24" spans="1:5">
      <c r="A24" s="892"/>
      <c r="B24" s="898" t="s">
        <v>251</v>
      </c>
      <c r="C24" s="896">
        <v>13</v>
      </c>
      <c r="D24" s="899">
        <v>256.06388800000002</v>
      </c>
      <c r="E24" s="899">
        <v>60.844999999999999</v>
      </c>
    </row>
    <row r="25" spans="1:5">
      <c r="A25" s="892"/>
      <c r="B25" s="898" t="s">
        <v>291</v>
      </c>
      <c r="C25" s="896">
        <v>14</v>
      </c>
      <c r="D25" s="899">
        <v>228.15573000000001</v>
      </c>
      <c r="E25" s="899">
        <v>45</v>
      </c>
    </row>
    <row r="26" spans="1:5">
      <c r="A26" s="892"/>
      <c r="B26" s="898" t="s">
        <v>257</v>
      </c>
      <c r="C26" s="896">
        <v>8</v>
      </c>
      <c r="D26" s="899">
        <v>217.94653199999999</v>
      </c>
      <c r="E26" s="899">
        <v>116.95795519042969</v>
      </c>
    </row>
    <row r="27" spans="1:5">
      <c r="A27" s="892"/>
      <c r="B27" s="898" t="s">
        <v>292</v>
      </c>
      <c r="C27" s="896">
        <v>130</v>
      </c>
      <c r="D27" s="899">
        <v>201.10190647000002</v>
      </c>
      <c r="E27" s="899">
        <v>17.5921764140625</v>
      </c>
    </row>
    <row r="28" spans="1:5">
      <c r="A28" s="892"/>
      <c r="B28" s="898" t="s">
        <v>237</v>
      </c>
      <c r="C28" s="901">
        <v>17</v>
      </c>
      <c r="D28" s="899">
        <v>154.40048100000001</v>
      </c>
      <c r="E28" s="899">
        <v>342.27603309375002</v>
      </c>
    </row>
    <row r="29" spans="1:5">
      <c r="A29" s="892" t="s">
        <v>340</v>
      </c>
      <c r="B29" s="902"/>
      <c r="C29" s="903"/>
      <c r="D29" s="904"/>
      <c r="E29" s="904"/>
    </row>
    <row r="30" spans="1:5">
      <c r="A30" s="892"/>
      <c r="B30" s="898" t="s">
        <v>348</v>
      </c>
      <c r="C30" s="896">
        <v>542</v>
      </c>
      <c r="D30" s="899">
        <v>4836.1965032299995</v>
      </c>
      <c r="E30" s="899">
        <v>2144.8882562968752</v>
      </c>
    </row>
    <row r="31" spans="1:5">
      <c r="A31" s="892"/>
      <c r="B31" s="898" t="s">
        <v>718</v>
      </c>
      <c r="C31" s="896">
        <v>1275</v>
      </c>
      <c r="D31" s="899">
        <v>3635.8940440800002</v>
      </c>
      <c r="E31" s="899">
        <v>1555.8448319140625</v>
      </c>
    </row>
    <row r="32" spans="1:5">
      <c r="A32" s="892"/>
      <c r="B32" s="898" t="s">
        <v>719</v>
      </c>
      <c r="C32" s="896">
        <v>470</v>
      </c>
      <c r="D32" s="899">
        <v>1725.1262981000002</v>
      </c>
      <c r="E32" s="899">
        <v>1226.7133825000001</v>
      </c>
    </row>
    <row r="33" spans="1:5">
      <c r="A33" s="892"/>
      <c r="B33" s="898" t="s">
        <v>344</v>
      </c>
      <c r="C33" s="896">
        <v>296</v>
      </c>
      <c r="D33" s="899">
        <v>1620.9694863700001</v>
      </c>
      <c r="E33" s="899">
        <v>1457.53048024292</v>
      </c>
    </row>
    <row r="34" spans="1:5">
      <c r="A34" s="892"/>
      <c r="B34" s="898" t="s">
        <v>367</v>
      </c>
      <c r="C34" s="896">
        <v>4</v>
      </c>
      <c r="D34" s="899">
        <v>1000.3</v>
      </c>
      <c r="E34" s="899">
        <v>20.241375999999999</v>
      </c>
    </row>
    <row r="35" spans="1:5">
      <c r="A35" s="892"/>
      <c r="B35" s="898" t="s">
        <v>345</v>
      </c>
      <c r="C35" s="896">
        <v>173</v>
      </c>
      <c r="D35" s="899">
        <v>965.76681248</v>
      </c>
      <c r="E35" s="899">
        <v>425.18102741187499</v>
      </c>
    </row>
    <row r="36" spans="1:5">
      <c r="A36" s="892"/>
      <c r="B36" s="898" t="s">
        <v>343</v>
      </c>
      <c r="C36" s="896">
        <v>451</v>
      </c>
      <c r="D36" s="899">
        <v>895.91777451999997</v>
      </c>
      <c r="E36" s="899">
        <v>3299.8937052373049</v>
      </c>
    </row>
    <row r="37" spans="1:5">
      <c r="A37" s="892"/>
      <c r="B37" s="898" t="s">
        <v>356</v>
      </c>
      <c r="C37" s="896">
        <v>127</v>
      </c>
      <c r="D37" s="899">
        <v>467.06907605000004</v>
      </c>
      <c r="E37" s="899">
        <v>-9.9430789999999991</v>
      </c>
    </row>
    <row r="38" spans="1:5">
      <c r="A38" s="892"/>
      <c r="B38" s="898" t="s">
        <v>720</v>
      </c>
      <c r="C38" s="896">
        <v>31</v>
      </c>
      <c r="D38" s="899">
        <v>317.37410899999998</v>
      </c>
      <c r="E38" s="899">
        <v>294.43518834472655</v>
      </c>
    </row>
    <row r="39" spans="1:5">
      <c r="A39" s="892"/>
      <c r="B39" s="898" t="s">
        <v>721</v>
      </c>
      <c r="C39" s="896">
        <v>7</v>
      </c>
      <c r="D39" s="899">
        <v>280.85842500000001</v>
      </c>
      <c r="E39" s="899">
        <v>338.70752199999998</v>
      </c>
    </row>
    <row r="40" spans="1:5">
      <c r="A40" s="892"/>
      <c r="B40" s="898" t="s">
        <v>347</v>
      </c>
      <c r="C40" s="896">
        <v>43</v>
      </c>
      <c r="D40" s="899">
        <v>276.34678551999997</v>
      </c>
      <c r="E40" s="899">
        <v>523.88630927343752</v>
      </c>
    </row>
    <row r="41" spans="1:5">
      <c r="A41" s="892"/>
      <c r="B41" s="898" t="s">
        <v>346</v>
      </c>
      <c r="C41" s="896">
        <v>40</v>
      </c>
      <c r="D41" s="899">
        <v>239.07400836000002</v>
      </c>
      <c r="E41" s="899">
        <v>1595.5570130000001</v>
      </c>
    </row>
    <row r="42" spans="1:5">
      <c r="A42" s="892"/>
      <c r="B42" s="898" t="s">
        <v>722</v>
      </c>
      <c r="C42" s="896">
        <v>46</v>
      </c>
      <c r="D42" s="899">
        <v>170.80100100000001</v>
      </c>
      <c r="E42" s="899">
        <v>224.97868099999999</v>
      </c>
    </row>
    <row r="43" spans="1:5">
      <c r="A43" s="892"/>
      <c r="B43" s="898" t="s">
        <v>369</v>
      </c>
      <c r="C43" s="896">
        <v>18</v>
      </c>
      <c r="D43" s="899">
        <v>161.63961274000002</v>
      </c>
      <c r="E43" s="899">
        <v>301.23127299999999</v>
      </c>
    </row>
    <row r="44" spans="1:5">
      <c r="A44" s="892"/>
      <c r="B44" s="898" t="s">
        <v>363</v>
      </c>
      <c r="C44" s="896">
        <v>36</v>
      </c>
      <c r="D44" s="899">
        <v>155.57640773000003</v>
      </c>
      <c r="E44" s="899">
        <v>13.649963</v>
      </c>
    </row>
    <row r="45" spans="1:5">
      <c r="A45" s="892"/>
      <c r="B45" s="898" t="s">
        <v>723</v>
      </c>
      <c r="C45" s="896">
        <v>24</v>
      </c>
      <c r="D45" s="899">
        <v>90.907584</v>
      </c>
      <c r="E45" s="899">
        <v>29.251000000000001</v>
      </c>
    </row>
    <row r="46" spans="1:5">
      <c r="A46" s="892"/>
      <c r="B46" s="898" t="s">
        <v>368</v>
      </c>
      <c r="C46" s="896">
        <v>8</v>
      </c>
      <c r="D46" s="899">
        <v>72.170611039999997</v>
      </c>
      <c r="E46" s="899">
        <v>2.4000000000000001E-5</v>
      </c>
    </row>
    <row r="47" spans="1:5">
      <c r="B47" s="898" t="s">
        <v>724</v>
      </c>
      <c r="C47" s="896">
        <v>3</v>
      </c>
      <c r="D47" s="899">
        <v>72.074269999999999</v>
      </c>
      <c r="E47" s="899">
        <v>2.3594059999999999</v>
      </c>
    </row>
    <row r="48" spans="1:5">
      <c r="B48" s="898" t="s">
        <v>365</v>
      </c>
      <c r="C48" s="896">
        <v>21</v>
      </c>
      <c r="D48" s="899">
        <v>70.597594340000001</v>
      </c>
      <c r="E48" s="899">
        <v>43.878467999999998</v>
      </c>
    </row>
    <row r="49" spans="2:5">
      <c r="B49" s="898" t="s">
        <v>361</v>
      </c>
      <c r="C49" s="896">
        <v>36</v>
      </c>
      <c r="D49" s="899">
        <v>37.455264</v>
      </c>
      <c r="E49" s="899">
        <v>196.47885099999999</v>
      </c>
    </row>
    <row r="50" spans="2:5">
      <c r="B50" s="898"/>
      <c r="E50" s="899"/>
    </row>
    <row r="51" spans="2:5">
      <c r="E51" s="899"/>
    </row>
    <row r="52" spans="2:5">
      <c r="E52" s="899"/>
    </row>
    <row r="53" spans="2:5">
      <c r="E53" s="899"/>
    </row>
    <row r="54" spans="2:5">
      <c r="E54" s="899"/>
    </row>
    <row r="55" spans="2:5">
      <c r="E55" s="899"/>
    </row>
    <row r="56" spans="2:5">
      <c r="E56" s="899"/>
    </row>
    <row r="57" spans="2:5">
      <c r="E57" s="899"/>
    </row>
    <row r="58" spans="2:5">
      <c r="E58" s="899"/>
    </row>
    <row r="59" spans="2:5">
      <c r="E59" s="899"/>
    </row>
    <row r="60" spans="2:5">
      <c r="E60" s="905"/>
    </row>
    <row r="61" spans="2:5">
      <c r="E61" s="905"/>
    </row>
    <row r="62" spans="2:5">
      <c r="E62" s="905"/>
    </row>
    <row r="63" spans="2:5">
      <c r="E63" s="905"/>
    </row>
    <row r="64" spans="2:5">
      <c r="E64" s="905"/>
    </row>
    <row r="65" spans="5:5">
      <c r="E65" s="905"/>
    </row>
    <row r="66" spans="5:5">
      <c r="E66" s="905"/>
    </row>
    <row r="67" spans="5:5">
      <c r="E67" s="905"/>
    </row>
  </sheetData>
  <pageMargins left="0.74803149606299202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L15" sqref="L15"/>
    </sheetView>
  </sheetViews>
  <sheetFormatPr defaultColWidth="9.7109375" defaultRowHeight="12.75"/>
  <cols>
    <col min="1" max="1" width="2.7109375" style="335" customWidth="1"/>
    <col min="2" max="2" width="21.7109375" style="335" customWidth="1"/>
    <col min="3" max="4" width="10.42578125" style="335" customWidth="1"/>
    <col min="5" max="5" width="10" style="335" customWidth="1"/>
    <col min="6" max="6" width="8.42578125" style="335" customWidth="1"/>
    <col min="7" max="7" width="12.7109375" style="335" customWidth="1"/>
    <col min="8" max="8" width="11.42578125" style="335" customWidth="1"/>
    <col min="9" max="9" width="9.7109375" style="335"/>
    <col min="10" max="10" width="12" style="335" customWidth="1"/>
    <col min="11" max="11" width="13.42578125" style="335" customWidth="1"/>
    <col min="12" max="16384" width="9.7109375" style="335"/>
  </cols>
  <sheetData>
    <row r="1" spans="1:11" ht="20.100000000000001" customHeight="1">
      <c r="A1" s="334" t="s">
        <v>299</v>
      </c>
      <c r="B1" s="334"/>
      <c r="C1" s="334"/>
      <c r="D1" s="334"/>
      <c r="E1" s="334"/>
      <c r="F1" s="334"/>
      <c r="G1" s="334"/>
      <c r="H1" s="334"/>
    </row>
    <row r="2" spans="1:11" ht="20.100000000000001" customHeight="1">
      <c r="A2" s="203"/>
      <c r="B2" s="336"/>
      <c r="C2" s="336"/>
      <c r="D2" s="336"/>
      <c r="E2" s="336"/>
      <c r="F2" s="337"/>
      <c r="G2" s="337"/>
      <c r="H2" s="337"/>
    </row>
    <row r="3" spans="1:11" s="341" customFormat="1" ht="20.100000000000001" customHeight="1">
      <c r="A3" s="338"/>
      <c r="B3" s="338"/>
      <c r="C3" s="339"/>
      <c r="D3" s="339"/>
      <c r="E3" s="339"/>
      <c r="F3" s="339"/>
      <c r="G3" s="339"/>
      <c r="H3" s="340" t="s">
        <v>274</v>
      </c>
    </row>
    <row r="4" spans="1:11" s="341" customFormat="1" ht="16.350000000000001" customHeight="1">
      <c r="A4" s="339"/>
      <c r="B4" s="339"/>
      <c r="C4" s="342" t="s">
        <v>300</v>
      </c>
      <c r="D4" s="342" t="s">
        <v>142</v>
      </c>
      <c r="E4" s="951" t="s">
        <v>142</v>
      </c>
      <c r="F4" s="951"/>
      <c r="G4" s="343" t="s">
        <v>85</v>
      </c>
      <c r="H4" s="343" t="s">
        <v>86</v>
      </c>
    </row>
    <row r="5" spans="1:11" s="341" customFormat="1" ht="16.350000000000001" customHeight="1">
      <c r="A5" s="339"/>
      <c r="B5" s="339"/>
      <c r="C5" s="344" t="s">
        <v>144</v>
      </c>
      <c r="D5" s="344" t="s">
        <v>145</v>
      </c>
      <c r="E5" s="952" t="s">
        <v>87</v>
      </c>
      <c r="F5" s="952"/>
      <c r="G5" s="346" t="s">
        <v>87</v>
      </c>
      <c r="H5" s="347" t="s">
        <v>44</v>
      </c>
    </row>
    <row r="6" spans="1:11" ht="16.350000000000001" customHeight="1">
      <c r="A6" s="339"/>
      <c r="B6" s="339"/>
      <c r="C6" s="344" t="s">
        <v>41</v>
      </c>
      <c r="D6" s="344" t="s">
        <v>41</v>
      </c>
      <c r="E6" s="344" t="s">
        <v>301</v>
      </c>
      <c r="F6" s="344" t="s">
        <v>302</v>
      </c>
      <c r="G6" s="347" t="s">
        <v>206</v>
      </c>
      <c r="H6" s="348" t="s">
        <v>88</v>
      </c>
      <c r="I6" s="349"/>
      <c r="J6" s="350"/>
      <c r="K6" s="350"/>
    </row>
    <row r="7" spans="1:11" s="352" customFormat="1" ht="16.350000000000001" customHeight="1">
      <c r="A7" s="339"/>
      <c r="B7" s="339"/>
      <c r="C7" s="344">
        <v>2025</v>
      </c>
      <c r="D7" s="344">
        <v>2025</v>
      </c>
      <c r="E7" s="344" t="s">
        <v>303</v>
      </c>
      <c r="F7" s="344" t="s">
        <v>304</v>
      </c>
      <c r="G7" s="348" t="s">
        <v>305</v>
      </c>
      <c r="H7" s="348" t="s">
        <v>147</v>
      </c>
      <c r="I7" s="351"/>
      <c r="J7" s="350"/>
      <c r="K7" s="350"/>
    </row>
    <row r="8" spans="1:11" s="352" customFormat="1" ht="16.350000000000001" customHeight="1">
      <c r="A8" s="339"/>
      <c r="B8" s="339"/>
      <c r="C8" s="345"/>
      <c r="D8" s="345"/>
      <c r="E8" s="345"/>
      <c r="F8" s="345"/>
      <c r="G8" s="353" t="s">
        <v>306</v>
      </c>
      <c r="H8" s="353"/>
      <c r="I8" s="351"/>
      <c r="J8" s="350"/>
      <c r="K8" s="350"/>
    </row>
    <row r="9" spans="1:11" s="356" customFormat="1" ht="9" customHeight="1">
      <c r="A9" s="354"/>
      <c r="B9" s="339"/>
      <c r="C9" s="355"/>
      <c r="D9" s="355"/>
      <c r="E9" s="339"/>
      <c r="F9" s="339"/>
      <c r="G9" s="339"/>
      <c r="H9" s="355"/>
      <c r="I9" s="351"/>
      <c r="J9" s="350"/>
      <c r="K9" s="350"/>
    </row>
    <row r="10" spans="1:11" s="352" customFormat="1" ht="20.100000000000001" customHeight="1">
      <c r="A10" s="953" t="s">
        <v>265</v>
      </c>
      <c r="B10" s="953"/>
      <c r="C10" s="357">
        <v>604509.27350247919</v>
      </c>
      <c r="D10" s="357">
        <v>627847.1778386723</v>
      </c>
      <c r="E10" s="357">
        <v>7008932.112022317</v>
      </c>
      <c r="F10" s="349">
        <v>100</v>
      </c>
      <c r="G10" s="349">
        <v>109.81024319961628</v>
      </c>
      <c r="H10" s="349">
        <v>109.2462152353898</v>
      </c>
      <c r="I10" s="358"/>
      <c r="J10" s="358"/>
    </row>
    <row r="11" spans="1:11" ht="20.100000000000001" customHeight="1">
      <c r="A11" s="354"/>
      <c r="B11" s="339" t="s">
        <v>307</v>
      </c>
      <c r="C11" s="359">
        <v>457137.66607495997</v>
      </c>
      <c r="D11" s="359">
        <v>474321.59018974518</v>
      </c>
      <c r="E11" s="359">
        <v>5335112.8035877859</v>
      </c>
      <c r="F11" s="351">
        <v>76.118768427454825</v>
      </c>
      <c r="G11" s="351">
        <v>108.57793181392179</v>
      </c>
      <c r="H11" s="351">
        <v>107.97489183179198</v>
      </c>
      <c r="I11" s="360"/>
      <c r="J11" s="360"/>
    </row>
    <row r="12" spans="1:11" ht="20.100000000000001" customHeight="1">
      <c r="A12" s="361"/>
      <c r="B12" s="362" t="s">
        <v>308</v>
      </c>
      <c r="C12" s="359">
        <v>72444.679983334107</v>
      </c>
      <c r="D12" s="359">
        <v>74974.337275956641</v>
      </c>
      <c r="E12" s="359">
        <v>843083.32042646455</v>
      </c>
      <c r="F12" s="351">
        <v>12.028698622723656</v>
      </c>
      <c r="G12" s="351">
        <v>114.20278498353052</v>
      </c>
      <c r="H12" s="351">
        <v>114.56903410989176</v>
      </c>
      <c r="I12" s="360"/>
      <c r="J12" s="360"/>
    </row>
    <row r="13" spans="1:11" ht="20.100000000000001" customHeight="1">
      <c r="A13" s="354"/>
      <c r="B13" s="339" t="s">
        <v>309</v>
      </c>
      <c r="C13" s="359">
        <v>8144.4587986715287</v>
      </c>
      <c r="D13" s="359">
        <v>8220.28458265275</v>
      </c>
      <c r="E13" s="359">
        <v>93888.789721707479</v>
      </c>
      <c r="F13" s="351">
        <v>1.4</v>
      </c>
      <c r="G13" s="351">
        <v>119.918541400769</v>
      </c>
      <c r="H13" s="351">
        <v>120.21162133705916</v>
      </c>
      <c r="I13" s="360"/>
      <c r="J13" s="360"/>
    </row>
    <row r="14" spans="1:11" ht="20.100000000000001" customHeight="1">
      <c r="A14" s="354"/>
      <c r="B14" s="339" t="s">
        <v>310</v>
      </c>
      <c r="C14" s="359">
        <v>66782.468645513611</v>
      </c>
      <c r="D14" s="359">
        <v>70330.965790317743</v>
      </c>
      <c r="E14" s="359">
        <v>736847.19828635838</v>
      </c>
      <c r="F14" s="351">
        <v>10.512973824107318</v>
      </c>
      <c r="G14" s="351">
        <v>112.70550788917548</v>
      </c>
      <c r="H14" s="351">
        <v>111.52924426832504</v>
      </c>
      <c r="I14" s="360"/>
      <c r="J14" s="360"/>
    </row>
    <row r="15" spans="1:11" ht="20.100000000000001" customHeight="1">
      <c r="A15" s="354"/>
      <c r="B15" s="339"/>
      <c r="C15" s="339"/>
      <c r="D15" s="339"/>
      <c r="E15" s="339"/>
      <c r="F15" s="339"/>
      <c r="G15" s="339"/>
      <c r="H15" s="339"/>
    </row>
    <row r="16" spans="1:11" ht="20.100000000000001" customHeight="1">
      <c r="A16" s="354"/>
      <c r="B16" s="339"/>
      <c r="C16" s="339"/>
      <c r="D16" s="339"/>
      <c r="E16" s="339"/>
      <c r="F16" s="339"/>
      <c r="G16" s="339"/>
      <c r="H16" s="339"/>
    </row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2.5" customHeight="1"/>
    <row r="26" ht="22.5" customHeight="1"/>
    <row r="27" ht="22.5" customHeight="1"/>
    <row r="28" ht="22.5" customHeight="1"/>
    <row r="29" ht="22.5" customHeight="1"/>
  </sheetData>
  <mergeCells count="3">
    <mergeCell ref="E4:F4"/>
    <mergeCell ref="E5:F5"/>
    <mergeCell ref="A10:B10"/>
  </mergeCells>
  <pageMargins left="0.74803149606299202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workbookViewId="0">
      <selection activeCell="L15" sqref="L15"/>
    </sheetView>
  </sheetViews>
  <sheetFormatPr defaultColWidth="8.7109375" defaultRowHeight="18.75"/>
  <cols>
    <col min="1" max="1" width="3.7109375" style="249" customWidth="1"/>
    <col min="2" max="2" width="26.5703125" style="249" customWidth="1"/>
    <col min="3" max="6" width="14.7109375" style="249" customWidth="1"/>
    <col min="7" max="12" width="8.7109375" style="249"/>
    <col min="13" max="13" width="13.7109375" style="249" customWidth="1"/>
    <col min="14" max="16384" width="8.7109375" style="249"/>
  </cols>
  <sheetData>
    <row r="1" spans="1:13">
      <c r="A1" s="334" t="s">
        <v>311</v>
      </c>
      <c r="B1" s="337"/>
      <c r="C1" s="339"/>
      <c r="D1" s="339"/>
      <c r="E1" s="359"/>
      <c r="F1" s="339"/>
    </row>
    <row r="2" spans="1:13">
      <c r="A2" s="334"/>
      <c r="B2" s="337"/>
      <c r="C2" s="339"/>
      <c r="D2" s="339"/>
      <c r="E2" s="359"/>
      <c r="F2" s="335"/>
    </row>
    <row r="3" spans="1:13">
      <c r="A3" s="339"/>
      <c r="B3" s="339"/>
      <c r="C3" s="339"/>
      <c r="D3" s="339"/>
      <c r="E3" s="339"/>
      <c r="F3" s="335"/>
    </row>
    <row r="4" spans="1:13">
      <c r="A4" s="339"/>
      <c r="B4" s="339"/>
      <c r="C4" s="338"/>
      <c r="D4" s="338"/>
      <c r="E4" s="338"/>
      <c r="F4" s="340" t="s">
        <v>274</v>
      </c>
    </row>
    <row r="5" spans="1:13">
      <c r="A5" s="277"/>
      <c r="B5" s="277"/>
      <c r="C5" s="363" t="s">
        <v>300</v>
      </c>
      <c r="D5" s="363" t="s">
        <v>142</v>
      </c>
      <c r="E5" s="954" t="s">
        <v>194</v>
      </c>
      <c r="F5" s="954"/>
      <c r="G5" s="364"/>
      <c r="H5" s="364"/>
    </row>
    <row r="6" spans="1:13">
      <c r="A6" s="279"/>
      <c r="B6" s="279"/>
      <c r="C6" s="363" t="s">
        <v>39</v>
      </c>
      <c r="D6" s="363" t="s">
        <v>195</v>
      </c>
      <c r="E6" s="363" t="s">
        <v>42</v>
      </c>
      <c r="F6" s="365" t="s">
        <v>43</v>
      </c>
      <c r="G6" s="364"/>
      <c r="H6" s="364"/>
    </row>
    <row r="7" spans="1:13">
      <c r="A7" s="279"/>
      <c r="B7" s="279"/>
      <c r="C7" s="366" t="s">
        <v>87</v>
      </c>
      <c r="D7" s="366" t="s">
        <v>87</v>
      </c>
      <c r="E7" s="366" t="s">
        <v>87</v>
      </c>
      <c r="F7" s="366" t="s">
        <v>87</v>
      </c>
      <c r="G7" s="364"/>
      <c r="H7" s="364"/>
      <c r="M7" s="367"/>
    </row>
    <row r="8" spans="1:13" ht="13.5" customHeight="1">
      <c r="A8" s="339"/>
      <c r="B8" s="339"/>
      <c r="C8" s="368"/>
      <c r="D8" s="368"/>
      <c r="E8" s="369"/>
      <c r="F8" s="335"/>
      <c r="G8" s="364"/>
      <c r="H8" s="364"/>
      <c r="M8" s="367"/>
    </row>
    <row r="9" spans="1:13" s="372" customFormat="1" ht="24.75" customHeight="1">
      <c r="A9" s="953" t="s">
        <v>265</v>
      </c>
      <c r="B9" s="953"/>
      <c r="C9" s="357">
        <v>1758415.5226944396</v>
      </c>
      <c r="D9" s="357">
        <v>1833599.7060844444</v>
      </c>
      <c r="E9" s="369">
        <v>110.0391007816683</v>
      </c>
      <c r="F9" s="369">
        <v>108.44004050589989</v>
      </c>
      <c r="G9" s="370"/>
      <c r="H9" s="371"/>
      <c r="M9" s="373"/>
    </row>
    <row r="10" spans="1:13" ht="24.75" customHeight="1">
      <c r="A10" s="354"/>
      <c r="B10" s="339" t="s">
        <v>307</v>
      </c>
      <c r="C10" s="359">
        <v>1334283.8937799849</v>
      </c>
      <c r="D10" s="359">
        <v>1387691.5</v>
      </c>
      <c r="E10" s="374">
        <v>109.0157092541056</v>
      </c>
      <c r="F10" s="374">
        <v>107.20020821400365</v>
      </c>
      <c r="G10" s="375"/>
      <c r="H10" s="364"/>
      <c r="M10" s="376"/>
    </row>
    <row r="11" spans="1:13" ht="24.75" customHeight="1">
      <c r="A11" s="354"/>
      <c r="B11" s="339" t="s">
        <v>308</v>
      </c>
      <c r="C11" s="359">
        <v>214610.11324075359</v>
      </c>
      <c r="D11" s="359">
        <v>218781.26603418749</v>
      </c>
      <c r="E11" s="374">
        <v>114.77783517420752</v>
      </c>
      <c r="F11" s="374">
        <v>113.95037544181945</v>
      </c>
      <c r="G11" s="375"/>
      <c r="M11" s="377"/>
    </row>
    <row r="12" spans="1:13" ht="24.75" customHeight="1">
      <c r="A12" s="354"/>
      <c r="B12" s="339" t="s">
        <v>309</v>
      </c>
      <c r="C12" s="359">
        <v>23979.637190852347</v>
      </c>
      <c r="D12" s="359">
        <v>24603.1636268402</v>
      </c>
      <c r="E12" s="374">
        <v>117.37520503147918</v>
      </c>
      <c r="F12" s="374">
        <v>121.02615668515311</v>
      </c>
      <c r="G12" s="375"/>
      <c r="H12" s="378"/>
      <c r="M12" s="379"/>
    </row>
    <row r="13" spans="1:13" ht="24.75" customHeight="1">
      <c r="A13" s="354"/>
      <c r="B13" s="339" t="s">
        <v>310</v>
      </c>
      <c r="C13" s="359">
        <v>185541.87848284876</v>
      </c>
      <c r="D13" s="359">
        <v>202523.92252736332</v>
      </c>
      <c r="E13" s="374">
        <v>111.33915691627259</v>
      </c>
      <c r="F13" s="374">
        <v>110.0215392782808</v>
      </c>
      <c r="G13" s="375"/>
      <c r="H13" s="378"/>
      <c r="M13" s="380"/>
    </row>
    <row r="14" spans="1:13">
      <c r="C14" s="381"/>
      <c r="D14" s="381"/>
      <c r="E14" s="381"/>
      <c r="F14" s="378"/>
      <c r="M14" s="382"/>
    </row>
    <row r="15" spans="1:13">
      <c r="C15" s="381"/>
      <c r="D15" s="381"/>
      <c r="E15" s="381"/>
      <c r="F15" s="378"/>
      <c r="M15" s="382"/>
    </row>
    <row r="16" spans="1:13">
      <c r="C16" s="381"/>
      <c r="D16" s="381"/>
      <c r="E16" s="381"/>
      <c r="F16" s="378"/>
      <c r="M16" s="382"/>
    </row>
  </sheetData>
  <mergeCells count="2">
    <mergeCell ref="E5:F5"/>
    <mergeCell ref="A9:B9"/>
  </mergeCells>
  <pageMargins left="0.74803149606299202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8"/>
  <sheetViews>
    <sheetView workbookViewId="0">
      <selection activeCell="L15" sqref="L15"/>
    </sheetView>
  </sheetViews>
  <sheetFormatPr defaultColWidth="6.42578125" defaultRowHeight="15" customHeight="1"/>
  <cols>
    <col min="1" max="1" width="0.5703125" style="481" customWidth="1"/>
    <col min="2" max="2" width="33.140625" style="480" customWidth="1"/>
    <col min="3" max="4" width="6.140625" style="481" customWidth="1"/>
    <col min="5" max="5" width="0.28515625" style="481" customWidth="1"/>
    <col min="6" max="6" width="6.28515625" style="481" bestFit="1" customWidth="1"/>
    <col min="7" max="7" width="7.28515625" style="481" customWidth="1"/>
    <col min="8" max="8" width="0.42578125" style="481" customWidth="1"/>
    <col min="9" max="10" width="8.7109375" style="481" customWidth="1"/>
    <col min="11" max="11" width="0.5703125" style="481" customWidth="1"/>
    <col min="12" max="13" width="7.7109375" style="481" customWidth="1"/>
    <col min="14" max="14" width="7" style="481" customWidth="1"/>
    <col min="15" max="16384" width="6.42578125" style="481"/>
  </cols>
  <sheetData>
    <row r="1" spans="1:15" ht="16.5">
      <c r="A1" s="479" t="s">
        <v>565</v>
      </c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</row>
    <row r="2" spans="1:15" ht="15" customHeight="1"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</row>
    <row r="3" spans="1:15" ht="15" customHeight="1">
      <c r="B3" s="483"/>
      <c r="C3" s="484"/>
      <c r="D3" s="484"/>
      <c r="E3" s="484"/>
      <c r="F3" s="484"/>
      <c r="G3" s="485"/>
      <c r="H3" s="485"/>
      <c r="I3" s="485"/>
      <c r="J3" s="486"/>
      <c r="K3" s="486"/>
      <c r="L3" s="486"/>
      <c r="M3" s="487" t="s">
        <v>381</v>
      </c>
    </row>
    <row r="4" spans="1:15" ht="15" customHeight="1">
      <c r="A4" s="488"/>
      <c r="B4" s="489"/>
      <c r="C4" s="956" t="s">
        <v>300</v>
      </c>
      <c r="D4" s="956"/>
      <c r="E4" s="956"/>
      <c r="F4" s="956"/>
      <c r="G4" s="956"/>
      <c r="H4" s="490"/>
      <c r="I4" s="957" t="s">
        <v>382</v>
      </c>
      <c r="J4" s="957"/>
      <c r="K4" s="490"/>
      <c r="L4" s="957" t="s">
        <v>86</v>
      </c>
      <c r="M4" s="957"/>
    </row>
    <row r="5" spans="1:15" ht="15" customHeight="1">
      <c r="B5" s="491"/>
      <c r="C5" s="958" t="s">
        <v>84</v>
      </c>
      <c r="D5" s="958"/>
      <c r="E5" s="492"/>
      <c r="F5" s="958" t="s">
        <v>36</v>
      </c>
      <c r="G5" s="958"/>
      <c r="H5" s="492"/>
      <c r="I5" s="958" t="s">
        <v>5</v>
      </c>
      <c r="J5" s="958"/>
      <c r="K5" s="492"/>
      <c r="L5" s="958" t="s">
        <v>44</v>
      </c>
      <c r="M5" s="958"/>
    </row>
    <row r="6" spans="1:15" ht="15" customHeight="1">
      <c r="B6" s="491"/>
      <c r="C6" s="955" t="s">
        <v>87</v>
      </c>
      <c r="D6" s="955"/>
      <c r="E6" s="493"/>
      <c r="F6" s="955">
        <v>2025</v>
      </c>
      <c r="G6" s="955"/>
      <c r="H6" s="493"/>
      <c r="I6" s="955" t="s">
        <v>7</v>
      </c>
      <c r="J6" s="955"/>
      <c r="K6" s="493"/>
      <c r="L6" s="955" t="s">
        <v>7</v>
      </c>
      <c r="M6" s="955"/>
    </row>
    <row r="7" spans="1:15" ht="15" customHeight="1">
      <c r="B7" s="491"/>
      <c r="C7" s="494" t="s">
        <v>383</v>
      </c>
      <c r="D7" s="494" t="s">
        <v>384</v>
      </c>
      <c r="E7" s="494"/>
      <c r="F7" s="495" t="s">
        <v>383</v>
      </c>
      <c r="G7" s="494" t="s">
        <v>384</v>
      </c>
      <c r="H7" s="494"/>
      <c r="I7" s="494" t="s">
        <v>383</v>
      </c>
      <c r="J7" s="494" t="s">
        <v>384</v>
      </c>
      <c r="K7" s="494"/>
      <c r="L7" s="495" t="s">
        <v>383</v>
      </c>
      <c r="M7" s="494" t="s">
        <v>384</v>
      </c>
    </row>
    <row r="8" spans="1:15" ht="15" customHeight="1">
      <c r="B8" s="496"/>
      <c r="C8" s="484"/>
      <c r="D8" s="484"/>
      <c r="E8" s="484"/>
      <c r="F8" s="484"/>
      <c r="G8" s="484"/>
      <c r="H8" s="484"/>
      <c r="I8" s="497"/>
      <c r="J8" s="497"/>
      <c r="K8" s="497"/>
      <c r="L8" s="497"/>
      <c r="M8" s="497"/>
    </row>
    <row r="9" spans="1:15" s="502" customFormat="1" ht="15" customHeight="1">
      <c r="A9" s="498" t="s">
        <v>385</v>
      </c>
      <c r="B9" s="499"/>
      <c r="C9" s="499"/>
      <c r="D9" s="500">
        <v>44031.016678</v>
      </c>
      <c r="E9" s="500"/>
      <c r="F9" s="499"/>
      <c r="G9" s="500">
        <v>475040.54963800003</v>
      </c>
      <c r="H9" s="500"/>
      <c r="I9" s="501"/>
      <c r="J9" s="501">
        <v>123.81449595594593</v>
      </c>
      <c r="K9" s="501"/>
      <c r="L9" s="501"/>
      <c r="M9" s="501">
        <v>117.0236724766505</v>
      </c>
      <c r="O9" s="503"/>
    </row>
    <row r="10" spans="1:15" ht="15" customHeight="1">
      <c r="B10" s="504" t="s">
        <v>386</v>
      </c>
      <c r="C10" s="484"/>
      <c r="D10" s="500">
        <v>9704.9469289999979</v>
      </c>
      <c r="E10" s="500"/>
      <c r="F10" s="499"/>
      <c r="G10" s="500">
        <v>107946.62763200002</v>
      </c>
      <c r="H10" s="500"/>
      <c r="I10" s="501"/>
      <c r="J10" s="501">
        <v>90.167442236801648</v>
      </c>
      <c r="K10" s="501"/>
      <c r="L10" s="501"/>
      <c r="M10" s="501">
        <v>93.939823023635782</v>
      </c>
    </row>
    <row r="11" spans="1:15" ht="15" customHeight="1">
      <c r="B11" s="504" t="s">
        <v>387</v>
      </c>
      <c r="C11" s="484"/>
      <c r="D11" s="500">
        <v>34326.069749000002</v>
      </c>
      <c r="E11" s="500"/>
      <c r="F11" s="500"/>
      <c r="G11" s="500">
        <v>367093.92200600001</v>
      </c>
      <c r="H11" s="500"/>
      <c r="I11" s="501"/>
      <c r="J11" s="501">
        <v>138.41807029694886</v>
      </c>
      <c r="K11" s="501"/>
      <c r="L11" s="501"/>
      <c r="M11" s="501">
        <v>126.13826445640323</v>
      </c>
    </row>
    <row r="12" spans="1:15" ht="15" customHeight="1">
      <c r="B12" s="505" t="s">
        <v>388</v>
      </c>
      <c r="C12" s="484"/>
      <c r="D12" s="506">
        <v>111.85642799999999</v>
      </c>
      <c r="E12" s="506"/>
      <c r="F12" s="484"/>
      <c r="G12" s="506">
        <v>1374.969861</v>
      </c>
      <c r="H12" s="506"/>
      <c r="I12" s="501"/>
      <c r="J12" s="497">
        <v>98.908596413017278</v>
      </c>
      <c r="K12" s="497"/>
      <c r="L12" s="501"/>
      <c r="M12" s="497">
        <v>79.583447067565857</v>
      </c>
    </row>
    <row r="13" spans="1:15" ht="15" customHeight="1">
      <c r="B13" s="507" t="s">
        <v>389</v>
      </c>
      <c r="C13" s="484"/>
      <c r="D13" s="506">
        <v>34214.213321000003</v>
      </c>
      <c r="E13" s="506"/>
      <c r="F13" s="506"/>
      <c r="G13" s="506">
        <v>365718.95214499999</v>
      </c>
      <c r="H13" s="506"/>
      <c r="I13" s="501"/>
      <c r="J13" s="497">
        <v>138.59907168976838</v>
      </c>
      <c r="K13" s="497"/>
      <c r="L13" s="501"/>
      <c r="M13" s="497">
        <v>126.4162938080641</v>
      </c>
    </row>
    <row r="14" spans="1:15" ht="15" customHeight="1">
      <c r="A14" s="508" t="s">
        <v>390</v>
      </c>
      <c r="B14" s="483"/>
      <c r="C14" s="484"/>
      <c r="D14" s="484"/>
      <c r="E14" s="484"/>
      <c r="F14" s="484"/>
      <c r="G14" s="484"/>
      <c r="H14" s="484"/>
      <c r="I14" s="497"/>
      <c r="J14" s="497"/>
      <c r="K14" s="497"/>
      <c r="L14" s="497"/>
      <c r="M14" s="497"/>
    </row>
    <row r="15" spans="1:15" ht="15" customHeight="1">
      <c r="B15" s="507" t="s">
        <v>391</v>
      </c>
      <c r="C15" s="506"/>
      <c r="D15" s="506">
        <v>954.30887499999994</v>
      </c>
      <c r="E15" s="506"/>
      <c r="F15" s="506"/>
      <c r="G15" s="506">
        <v>11285.783884</v>
      </c>
      <c r="H15" s="506"/>
      <c r="I15" s="497"/>
      <c r="J15" s="497">
        <v>109.25677181353359</v>
      </c>
      <c r="K15" s="497"/>
      <c r="L15" s="497"/>
      <c r="M15" s="497">
        <v>112.41240495515498</v>
      </c>
      <c r="N15" s="509"/>
    </row>
    <row r="16" spans="1:15" ht="15" customHeight="1">
      <c r="B16" s="507" t="s">
        <v>392</v>
      </c>
      <c r="C16" s="506"/>
      <c r="D16" s="506">
        <v>793.75665900000001</v>
      </c>
      <c r="E16" s="506"/>
      <c r="F16" s="506"/>
      <c r="G16" s="506">
        <v>8562.1882779999996</v>
      </c>
      <c r="H16" s="506"/>
      <c r="I16" s="497"/>
      <c r="J16" s="497">
        <v>150.19563311435508</v>
      </c>
      <c r="K16" s="497"/>
      <c r="L16" s="497"/>
      <c r="M16" s="497">
        <v>119.82542547138861</v>
      </c>
      <c r="N16" s="509"/>
    </row>
    <row r="17" spans="2:14" ht="15" customHeight="1">
      <c r="B17" s="507" t="s">
        <v>393</v>
      </c>
      <c r="C17" s="506">
        <v>68.642499996626839</v>
      </c>
      <c r="D17" s="506">
        <v>465.59757999999999</v>
      </c>
      <c r="E17" s="506"/>
      <c r="F17" s="506">
        <v>765.54649999662684</v>
      </c>
      <c r="G17" s="506">
        <v>5229.3892189999997</v>
      </c>
      <c r="H17" s="506"/>
      <c r="I17" s="497">
        <v>126.48099352624207</v>
      </c>
      <c r="J17" s="497">
        <v>128.57922222814034</v>
      </c>
      <c r="K17" s="497"/>
      <c r="L17" s="497">
        <v>105.54472522077938</v>
      </c>
      <c r="M17" s="497">
        <v>120.4144986676791</v>
      </c>
      <c r="N17" s="509"/>
    </row>
    <row r="18" spans="2:14" ht="15" customHeight="1">
      <c r="B18" s="507" t="s">
        <v>394</v>
      </c>
      <c r="C18" s="506">
        <v>179.69630671270329</v>
      </c>
      <c r="D18" s="506">
        <v>947.99276699999996</v>
      </c>
      <c r="E18" s="506"/>
      <c r="F18" s="506">
        <v>1581.6793067127032</v>
      </c>
      <c r="G18" s="506">
        <v>8923.7064900000005</v>
      </c>
      <c r="H18" s="506"/>
      <c r="I18" s="497">
        <v>140.76494568468888</v>
      </c>
      <c r="J18" s="497">
        <v>138.04481819979063</v>
      </c>
      <c r="K18" s="497"/>
      <c r="L18" s="497">
        <v>117.52244165690482</v>
      </c>
      <c r="M18" s="497">
        <v>158.77277450984445</v>
      </c>
      <c r="N18" s="509"/>
    </row>
    <row r="19" spans="2:14" ht="15" customHeight="1">
      <c r="B19" s="507" t="s">
        <v>395</v>
      </c>
      <c r="C19" s="506">
        <v>13.985853927912661</v>
      </c>
      <c r="D19" s="506">
        <v>23.887644999999999</v>
      </c>
      <c r="E19" s="506"/>
      <c r="F19" s="506">
        <v>136.76085392791268</v>
      </c>
      <c r="G19" s="506">
        <v>237.89937599999999</v>
      </c>
      <c r="H19" s="506"/>
      <c r="I19" s="497">
        <v>106.42104647627957</v>
      </c>
      <c r="J19" s="497">
        <v>109.57781592405659</v>
      </c>
      <c r="K19" s="497"/>
      <c r="L19" s="497">
        <v>92.799124621140024</v>
      </c>
      <c r="M19" s="497">
        <v>92.795070687951934</v>
      </c>
      <c r="N19" s="509"/>
    </row>
    <row r="20" spans="2:14" ht="15" customHeight="1">
      <c r="B20" s="507" t="s">
        <v>396</v>
      </c>
      <c r="C20" s="506">
        <v>22.034279651662388</v>
      </c>
      <c r="D20" s="506">
        <v>145.02067500000001</v>
      </c>
      <c r="E20" s="506"/>
      <c r="F20" s="506">
        <v>245.27627965166238</v>
      </c>
      <c r="G20" s="506">
        <v>1660.8550029999999</v>
      </c>
      <c r="H20" s="506"/>
      <c r="I20" s="497">
        <v>149.46601310312295</v>
      </c>
      <c r="J20" s="497">
        <v>148.90271316791944</v>
      </c>
      <c r="K20" s="497"/>
      <c r="L20" s="497">
        <v>98.182774382610546</v>
      </c>
      <c r="M20" s="497">
        <v>126.33964091627749</v>
      </c>
      <c r="N20" s="509"/>
    </row>
    <row r="21" spans="2:14" ht="15" customHeight="1">
      <c r="B21" s="510" t="s">
        <v>397</v>
      </c>
      <c r="C21" s="506">
        <v>478.98007505733597</v>
      </c>
      <c r="D21" s="506">
        <v>248.769533</v>
      </c>
      <c r="E21" s="506"/>
      <c r="F21" s="506">
        <v>8013.5250750573359</v>
      </c>
      <c r="G21" s="506">
        <v>4103.6445899999999</v>
      </c>
      <c r="H21" s="506"/>
      <c r="I21" s="497">
        <v>82.147672166959822</v>
      </c>
      <c r="J21" s="497">
        <v>68.342949537075157</v>
      </c>
      <c r="K21" s="497"/>
      <c r="L21" s="497">
        <v>88.668896042861633</v>
      </c>
      <c r="M21" s="497">
        <v>72.429288145771096</v>
      </c>
      <c r="N21" s="511"/>
    </row>
    <row r="22" spans="2:14" ht="15" customHeight="1">
      <c r="B22" s="507" t="s">
        <v>398</v>
      </c>
      <c r="C22" s="506">
        <v>374.02188629456566</v>
      </c>
      <c r="D22" s="506">
        <v>135.17320100000001</v>
      </c>
      <c r="E22" s="506"/>
      <c r="F22" s="506">
        <v>3988.2478862945659</v>
      </c>
      <c r="G22" s="506">
        <v>1269.001528</v>
      </c>
      <c r="H22" s="506"/>
      <c r="I22" s="497">
        <v>124.72801090291314</v>
      </c>
      <c r="J22" s="497">
        <v>123.43097758361343</v>
      </c>
      <c r="K22" s="497"/>
      <c r="L22" s="497">
        <v>151.94882394784705</v>
      </c>
      <c r="M22" s="497">
        <v>109.81070587656754</v>
      </c>
      <c r="N22" s="509"/>
    </row>
    <row r="23" spans="2:14" ht="15" customHeight="1">
      <c r="B23" s="507" t="s">
        <v>399</v>
      </c>
      <c r="C23" s="506"/>
      <c r="D23" s="506">
        <v>127.533951</v>
      </c>
      <c r="E23" s="506"/>
      <c r="F23" s="506"/>
      <c r="G23" s="506">
        <v>1290.2281350000001</v>
      </c>
      <c r="H23" s="506"/>
      <c r="I23" s="497"/>
      <c r="J23" s="497">
        <v>109.18094526641042</v>
      </c>
      <c r="K23" s="497"/>
      <c r="L23" s="497"/>
      <c r="M23" s="497">
        <v>104.76715447786886</v>
      </c>
      <c r="N23" s="509"/>
    </row>
    <row r="24" spans="2:14" ht="15" customHeight="1">
      <c r="B24" s="507" t="s">
        <v>400</v>
      </c>
      <c r="C24" s="506"/>
      <c r="D24" s="506">
        <v>149.417216</v>
      </c>
      <c r="E24" s="506"/>
      <c r="F24" s="506"/>
      <c r="G24" s="506">
        <v>1437.8922110000001</v>
      </c>
      <c r="H24" s="506"/>
      <c r="I24" s="497"/>
      <c r="J24" s="497">
        <v>155.00931178058588</v>
      </c>
      <c r="K24" s="497"/>
      <c r="L24" s="497"/>
      <c r="M24" s="497">
        <v>138.48175455728961</v>
      </c>
      <c r="N24" s="509"/>
    </row>
    <row r="25" spans="2:14" ht="15" customHeight="1">
      <c r="B25" s="507" t="s">
        <v>401</v>
      </c>
      <c r="C25" s="506">
        <v>3727.4233433116246</v>
      </c>
      <c r="D25" s="506">
        <v>132.47494800000001</v>
      </c>
      <c r="E25" s="506"/>
      <c r="F25" s="506">
        <v>37123.915343311623</v>
      </c>
      <c r="G25" s="506">
        <v>1374.57392</v>
      </c>
      <c r="H25" s="506"/>
      <c r="I25" s="497">
        <v>164.9940438608393</v>
      </c>
      <c r="J25" s="497">
        <v>154.50349734941992</v>
      </c>
      <c r="K25" s="497"/>
      <c r="L25" s="497">
        <v>124.99478236606471</v>
      </c>
      <c r="M25" s="497">
        <v>120.84783540733699</v>
      </c>
      <c r="N25" s="509"/>
    </row>
    <row r="26" spans="2:14" ht="15" customHeight="1">
      <c r="B26" s="507" t="s">
        <v>402</v>
      </c>
      <c r="C26" s="506">
        <v>201.80741229867854</v>
      </c>
      <c r="D26" s="506">
        <v>111.85642799999999</v>
      </c>
      <c r="E26" s="506"/>
      <c r="F26" s="506">
        <v>2444.5274122986784</v>
      </c>
      <c r="G26" s="506">
        <v>1374.969861</v>
      </c>
      <c r="H26" s="506"/>
      <c r="I26" s="497">
        <v>107.67311488196864</v>
      </c>
      <c r="J26" s="497">
        <v>98.908596413017278</v>
      </c>
      <c r="K26" s="497"/>
      <c r="L26" s="497">
        <v>94.065436497929724</v>
      </c>
      <c r="M26" s="497">
        <v>79.583447067565857</v>
      </c>
      <c r="N26" s="509"/>
    </row>
    <row r="27" spans="2:14" ht="15" customHeight="1">
      <c r="B27" s="507" t="s">
        <v>403</v>
      </c>
      <c r="C27" s="506">
        <v>123.03970349088537</v>
      </c>
      <c r="D27" s="506">
        <v>93.613771</v>
      </c>
      <c r="E27" s="506"/>
      <c r="F27" s="506">
        <v>1376.1307034908853</v>
      </c>
      <c r="G27" s="506">
        <v>942.25235899999996</v>
      </c>
      <c r="H27" s="506"/>
      <c r="I27" s="497">
        <v>59.074747928674839</v>
      </c>
      <c r="J27" s="497">
        <v>58.972422025610314</v>
      </c>
      <c r="K27" s="497"/>
      <c r="L27" s="497">
        <v>57.800169162459547</v>
      </c>
      <c r="M27" s="497">
        <v>49.235670036829084</v>
      </c>
      <c r="N27" s="509"/>
    </row>
    <row r="28" spans="2:14" ht="15" customHeight="1">
      <c r="B28" s="507" t="s">
        <v>404</v>
      </c>
      <c r="C28" s="506"/>
      <c r="D28" s="506">
        <v>256.94775299999998</v>
      </c>
      <c r="E28" s="506"/>
      <c r="F28" s="506"/>
      <c r="G28" s="506">
        <v>2778.1692969999999</v>
      </c>
      <c r="H28" s="506"/>
      <c r="I28" s="497"/>
      <c r="J28" s="497">
        <v>110.79901249468038</v>
      </c>
      <c r="K28" s="497"/>
      <c r="L28" s="497"/>
      <c r="M28" s="497">
        <v>100.63821693729531</v>
      </c>
      <c r="N28" s="509"/>
    </row>
    <row r="29" spans="2:14" ht="15" customHeight="1">
      <c r="B29" s="507" t="s">
        <v>405</v>
      </c>
      <c r="C29" s="506"/>
      <c r="D29" s="506">
        <v>297.43574000000001</v>
      </c>
      <c r="E29" s="506"/>
      <c r="F29" s="506"/>
      <c r="G29" s="506">
        <v>2912.8521770000002</v>
      </c>
      <c r="H29" s="506"/>
      <c r="I29" s="497"/>
      <c r="J29" s="497">
        <v>120.49049147318659</v>
      </c>
      <c r="K29" s="497"/>
      <c r="L29" s="497"/>
      <c r="M29" s="497">
        <v>107.53213431901752</v>
      </c>
      <c r="N29" s="509"/>
    </row>
    <row r="30" spans="2:14" ht="15" customHeight="1">
      <c r="B30" s="507" t="s">
        <v>406</v>
      </c>
      <c r="C30" s="506">
        <v>207.78410403341778</v>
      </c>
      <c r="D30" s="506">
        <v>202.94690800000001</v>
      </c>
      <c r="E30" s="506"/>
      <c r="F30" s="506">
        <v>2254.0121040334179</v>
      </c>
      <c r="G30" s="506">
        <v>2346.9215210000002</v>
      </c>
      <c r="H30" s="506"/>
      <c r="I30" s="497">
        <v>131.29121585309031</v>
      </c>
      <c r="J30" s="497">
        <v>114.97077199605377</v>
      </c>
      <c r="K30" s="497"/>
      <c r="L30" s="497">
        <v>93.791646514473882</v>
      </c>
      <c r="M30" s="497">
        <v>89.208084987984094</v>
      </c>
      <c r="N30" s="509"/>
    </row>
    <row r="31" spans="2:14" ht="15" customHeight="1">
      <c r="B31" s="507" t="s">
        <v>407</v>
      </c>
      <c r="C31" s="506"/>
      <c r="D31" s="506">
        <v>702.40148199999999</v>
      </c>
      <c r="E31" s="506"/>
      <c r="F31" s="506"/>
      <c r="G31" s="506">
        <v>7473.1897980000003</v>
      </c>
      <c r="H31" s="506"/>
      <c r="I31" s="497"/>
      <c r="J31" s="497">
        <v>107.65985219201013</v>
      </c>
      <c r="K31" s="497"/>
      <c r="L31" s="497"/>
      <c r="M31" s="497">
        <v>111.1134716354447</v>
      </c>
      <c r="N31" s="509"/>
    </row>
    <row r="32" spans="2:14" ht="15" customHeight="1">
      <c r="B32" s="507" t="s">
        <v>408</v>
      </c>
      <c r="C32" s="506">
        <v>240.20185796905554</v>
      </c>
      <c r="D32" s="506">
        <v>404.90249299999999</v>
      </c>
      <c r="E32" s="506"/>
      <c r="F32" s="506">
        <v>1901.4068579690554</v>
      </c>
      <c r="G32" s="506">
        <v>3328.7850290000001</v>
      </c>
      <c r="H32" s="506"/>
      <c r="I32" s="497">
        <v>101.11761376445736</v>
      </c>
      <c r="J32" s="497">
        <v>89.6335906305533</v>
      </c>
      <c r="K32" s="497"/>
      <c r="L32" s="497">
        <v>94.578487474342452</v>
      </c>
      <c r="M32" s="497">
        <v>97.375486227325297</v>
      </c>
      <c r="N32" s="509"/>
    </row>
    <row r="33" spans="2:14" ht="15" customHeight="1">
      <c r="B33" s="507" t="s">
        <v>409</v>
      </c>
      <c r="C33" s="506"/>
      <c r="D33" s="506">
        <v>131.47090700000001</v>
      </c>
      <c r="E33" s="506"/>
      <c r="F33" s="506"/>
      <c r="G33" s="506">
        <v>1417.349361</v>
      </c>
      <c r="H33" s="506"/>
      <c r="I33" s="497"/>
      <c r="J33" s="497">
        <v>111.89244288658725</v>
      </c>
      <c r="K33" s="497"/>
      <c r="L33" s="497"/>
      <c r="M33" s="497">
        <v>115.63077255697183</v>
      </c>
      <c r="N33" s="509"/>
    </row>
    <row r="34" spans="2:14" ht="15" customHeight="1">
      <c r="B34" s="507" t="s">
        <v>410</v>
      </c>
      <c r="C34" s="506"/>
      <c r="D34" s="506">
        <v>471.32970699999998</v>
      </c>
      <c r="E34" s="506"/>
      <c r="F34" s="506"/>
      <c r="G34" s="506">
        <v>4614.6701380000004</v>
      </c>
      <c r="H34" s="506"/>
      <c r="I34" s="497"/>
      <c r="J34" s="497">
        <v>113.99817480423221</v>
      </c>
      <c r="K34" s="497"/>
      <c r="L34" s="497"/>
      <c r="M34" s="497">
        <v>108.5366816082271</v>
      </c>
      <c r="N34" s="509"/>
    </row>
    <row r="35" spans="2:14" ht="15" customHeight="1">
      <c r="B35" s="507" t="s">
        <v>411</v>
      </c>
      <c r="C35" s="506"/>
      <c r="D35" s="506">
        <v>1655.5288860000001</v>
      </c>
      <c r="E35" s="506"/>
      <c r="F35" s="506"/>
      <c r="G35" s="506">
        <v>17204.862592000001</v>
      </c>
      <c r="H35" s="506"/>
      <c r="I35" s="497"/>
      <c r="J35" s="497">
        <v>105.97351148712688</v>
      </c>
      <c r="K35" s="497"/>
      <c r="L35" s="497"/>
      <c r="M35" s="497">
        <v>105.68150024237251</v>
      </c>
      <c r="N35" s="509"/>
    </row>
    <row r="36" spans="2:14" ht="15" customHeight="1">
      <c r="B36" s="507" t="s">
        <v>412</v>
      </c>
      <c r="C36" s="506"/>
      <c r="D36" s="506">
        <v>189.15652299999999</v>
      </c>
      <c r="E36" s="506"/>
      <c r="F36" s="506"/>
      <c r="G36" s="506">
        <v>2126.2393120000002</v>
      </c>
      <c r="H36" s="506"/>
      <c r="I36" s="497"/>
      <c r="J36" s="497">
        <v>107.95870618871875</v>
      </c>
      <c r="K36" s="497"/>
      <c r="L36" s="497"/>
      <c r="M36" s="497">
        <v>101.32630376822036</v>
      </c>
      <c r="N36" s="509"/>
    </row>
    <row r="37" spans="2:14" ht="15" customHeight="1">
      <c r="B37" s="507" t="s">
        <v>413</v>
      </c>
      <c r="C37" s="506">
        <v>192.23030053785834</v>
      </c>
      <c r="D37" s="506">
        <v>411.09802999999999</v>
      </c>
      <c r="E37" s="506"/>
      <c r="F37" s="506">
        <v>1952.3563005378583</v>
      </c>
      <c r="G37" s="506">
        <v>4314.4777240000003</v>
      </c>
      <c r="H37" s="506"/>
      <c r="I37" s="497">
        <v>111.90623976170311</v>
      </c>
      <c r="J37" s="497">
        <v>142.25671165604831</v>
      </c>
      <c r="K37" s="497"/>
      <c r="L37" s="497">
        <v>103.76401717416141</v>
      </c>
      <c r="M37" s="497">
        <v>97.879708618608987</v>
      </c>
      <c r="N37" s="509"/>
    </row>
    <row r="38" spans="2:14" ht="15" customHeight="1">
      <c r="B38" s="507" t="s">
        <v>414</v>
      </c>
      <c r="C38" s="506"/>
      <c r="D38" s="506">
        <v>3654.8596950000001</v>
      </c>
      <c r="E38" s="506"/>
      <c r="F38" s="506"/>
      <c r="G38" s="506">
        <v>39641.806149999997</v>
      </c>
      <c r="H38" s="506"/>
      <c r="I38" s="497"/>
      <c r="J38" s="497">
        <v>108.45355080391485</v>
      </c>
      <c r="K38" s="497"/>
      <c r="L38" s="497"/>
      <c r="M38" s="497">
        <v>107.02473656671054</v>
      </c>
      <c r="N38" s="509"/>
    </row>
    <row r="39" spans="2:14" ht="15" customHeight="1">
      <c r="B39" s="507" t="s">
        <v>415</v>
      </c>
      <c r="C39" s="506"/>
      <c r="D39" s="506">
        <v>2198.6411320000002</v>
      </c>
      <c r="E39" s="506"/>
      <c r="F39" s="506"/>
      <c r="G39" s="506">
        <v>24203.502630999999</v>
      </c>
      <c r="H39" s="506"/>
      <c r="I39" s="497"/>
      <c r="J39" s="497">
        <v>104.36863039759574</v>
      </c>
      <c r="K39" s="497"/>
      <c r="L39" s="497"/>
      <c r="M39" s="497">
        <v>105.80731376477932</v>
      </c>
      <c r="N39" s="509"/>
    </row>
    <row r="40" spans="2:14" ht="15" customHeight="1">
      <c r="B40" s="507" t="s">
        <v>416</v>
      </c>
      <c r="C40" s="506"/>
      <c r="D40" s="506">
        <v>236.90020200000001</v>
      </c>
      <c r="E40" s="506"/>
      <c r="F40" s="506"/>
      <c r="G40" s="506">
        <v>2432.6992289999998</v>
      </c>
      <c r="H40" s="506"/>
      <c r="I40" s="497"/>
      <c r="J40" s="497">
        <v>122.3022109319498</v>
      </c>
      <c r="K40" s="497"/>
      <c r="L40" s="497"/>
      <c r="M40" s="497">
        <v>109.127002418888</v>
      </c>
      <c r="N40" s="509"/>
    </row>
    <row r="41" spans="2:14" ht="15" customHeight="1">
      <c r="B41" s="507" t="s">
        <v>417</v>
      </c>
      <c r="C41" s="506"/>
      <c r="D41" s="506">
        <v>142.109813</v>
      </c>
      <c r="E41" s="506"/>
      <c r="F41" s="506"/>
      <c r="G41" s="506">
        <v>1458.111948</v>
      </c>
      <c r="H41" s="506"/>
      <c r="I41" s="497"/>
      <c r="J41" s="497">
        <v>129.86062037892941</v>
      </c>
      <c r="K41" s="497"/>
      <c r="L41" s="497"/>
      <c r="M41" s="497">
        <v>122.95592959050181</v>
      </c>
      <c r="N41" s="509"/>
    </row>
    <row r="42" spans="2:14" ht="15" customHeight="1">
      <c r="B42" s="507" t="s">
        <v>418</v>
      </c>
      <c r="C42" s="506">
        <v>869.01678248958763</v>
      </c>
      <c r="D42" s="506">
        <v>547.81570799999997</v>
      </c>
      <c r="E42" s="506"/>
      <c r="F42" s="506">
        <v>10085.726782489586</v>
      </c>
      <c r="G42" s="506">
        <v>6626.847213</v>
      </c>
      <c r="H42" s="506"/>
      <c r="I42" s="497">
        <v>120.04552835445317</v>
      </c>
      <c r="J42" s="497">
        <v>103.32993695419231</v>
      </c>
      <c r="K42" s="497"/>
      <c r="L42" s="497">
        <v>79.845286126672647</v>
      </c>
      <c r="M42" s="497">
        <v>73.002110870718511</v>
      </c>
      <c r="N42" s="509"/>
    </row>
    <row r="43" spans="2:14" ht="15" customHeight="1">
      <c r="B43" s="507" t="s">
        <v>419</v>
      </c>
      <c r="C43" s="506"/>
      <c r="D43" s="506">
        <v>464.280168</v>
      </c>
      <c r="E43" s="506"/>
      <c r="F43" s="506"/>
      <c r="G43" s="506">
        <v>5473.5145860000002</v>
      </c>
      <c r="H43" s="506"/>
      <c r="I43" s="497"/>
      <c r="J43" s="497">
        <v>91.912599661972877</v>
      </c>
      <c r="K43" s="497"/>
      <c r="L43" s="497"/>
      <c r="M43" s="497">
        <v>119.15237980142408</v>
      </c>
      <c r="N43" s="509"/>
    </row>
    <row r="44" spans="2:14" ht="15" customHeight="1">
      <c r="B44" s="512" t="s">
        <v>420</v>
      </c>
      <c r="C44" s="506"/>
      <c r="D44" s="506">
        <v>465.14908600000001</v>
      </c>
      <c r="E44" s="506"/>
      <c r="F44" s="506"/>
      <c r="G44" s="506">
        <v>4719.8074589999997</v>
      </c>
      <c r="H44" s="506"/>
      <c r="I44" s="497"/>
      <c r="J44" s="497">
        <v>122.68664331456405</v>
      </c>
      <c r="K44" s="497"/>
      <c r="L44" s="497"/>
      <c r="M44" s="497">
        <v>112.53032152771985</v>
      </c>
    </row>
    <row r="45" spans="2:14" ht="15" customHeight="1">
      <c r="B45" s="512" t="s">
        <v>421</v>
      </c>
      <c r="C45" s="506"/>
      <c r="D45" s="506">
        <v>10742.625636000001</v>
      </c>
      <c r="E45" s="506"/>
      <c r="F45" s="506"/>
      <c r="G45" s="506">
        <v>107748.354057</v>
      </c>
      <c r="H45" s="506"/>
      <c r="I45" s="497"/>
      <c r="J45" s="497">
        <v>146.66335754495765</v>
      </c>
      <c r="K45" s="497"/>
      <c r="L45" s="497"/>
      <c r="M45" s="497">
        <v>148.42419823901</v>
      </c>
    </row>
    <row r="46" spans="2:14" ht="15" customHeight="1">
      <c r="B46" s="512" t="s">
        <v>422</v>
      </c>
      <c r="C46" s="506"/>
      <c r="D46" s="506">
        <v>4054.4016339999998</v>
      </c>
      <c r="E46" s="506"/>
      <c r="F46" s="506"/>
      <c r="G46" s="506">
        <v>56709.827308</v>
      </c>
      <c r="H46" s="506"/>
      <c r="I46" s="497"/>
      <c r="J46" s="497">
        <v>111.06817215893629</v>
      </c>
      <c r="K46" s="497"/>
      <c r="L46" s="497"/>
      <c r="M46" s="497">
        <v>105.2309432629734</v>
      </c>
    </row>
    <row r="47" spans="2:14" ht="15" customHeight="1">
      <c r="B47" s="512" t="s">
        <v>423</v>
      </c>
      <c r="C47" s="506"/>
      <c r="D47" s="506">
        <v>757.70918600000005</v>
      </c>
      <c r="E47" s="506"/>
      <c r="F47" s="506"/>
      <c r="G47" s="506">
        <v>8302.2649939999992</v>
      </c>
      <c r="H47" s="506"/>
      <c r="I47" s="497"/>
      <c r="J47" s="497">
        <v>131.21251422147958</v>
      </c>
      <c r="K47" s="497"/>
      <c r="L47" s="497"/>
      <c r="M47" s="497">
        <v>103.48751746831486</v>
      </c>
    </row>
    <row r="48" spans="2:14" ht="15" customHeight="1">
      <c r="B48" s="512" t="s">
        <v>424</v>
      </c>
      <c r="C48" s="506"/>
      <c r="D48" s="506">
        <v>5590.8046780000004</v>
      </c>
      <c r="E48" s="506"/>
      <c r="F48" s="506"/>
      <c r="G48" s="506">
        <v>59046.921160999998</v>
      </c>
      <c r="H48" s="506"/>
      <c r="I48" s="497"/>
      <c r="J48" s="497">
        <v>128.07385160208031</v>
      </c>
      <c r="K48" s="497"/>
      <c r="L48" s="497"/>
      <c r="M48" s="497">
        <v>113.17849805104998</v>
      </c>
    </row>
    <row r="49" spans="2:13" ht="15" customHeight="1">
      <c r="B49" s="512" t="s">
        <v>425</v>
      </c>
      <c r="C49" s="506"/>
      <c r="D49" s="506">
        <v>409.29652399999998</v>
      </c>
      <c r="E49" s="506"/>
      <c r="F49" s="506"/>
      <c r="G49" s="506">
        <v>4392.7915929999999</v>
      </c>
      <c r="H49" s="506"/>
      <c r="I49" s="497"/>
      <c r="J49" s="497">
        <v>130.13224288815528</v>
      </c>
      <c r="K49" s="497"/>
      <c r="L49" s="497"/>
      <c r="M49" s="497">
        <v>125.47940091300447</v>
      </c>
    </row>
    <row r="50" spans="2:13" ht="15" customHeight="1">
      <c r="B50" s="512" t="s">
        <v>426</v>
      </c>
      <c r="C50" s="506"/>
      <c r="D50" s="506">
        <v>1582.2074970000001</v>
      </c>
      <c r="E50" s="506"/>
      <c r="F50" s="506"/>
      <c r="G50" s="506">
        <v>17529.660810000001</v>
      </c>
      <c r="H50" s="506"/>
      <c r="I50" s="497"/>
      <c r="J50" s="497">
        <v>121.75901797136892</v>
      </c>
      <c r="K50" s="497"/>
      <c r="L50" s="497"/>
      <c r="M50" s="497">
        <v>114.99820110698022</v>
      </c>
    </row>
    <row r="51" spans="2:13" ht="15" customHeight="1">
      <c r="B51" s="512" t="s">
        <v>427</v>
      </c>
      <c r="C51" s="506"/>
      <c r="D51" s="506">
        <v>443.393372</v>
      </c>
      <c r="E51" s="506"/>
      <c r="F51" s="506"/>
      <c r="G51" s="506">
        <v>3828.6544709999998</v>
      </c>
      <c r="H51" s="506"/>
      <c r="I51" s="497"/>
      <c r="J51" s="497">
        <v>120.34607739084457</v>
      </c>
      <c r="K51" s="497"/>
      <c r="L51" s="497"/>
      <c r="M51" s="497">
        <v>112.26728962367449</v>
      </c>
    </row>
    <row r="52" spans="2:13" ht="15" customHeight="1">
      <c r="B52" s="512" t="s">
        <v>428</v>
      </c>
      <c r="C52" s="506"/>
      <c r="D52" s="506">
        <v>941.94185800000002</v>
      </c>
      <c r="E52" s="506"/>
      <c r="F52" s="506"/>
      <c r="G52" s="506">
        <v>9325.3911829999997</v>
      </c>
      <c r="H52" s="506"/>
      <c r="I52" s="497"/>
      <c r="J52" s="497">
        <v>299.92016504829428</v>
      </c>
      <c r="K52" s="497"/>
      <c r="L52" s="497"/>
      <c r="M52" s="497">
        <v>248.22015727170461</v>
      </c>
    </row>
    <row r="53" spans="2:13" ht="15" customHeight="1">
      <c r="B53" s="513"/>
      <c r="C53" s="513"/>
      <c r="D53" s="513"/>
      <c r="E53" s="513"/>
      <c r="F53" s="513"/>
      <c r="G53" s="513"/>
      <c r="H53" s="513"/>
      <c r="I53" s="513"/>
      <c r="J53" s="513"/>
      <c r="K53" s="513"/>
      <c r="L53" s="513"/>
      <c r="M53" s="513"/>
    </row>
    <row r="54" spans="2:13" ht="15" customHeight="1">
      <c r="B54" s="513"/>
      <c r="C54" s="513"/>
      <c r="D54" s="513"/>
      <c r="E54" s="513"/>
      <c r="F54" s="513"/>
      <c r="G54" s="513"/>
      <c r="H54" s="513"/>
      <c r="I54" s="513"/>
      <c r="J54" s="513"/>
      <c r="K54" s="513"/>
      <c r="L54" s="513"/>
      <c r="M54" s="513"/>
    </row>
    <row r="55" spans="2:13" ht="15" customHeight="1">
      <c r="B55" s="513"/>
      <c r="C55" s="513"/>
      <c r="D55" s="513"/>
      <c r="E55" s="513"/>
      <c r="F55" s="513"/>
      <c r="G55" s="513"/>
      <c r="H55" s="513"/>
      <c r="I55" s="513"/>
      <c r="J55" s="513"/>
      <c r="K55" s="513"/>
      <c r="L55" s="513"/>
      <c r="M55" s="513"/>
    </row>
    <row r="56" spans="2:13" ht="15" customHeight="1">
      <c r="B56" s="513"/>
      <c r="C56" s="513"/>
      <c r="D56" s="513"/>
      <c r="E56" s="513"/>
      <c r="F56" s="513"/>
      <c r="G56" s="513"/>
      <c r="H56" s="513"/>
      <c r="I56" s="513"/>
      <c r="J56" s="513"/>
      <c r="K56" s="513"/>
      <c r="L56" s="513"/>
      <c r="M56" s="513"/>
    </row>
    <row r="57" spans="2:13" ht="15" customHeight="1">
      <c r="B57" s="513"/>
      <c r="C57" s="513"/>
      <c r="D57" s="513"/>
      <c r="E57" s="513"/>
      <c r="F57" s="513"/>
      <c r="G57" s="513"/>
      <c r="H57" s="513"/>
      <c r="I57" s="513"/>
      <c r="J57" s="513"/>
      <c r="K57" s="513"/>
      <c r="L57" s="513"/>
      <c r="M57" s="513"/>
    </row>
    <row r="58" spans="2:13" ht="15" customHeight="1">
      <c r="B58" s="513"/>
      <c r="C58" s="513"/>
      <c r="D58" s="513"/>
      <c r="E58" s="513"/>
      <c r="F58" s="513"/>
      <c r="G58" s="513"/>
      <c r="H58" s="513"/>
      <c r="I58" s="513"/>
      <c r="J58" s="513"/>
      <c r="K58" s="513"/>
      <c r="L58" s="513"/>
      <c r="M58" s="513"/>
    </row>
    <row r="59" spans="2:13" ht="15" customHeight="1">
      <c r="B59" s="513"/>
      <c r="C59" s="513"/>
      <c r="D59" s="513"/>
      <c r="E59" s="513"/>
      <c r="F59" s="513"/>
      <c r="G59" s="513"/>
      <c r="H59" s="513"/>
      <c r="I59" s="513"/>
      <c r="J59" s="513"/>
      <c r="K59" s="513"/>
      <c r="L59" s="513"/>
      <c r="M59" s="513"/>
    </row>
    <row r="60" spans="2:13" ht="15" customHeight="1">
      <c r="B60" s="513"/>
      <c r="C60" s="513"/>
      <c r="D60" s="513"/>
      <c r="E60" s="513"/>
      <c r="F60" s="513"/>
      <c r="G60" s="513"/>
      <c r="H60" s="513"/>
      <c r="I60" s="513"/>
      <c r="J60" s="513"/>
      <c r="K60" s="513"/>
      <c r="L60" s="513"/>
      <c r="M60" s="513"/>
    </row>
    <row r="61" spans="2:13" ht="15" customHeight="1">
      <c r="B61" s="513"/>
      <c r="C61" s="513"/>
      <c r="D61" s="513"/>
      <c r="E61" s="513"/>
      <c r="F61" s="513"/>
      <c r="G61" s="513"/>
      <c r="H61" s="513"/>
      <c r="I61" s="513"/>
      <c r="J61" s="513"/>
      <c r="K61" s="513"/>
      <c r="L61" s="513"/>
      <c r="M61" s="513"/>
    </row>
    <row r="62" spans="2:13" ht="15" customHeight="1">
      <c r="B62" s="513"/>
      <c r="C62" s="513"/>
      <c r="D62" s="513"/>
      <c r="E62" s="513"/>
      <c r="F62" s="513"/>
      <c r="G62" s="513"/>
      <c r="H62" s="513"/>
      <c r="I62" s="513"/>
      <c r="J62" s="513"/>
      <c r="K62" s="513"/>
      <c r="L62" s="513"/>
      <c r="M62" s="513"/>
    </row>
    <row r="63" spans="2:13" ht="15" customHeight="1">
      <c r="B63" s="513"/>
      <c r="C63" s="513"/>
      <c r="D63" s="513"/>
      <c r="E63" s="513"/>
      <c r="F63" s="513"/>
      <c r="G63" s="513"/>
      <c r="H63" s="513"/>
      <c r="I63" s="513"/>
      <c r="J63" s="513"/>
      <c r="K63" s="513"/>
      <c r="L63" s="513"/>
      <c r="M63" s="513"/>
    </row>
    <row r="64" spans="2:13" ht="15" customHeight="1">
      <c r="B64" s="513"/>
      <c r="C64" s="513"/>
      <c r="D64" s="513"/>
      <c r="E64" s="513"/>
      <c r="F64" s="513"/>
      <c r="G64" s="513"/>
      <c r="H64" s="513"/>
      <c r="L64" s="513"/>
      <c r="M64" s="513"/>
    </row>
    <row r="65" spans="2:2" ht="15" customHeight="1">
      <c r="B65" s="513"/>
    </row>
    <row r="66" spans="2:2" ht="15" customHeight="1">
      <c r="B66" s="513"/>
    </row>
    <row r="67" spans="2:2" ht="15" customHeight="1">
      <c r="B67" s="513"/>
    </row>
    <row r="68" spans="2:2" ht="15" customHeight="1">
      <c r="B68" s="513"/>
    </row>
  </sheetData>
  <mergeCells count="11">
    <mergeCell ref="C6:D6"/>
    <mergeCell ref="F6:G6"/>
    <mergeCell ref="I6:J6"/>
    <mergeCell ref="L6:M6"/>
    <mergeCell ref="C4:G4"/>
    <mergeCell ref="I4:J4"/>
    <mergeCell ref="L4:M4"/>
    <mergeCell ref="C5:D5"/>
    <mergeCell ref="F5:G5"/>
    <mergeCell ref="I5:J5"/>
    <mergeCell ref="L5:M5"/>
  </mergeCells>
  <pageMargins left="0.74803149606299202" right="0.17" top="0.74803149606299202" bottom="0.511811023622047" header="0.43307086614173201" footer="0.31496062992126"/>
  <pageSetup paperSize="9" scale="96" orientation="portrait" r:id="rId1"/>
  <headerFooter alignWithMargins="0">
    <oddHeader>&amp;C&amp;"Times New Roman,Regular"&amp;13&amp;P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8"/>
  <sheetViews>
    <sheetView workbookViewId="0">
      <selection activeCell="L15" sqref="L15"/>
    </sheetView>
  </sheetViews>
  <sheetFormatPr defaultColWidth="6.42578125" defaultRowHeight="12.75" customHeight="1"/>
  <cols>
    <col min="1" max="1" width="1" style="526" customWidth="1"/>
    <col min="2" max="2" width="31.85546875" style="530" customWidth="1"/>
    <col min="3" max="3" width="6.28515625" style="526" bestFit="1" customWidth="1"/>
    <col min="4" max="4" width="6" style="526" bestFit="1" customWidth="1"/>
    <col min="5" max="5" width="0.42578125" style="526" customWidth="1"/>
    <col min="6" max="7" width="7" style="526" bestFit="1" customWidth="1"/>
    <col min="8" max="8" width="0.42578125" style="526" customWidth="1"/>
    <col min="9" max="10" width="8.42578125" style="526" customWidth="1"/>
    <col min="11" max="11" width="0.28515625" style="526" customWidth="1"/>
    <col min="12" max="13" width="7.42578125" style="526" customWidth="1"/>
    <col min="14" max="16384" width="6.42578125" style="526"/>
  </cols>
  <sheetData>
    <row r="1" spans="1:14" s="481" customFormat="1" ht="19.5" customHeight="1">
      <c r="A1" s="479" t="s">
        <v>708</v>
      </c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</row>
    <row r="2" spans="1:14" s="481" customFormat="1" ht="15"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</row>
    <row r="3" spans="1:14" s="484" customFormat="1" ht="12.75" customHeight="1">
      <c r="B3" s="483"/>
      <c r="G3" s="485"/>
      <c r="H3" s="485"/>
      <c r="I3" s="485"/>
      <c r="J3" s="485"/>
      <c r="K3" s="485"/>
      <c r="L3" s="486"/>
      <c r="M3" s="487" t="s">
        <v>381</v>
      </c>
    </row>
    <row r="4" spans="1:14" s="484" customFormat="1" ht="12.75" customHeight="1">
      <c r="A4" s="514"/>
      <c r="B4" s="489"/>
      <c r="C4" s="956" t="s">
        <v>300</v>
      </c>
      <c r="D4" s="956"/>
      <c r="E4" s="956"/>
      <c r="F4" s="956"/>
      <c r="G4" s="956"/>
      <c r="H4" s="490"/>
      <c r="I4" s="957" t="s">
        <v>382</v>
      </c>
      <c r="J4" s="957"/>
      <c r="K4" s="490"/>
      <c r="L4" s="957" t="s">
        <v>86</v>
      </c>
      <c r="M4" s="957"/>
    </row>
    <row r="5" spans="1:14" s="484" customFormat="1" ht="12.75" customHeight="1">
      <c r="B5" s="491"/>
      <c r="C5" s="958" t="s">
        <v>84</v>
      </c>
      <c r="D5" s="958"/>
      <c r="E5" s="492"/>
      <c r="F5" s="958" t="s">
        <v>36</v>
      </c>
      <c r="G5" s="958"/>
      <c r="H5" s="492"/>
      <c r="I5" s="958" t="s">
        <v>5</v>
      </c>
      <c r="J5" s="958"/>
      <c r="K5" s="492"/>
      <c r="L5" s="958" t="s">
        <v>44</v>
      </c>
      <c r="M5" s="958"/>
    </row>
    <row r="6" spans="1:14" s="484" customFormat="1" ht="12.75" customHeight="1">
      <c r="B6" s="491"/>
      <c r="C6" s="955" t="s">
        <v>87</v>
      </c>
      <c r="D6" s="955"/>
      <c r="E6" s="493"/>
      <c r="F6" s="955">
        <v>2025</v>
      </c>
      <c r="G6" s="955"/>
      <c r="H6" s="493"/>
      <c r="I6" s="955" t="s">
        <v>7</v>
      </c>
      <c r="J6" s="955"/>
      <c r="K6" s="493"/>
      <c r="L6" s="955" t="s">
        <v>7</v>
      </c>
      <c r="M6" s="955"/>
    </row>
    <row r="7" spans="1:14" s="484" customFormat="1" ht="12.75" customHeight="1">
      <c r="B7" s="491"/>
      <c r="C7" s="494" t="s">
        <v>383</v>
      </c>
      <c r="D7" s="494" t="s">
        <v>384</v>
      </c>
      <c r="E7" s="494"/>
      <c r="F7" s="495" t="s">
        <v>383</v>
      </c>
      <c r="G7" s="494" t="s">
        <v>384</v>
      </c>
      <c r="H7" s="494"/>
      <c r="I7" s="494" t="s">
        <v>383</v>
      </c>
      <c r="J7" s="494" t="s">
        <v>384</v>
      </c>
      <c r="K7" s="494"/>
      <c r="L7" s="495" t="s">
        <v>383</v>
      </c>
      <c r="M7" s="494" t="s">
        <v>384</v>
      </c>
    </row>
    <row r="8" spans="1:14" s="484" customFormat="1" ht="12.75" customHeight="1">
      <c r="B8" s="491"/>
      <c r="D8" s="497"/>
      <c r="E8" s="497"/>
    </row>
    <row r="9" spans="1:14" s="484" customFormat="1" ht="12.75" customHeight="1">
      <c r="A9" s="515" t="s">
        <v>385</v>
      </c>
      <c r="C9" s="516"/>
      <c r="D9" s="517">
        <v>44686.566349000001</v>
      </c>
      <c r="E9" s="517"/>
      <c r="F9" s="517"/>
      <c r="G9" s="517">
        <v>455006.285669</v>
      </c>
      <c r="H9" s="517"/>
      <c r="I9" s="518"/>
      <c r="J9" s="518">
        <v>127.68971148638208</v>
      </c>
      <c r="K9" s="518"/>
      <c r="L9" s="518"/>
      <c r="M9" s="518">
        <v>119.42716838690741</v>
      </c>
      <c r="N9" s="519"/>
    </row>
    <row r="10" spans="1:14" s="484" customFormat="1" ht="12.75" customHeight="1">
      <c r="B10" s="504" t="s">
        <v>386</v>
      </c>
      <c r="C10" s="516"/>
      <c r="D10" s="517">
        <v>14573.177829</v>
      </c>
      <c r="E10" s="517"/>
      <c r="F10" s="517"/>
      <c r="G10" s="517">
        <v>137375.115728</v>
      </c>
      <c r="H10" s="517"/>
      <c r="I10" s="518"/>
      <c r="J10" s="518">
        <v>104.08690411289787</v>
      </c>
      <c r="K10" s="518"/>
      <c r="L10" s="518"/>
      <c r="M10" s="518">
        <v>97.959771409802769</v>
      </c>
      <c r="N10" s="520"/>
    </row>
    <row r="11" spans="1:14" s="484" customFormat="1" ht="12.75" customHeight="1">
      <c r="B11" s="504" t="s">
        <v>387</v>
      </c>
      <c r="C11" s="516"/>
      <c r="D11" s="517">
        <v>30114</v>
      </c>
      <c r="E11" s="517"/>
      <c r="F11" s="517"/>
      <c r="G11" s="517">
        <v>317631.169941</v>
      </c>
      <c r="H11" s="517"/>
      <c r="I11" s="518"/>
      <c r="J11" s="518">
        <v>143.42957325400337</v>
      </c>
      <c r="K11" s="518"/>
      <c r="L11" s="518"/>
      <c r="M11" s="518">
        <v>131.93164628091273</v>
      </c>
      <c r="N11" s="520"/>
    </row>
    <row r="12" spans="1:14" s="484" customFormat="1" ht="12.75" customHeight="1">
      <c r="A12" s="508" t="s">
        <v>390</v>
      </c>
      <c r="B12" s="483"/>
      <c r="C12" s="516"/>
      <c r="D12" s="516"/>
      <c r="E12" s="516"/>
      <c r="F12" s="516"/>
      <c r="G12" s="516"/>
      <c r="H12" s="516"/>
      <c r="I12" s="521"/>
      <c r="J12" s="522"/>
      <c r="K12" s="522"/>
      <c r="L12" s="521"/>
      <c r="M12" s="522"/>
    </row>
    <row r="13" spans="1:14" s="484" customFormat="1" ht="12.75" customHeight="1">
      <c r="B13" s="507" t="s">
        <v>429</v>
      </c>
      <c r="C13" s="516"/>
      <c r="D13" s="516">
        <v>355.76226700000001</v>
      </c>
      <c r="E13" s="516"/>
      <c r="F13" s="516"/>
      <c r="G13" s="516">
        <v>3381.4746220000002</v>
      </c>
      <c r="H13" s="516"/>
      <c r="I13" s="521"/>
      <c r="J13" s="521">
        <v>116.18893871891632</v>
      </c>
      <c r="K13" s="521"/>
      <c r="L13" s="521"/>
      <c r="M13" s="521">
        <v>128.21640734747587</v>
      </c>
    </row>
    <row r="14" spans="1:14" s="484" customFormat="1" ht="12.75" customHeight="1">
      <c r="B14" s="507" t="s">
        <v>430</v>
      </c>
      <c r="C14" s="516"/>
      <c r="D14" s="516">
        <v>164.07673700000001</v>
      </c>
      <c r="E14" s="516"/>
      <c r="F14" s="516"/>
      <c r="G14" s="516">
        <v>1436.585607</v>
      </c>
      <c r="H14" s="516"/>
      <c r="I14" s="521"/>
      <c r="J14" s="521">
        <v>165.31521411118752</v>
      </c>
      <c r="K14" s="521"/>
      <c r="L14" s="521"/>
      <c r="M14" s="521">
        <v>127.29717575927455</v>
      </c>
    </row>
    <row r="15" spans="1:14" s="484" customFormat="1" ht="12.75" customHeight="1">
      <c r="B15" s="507" t="s">
        <v>392</v>
      </c>
      <c r="C15" s="516"/>
      <c r="D15" s="516">
        <v>528.18788099999995</v>
      </c>
      <c r="E15" s="516"/>
      <c r="F15" s="516"/>
      <c r="G15" s="516">
        <v>3014.675123</v>
      </c>
      <c r="H15" s="516"/>
      <c r="I15" s="521"/>
      <c r="J15" s="521">
        <v>173.79990689415521</v>
      </c>
      <c r="K15" s="521"/>
      <c r="L15" s="521"/>
      <c r="M15" s="521">
        <v>124.21194122502341</v>
      </c>
    </row>
    <row r="16" spans="1:14" s="484" customFormat="1" ht="12.75" customHeight="1">
      <c r="B16" s="507" t="s">
        <v>393</v>
      </c>
      <c r="C16" s="516">
        <v>155.91040781812953</v>
      </c>
      <c r="D16" s="516">
        <v>241.73478600000001</v>
      </c>
      <c r="E16" s="516"/>
      <c r="F16" s="516">
        <v>2942.1814078181296</v>
      </c>
      <c r="G16" s="516">
        <v>4491.8212899999999</v>
      </c>
      <c r="H16" s="516"/>
      <c r="I16" s="521">
        <v>149.1680136032621</v>
      </c>
      <c r="J16" s="521">
        <v>130.88219986807869</v>
      </c>
      <c r="K16" s="521"/>
      <c r="L16" s="521">
        <v>117.67393562321264</v>
      </c>
      <c r="M16" s="521">
        <v>139.25596422348383</v>
      </c>
    </row>
    <row r="17" spans="2:13" s="484" customFormat="1" ht="12.75" customHeight="1">
      <c r="B17" s="507" t="s">
        <v>431</v>
      </c>
      <c r="C17" s="516">
        <v>293.54997901537592</v>
      </c>
      <c r="D17" s="516">
        <v>78.547348</v>
      </c>
      <c r="E17" s="516"/>
      <c r="F17" s="516">
        <v>5450.3499790153764</v>
      </c>
      <c r="G17" s="516">
        <v>1458.8929390000001</v>
      </c>
      <c r="H17" s="516"/>
      <c r="I17" s="521">
        <v>79.925174189619369</v>
      </c>
      <c r="J17" s="521">
        <v>77.853831518600515</v>
      </c>
      <c r="K17" s="521"/>
      <c r="L17" s="521">
        <v>94.796081138415246</v>
      </c>
      <c r="M17" s="521">
        <v>92.244754555427832</v>
      </c>
    </row>
    <row r="18" spans="2:13" s="484" customFormat="1" ht="12.75" customHeight="1">
      <c r="B18" s="507" t="s">
        <v>8</v>
      </c>
      <c r="C18" s="516">
        <v>1533.2497368683839</v>
      </c>
      <c r="D18" s="516">
        <v>366.98181099999999</v>
      </c>
      <c r="E18" s="516"/>
      <c r="F18" s="516">
        <v>12000.585736868383</v>
      </c>
      <c r="G18" s="516">
        <v>2954.3829420000002</v>
      </c>
      <c r="H18" s="516"/>
      <c r="I18" s="521">
        <v>109.08508224290094</v>
      </c>
      <c r="J18" s="521">
        <v>106.90143807417239</v>
      </c>
      <c r="K18" s="521"/>
      <c r="L18" s="521">
        <v>95.876947120759127</v>
      </c>
      <c r="M18" s="521">
        <v>97.141983389806668</v>
      </c>
    </row>
    <row r="19" spans="2:13" s="484" customFormat="1" ht="12.75" customHeight="1">
      <c r="B19" s="507" t="s">
        <v>10</v>
      </c>
      <c r="C19" s="516">
        <v>248.02860649414896</v>
      </c>
      <c r="D19" s="516">
        <v>116.23397300000001</v>
      </c>
      <c r="E19" s="516"/>
      <c r="F19" s="516">
        <v>2608.232606494149</v>
      </c>
      <c r="G19" s="516">
        <v>1214.730898</v>
      </c>
      <c r="H19" s="516"/>
      <c r="I19" s="521">
        <v>103.73512387981035</v>
      </c>
      <c r="J19" s="521">
        <v>105.11350450661345</v>
      </c>
      <c r="K19" s="521"/>
      <c r="L19" s="521">
        <v>117.58467128792192</v>
      </c>
      <c r="M19" s="521">
        <v>107.77128152905074</v>
      </c>
    </row>
    <row r="20" spans="2:13" s="484" customFormat="1" ht="12.75" customHeight="1">
      <c r="B20" s="507" t="s">
        <v>432</v>
      </c>
      <c r="C20" s="516"/>
      <c r="D20" s="516">
        <v>152.12937299999999</v>
      </c>
      <c r="E20" s="516"/>
      <c r="F20" s="516"/>
      <c r="G20" s="516">
        <v>1637.2197619999999</v>
      </c>
      <c r="H20" s="516"/>
      <c r="I20" s="521"/>
      <c r="J20" s="521">
        <v>106.99187054651887</v>
      </c>
      <c r="K20" s="521"/>
      <c r="L20" s="521"/>
      <c r="M20" s="521">
        <v>117.67254688064001</v>
      </c>
    </row>
    <row r="21" spans="2:13" s="484" customFormat="1" ht="12.75" customHeight="1">
      <c r="B21" s="507" t="s">
        <v>433</v>
      </c>
      <c r="C21" s="516"/>
      <c r="D21" s="516">
        <v>124.380251</v>
      </c>
      <c r="E21" s="516"/>
      <c r="F21" s="516"/>
      <c r="G21" s="516">
        <v>1337.61087</v>
      </c>
      <c r="H21" s="516"/>
      <c r="I21" s="521"/>
      <c r="J21" s="521">
        <v>104.75570043821199</v>
      </c>
      <c r="K21" s="521"/>
      <c r="L21" s="521"/>
      <c r="M21" s="521">
        <v>102.79549729624371</v>
      </c>
    </row>
    <row r="22" spans="2:13" s="484" customFormat="1" ht="12.75" customHeight="1">
      <c r="B22" s="507" t="s">
        <v>434</v>
      </c>
      <c r="C22" s="516"/>
      <c r="D22" s="516">
        <v>395.71654999999998</v>
      </c>
      <c r="E22" s="516"/>
      <c r="F22" s="516"/>
      <c r="G22" s="516">
        <v>4583.0381479999996</v>
      </c>
      <c r="H22" s="516"/>
      <c r="I22" s="521"/>
      <c r="J22" s="521">
        <v>86.600754540490968</v>
      </c>
      <c r="K22" s="521"/>
      <c r="L22" s="521"/>
      <c r="M22" s="521">
        <v>93.570600351633018</v>
      </c>
    </row>
    <row r="23" spans="2:13" s="484" customFormat="1" ht="12.75" customHeight="1">
      <c r="B23" s="507" t="s">
        <v>435</v>
      </c>
      <c r="C23" s="516">
        <v>3285.909071131648</v>
      </c>
      <c r="D23" s="516">
        <v>392.92166700000001</v>
      </c>
      <c r="E23" s="516"/>
      <c r="F23" s="516">
        <v>30201.974071131648</v>
      </c>
      <c r="G23" s="516">
        <v>3156.7206200000001</v>
      </c>
      <c r="H23" s="516"/>
      <c r="I23" s="521">
        <v>151.08669890482784</v>
      </c>
      <c r="J23" s="521">
        <v>166.74751232923549</v>
      </c>
      <c r="K23" s="521"/>
      <c r="L23" s="521">
        <v>115.53226777899238</v>
      </c>
      <c r="M23" s="521">
        <v>110.625388913145</v>
      </c>
    </row>
    <row r="24" spans="2:13" s="484" customFormat="1" ht="12.75" customHeight="1">
      <c r="B24" s="507" t="s">
        <v>436</v>
      </c>
      <c r="C24" s="516">
        <v>4775.8977350361956</v>
      </c>
      <c r="D24" s="516">
        <v>497.35472099999998</v>
      </c>
      <c r="E24" s="516"/>
      <c r="F24" s="516">
        <v>64197.589735036199</v>
      </c>
      <c r="G24" s="516">
        <v>6552.4476050000003</v>
      </c>
      <c r="H24" s="516"/>
      <c r="I24" s="521">
        <v>86.622625331823727</v>
      </c>
      <c r="J24" s="521">
        <v>84.247402651483426</v>
      </c>
      <c r="K24" s="521"/>
      <c r="L24" s="521">
        <v>100.65451840443083</v>
      </c>
      <c r="M24" s="521">
        <v>86.0035395546698</v>
      </c>
    </row>
    <row r="25" spans="2:13" s="484" customFormat="1" ht="12.75" customHeight="1">
      <c r="B25" s="507" t="s">
        <v>388</v>
      </c>
      <c r="C25" s="516">
        <v>1419.0390497499125</v>
      </c>
      <c r="D25" s="516">
        <v>729.31642899999997</v>
      </c>
      <c r="E25" s="516"/>
      <c r="F25" s="516">
        <v>13806.311049749913</v>
      </c>
      <c r="G25" s="516">
        <v>7743.0521950000002</v>
      </c>
      <c r="H25" s="516"/>
      <c r="I25" s="521">
        <v>121.99116510391423</v>
      </c>
      <c r="J25" s="521">
        <v>114.19625518594998</v>
      </c>
      <c r="K25" s="521"/>
      <c r="L25" s="521">
        <v>102.7205989723701</v>
      </c>
      <c r="M25" s="521">
        <v>95.399848867673853</v>
      </c>
    </row>
    <row r="26" spans="2:13" s="484" customFormat="1" ht="12.75" customHeight="1">
      <c r="B26" s="507" t="s">
        <v>437</v>
      </c>
      <c r="C26" s="516">
        <v>893.32917483721326</v>
      </c>
      <c r="D26" s="516">
        <v>633.34550999999999</v>
      </c>
      <c r="E26" s="516"/>
      <c r="F26" s="516">
        <v>9912.2911748372135</v>
      </c>
      <c r="G26" s="516">
        <v>6819.944047</v>
      </c>
      <c r="H26" s="516"/>
      <c r="I26" s="521">
        <v>85.643974567188792</v>
      </c>
      <c r="J26" s="521">
        <v>85.6173678160566</v>
      </c>
      <c r="K26" s="521"/>
      <c r="L26" s="521">
        <v>96.189124221782905</v>
      </c>
      <c r="M26" s="521">
        <v>86.466714026962208</v>
      </c>
    </row>
    <row r="27" spans="2:13" s="484" customFormat="1" ht="12.75" customHeight="1">
      <c r="B27" s="507" t="s">
        <v>438</v>
      </c>
      <c r="C27" s="516">
        <v>503.90778657687451</v>
      </c>
      <c r="D27" s="516">
        <v>276.33642600000002</v>
      </c>
      <c r="E27" s="516"/>
      <c r="F27" s="516">
        <v>3630.4497865768744</v>
      </c>
      <c r="G27" s="516">
        <v>2153.5589669999999</v>
      </c>
      <c r="H27" s="516"/>
      <c r="I27" s="521">
        <v>254.16897591352358</v>
      </c>
      <c r="J27" s="521">
        <v>202.31185391187924</v>
      </c>
      <c r="K27" s="521"/>
      <c r="L27" s="521">
        <v>116.60252031224003</v>
      </c>
      <c r="M27" s="521">
        <v>105.41725574563394</v>
      </c>
    </row>
    <row r="28" spans="2:13" s="484" customFormat="1" ht="12.75" customHeight="1">
      <c r="B28" s="507" t="s">
        <v>439</v>
      </c>
      <c r="C28" s="516"/>
      <c r="D28" s="516">
        <v>209.271197</v>
      </c>
      <c r="E28" s="516"/>
      <c r="F28" s="516"/>
      <c r="G28" s="516">
        <v>2051.1179099999999</v>
      </c>
      <c r="H28" s="516"/>
      <c r="I28" s="521"/>
      <c r="J28" s="521">
        <v>114.11013879005874</v>
      </c>
      <c r="K28" s="521"/>
      <c r="L28" s="521"/>
      <c r="M28" s="521">
        <v>120.77675482816024</v>
      </c>
    </row>
    <row r="29" spans="2:13" s="484" customFormat="1" ht="12.75" customHeight="1">
      <c r="B29" s="507" t="s">
        <v>440</v>
      </c>
      <c r="C29" s="516"/>
      <c r="D29" s="516">
        <v>815.25809600000002</v>
      </c>
      <c r="E29" s="516"/>
      <c r="F29" s="516"/>
      <c r="G29" s="516">
        <v>8086.1401690000002</v>
      </c>
      <c r="H29" s="516"/>
      <c r="I29" s="521"/>
      <c r="J29" s="521">
        <v>114.84477966162072</v>
      </c>
      <c r="K29" s="521"/>
      <c r="L29" s="521"/>
      <c r="M29" s="521">
        <v>97.601158980998321</v>
      </c>
    </row>
    <row r="30" spans="2:13" s="484" customFormat="1" ht="12.75" customHeight="1">
      <c r="B30" s="507" t="s">
        <v>441</v>
      </c>
      <c r="C30" s="516"/>
      <c r="D30" s="516">
        <v>808.69116799999995</v>
      </c>
      <c r="E30" s="516"/>
      <c r="F30" s="516"/>
      <c r="G30" s="516">
        <v>8113.5476310000004</v>
      </c>
      <c r="H30" s="516"/>
      <c r="I30" s="521"/>
      <c r="J30" s="521">
        <v>115.45941759743413</v>
      </c>
      <c r="K30" s="521"/>
      <c r="L30" s="521"/>
      <c r="M30" s="521">
        <v>104.83189366498114</v>
      </c>
    </row>
    <row r="31" spans="2:13" s="484" customFormat="1" ht="12.75" customHeight="1">
      <c r="B31" s="507" t="s">
        <v>442</v>
      </c>
      <c r="C31" s="516"/>
      <c r="D31" s="516">
        <v>449.181399</v>
      </c>
      <c r="E31" s="516"/>
      <c r="F31" s="516"/>
      <c r="G31" s="516">
        <v>4295.728462</v>
      </c>
      <c r="H31" s="516"/>
      <c r="I31" s="521"/>
      <c r="J31" s="521">
        <v>86.692653177193151</v>
      </c>
      <c r="K31" s="521"/>
      <c r="L31" s="521"/>
      <c r="M31" s="521">
        <v>97.632006498375304</v>
      </c>
    </row>
    <row r="32" spans="2:13" s="484" customFormat="1" ht="12.75" customHeight="1">
      <c r="B32" s="507" t="s">
        <v>443</v>
      </c>
      <c r="C32" s="516">
        <v>443.40102884285562</v>
      </c>
      <c r="D32" s="516">
        <v>158.543442</v>
      </c>
      <c r="E32" s="516"/>
      <c r="F32" s="516">
        <v>6176.8890288428556</v>
      </c>
      <c r="G32" s="516">
        <v>2194.675569</v>
      </c>
      <c r="H32" s="516"/>
      <c r="I32" s="521">
        <v>100.93675392406215</v>
      </c>
      <c r="J32" s="521">
        <v>123.70913927033121</v>
      </c>
      <c r="K32" s="521"/>
      <c r="L32" s="521">
        <v>116.55294883773009</v>
      </c>
      <c r="M32" s="521">
        <v>126.64043114198287</v>
      </c>
    </row>
    <row r="33" spans="2:14" s="484" customFormat="1" ht="12.75" customHeight="1">
      <c r="B33" s="507" t="s">
        <v>444</v>
      </c>
      <c r="C33" s="516"/>
      <c r="D33" s="516">
        <v>189.57812100000001</v>
      </c>
      <c r="E33" s="516"/>
      <c r="F33" s="516"/>
      <c r="G33" s="516">
        <v>1607.355321</v>
      </c>
      <c r="H33" s="516"/>
      <c r="I33" s="521"/>
      <c r="J33" s="521">
        <v>142.32066084586563</v>
      </c>
      <c r="K33" s="521"/>
      <c r="L33" s="521"/>
      <c r="M33" s="521">
        <v>112.07526821380762</v>
      </c>
    </row>
    <row r="34" spans="2:14" s="484" customFormat="1" ht="12.75" customHeight="1">
      <c r="B34" s="507" t="s">
        <v>706</v>
      </c>
      <c r="C34" s="516"/>
      <c r="D34" s="516">
        <v>98.887037000000007</v>
      </c>
      <c r="E34" s="516"/>
      <c r="F34" s="516"/>
      <c r="G34" s="516">
        <v>993.32799999999997</v>
      </c>
      <c r="H34" s="516"/>
      <c r="I34" s="521"/>
      <c r="J34" s="521">
        <v>102.02850802582108</v>
      </c>
      <c r="K34" s="521"/>
      <c r="L34" s="521"/>
      <c r="M34" s="521">
        <v>104.64335548392934</v>
      </c>
    </row>
    <row r="35" spans="2:14" s="484" customFormat="1" ht="12.75" customHeight="1">
      <c r="B35" s="507" t="s">
        <v>445</v>
      </c>
      <c r="C35" s="516">
        <v>888.35441753257726</v>
      </c>
      <c r="D35" s="516">
        <v>1121.877289</v>
      </c>
      <c r="E35" s="516"/>
      <c r="F35" s="516">
        <v>9630.8944175325778</v>
      </c>
      <c r="G35" s="516">
        <v>12531.814189999999</v>
      </c>
      <c r="H35" s="516"/>
      <c r="I35" s="521">
        <v>108.11874412400668</v>
      </c>
      <c r="J35" s="521">
        <v>100.46552686160891</v>
      </c>
      <c r="K35" s="521"/>
      <c r="L35" s="521">
        <v>114.26070658680365</v>
      </c>
      <c r="M35" s="521">
        <v>106.32674716911659</v>
      </c>
    </row>
    <row r="36" spans="2:14" s="484" customFormat="1" ht="12.75" customHeight="1">
      <c r="B36" s="507" t="s">
        <v>407</v>
      </c>
      <c r="C36" s="516"/>
      <c r="D36" s="516">
        <v>1066.892938</v>
      </c>
      <c r="E36" s="516"/>
      <c r="F36" s="516"/>
      <c r="G36" s="516">
        <v>10870.405749</v>
      </c>
      <c r="H36" s="516"/>
      <c r="I36" s="521"/>
      <c r="J36" s="521">
        <v>128.05557833727931</v>
      </c>
      <c r="K36" s="521"/>
      <c r="L36" s="521"/>
      <c r="M36" s="521">
        <v>122.750065989333</v>
      </c>
    </row>
    <row r="37" spans="2:14" s="484" customFormat="1" ht="12.75" customHeight="1">
      <c r="B37" s="507" t="s">
        <v>408</v>
      </c>
      <c r="C37" s="516">
        <v>224.02253373006656</v>
      </c>
      <c r="D37" s="516">
        <v>331.71353900000003</v>
      </c>
      <c r="E37" s="516"/>
      <c r="F37" s="516">
        <v>1916.3045337300664</v>
      </c>
      <c r="G37" s="516">
        <v>3081.457989</v>
      </c>
      <c r="H37" s="516"/>
      <c r="I37" s="521">
        <v>98.038350902635202</v>
      </c>
      <c r="J37" s="521">
        <v>87.632479605026717</v>
      </c>
      <c r="K37" s="521"/>
      <c r="L37" s="521">
        <v>101.01811414656507</v>
      </c>
      <c r="M37" s="521">
        <v>102.68434616082462</v>
      </c>
    </row>
    <row r="38" spans="2:14" s="484" customFormat="1" ht="12.75" customHeight="1">
      <c r="B38" s="507" t="s">
        <v>409</v>
      </c>
      <c r="C38" s="516"/>
      <c r="D38" s="516">
        <v>122.723473</v>
      </c>
      <c r="E38" s="516"/>
      <c r="F38" s="516"/>
      <c r="G38" s="516">
        <v>1251.685819</v>
      </c>
      <c r="H38" s="516"/>
      <c r="I38" s="521"/>
      <c r="J38" s="521">
        <v>116.33786004231044</v>
      </c>
      <c r="K38" s="521"/>
      <c r="L38" s="521"/>
      <c r="M38" s="521">
        <v>114.82606639436167</v>
      </c>
    </row>
    <row r="39" spans="2:14" s="484" customFormat="1" ht="12.75" customHeight="1">
      <c r="B39" s="507" t="s">
        <v>411</v>
      </c>
      <c r="C39" s="516"/>
      <c r="D39" s="516">
        <v>320.22447799999998</v>
      </c>
      <c r="E39" s="516"/>
      <c r="F39" s="516"/>
      <c r="G39" s="516">
        <v>3225.4345060000001</v>
      </c>
      <c r="H39" s="516"/>
      <c r="I39" s="521"/>
      <c r="J39" s="521">
        <v>124.46227738793718</v>
      </c>
      <c r="K39" s="521"/>
      <c r="L39" s="521"/>
      <c r="M39" s="521">
        <v>116.87732750972124</v>
      </c>
    </row>
    <row r="40" spans="2:14" s="484" customFormat="1" ht="12.75" customHeight="1">
      <c r="B40" s="507" t="s">
        <v>446</v>
      </c>
      <c r="C40" s="516">
        <v>305.07849777885201</v>
      </c>
      <c r="D40" s="516">
        <v>238.89411999999999</v>
      </c>
      <c r="E40" s="516"/>
      <c r="F40" s="516">
        <v>3073.1834977788521</v>
      </c>
      <c r="G40" s="516">
        <v>2472.9548399999999</v>
      </c>
      <c r="H40" s="516"/>
      <c r="I40" s="521">
        <v>127.00491144367511</v>
      </c>
      <c r="J40" s="521">
        <v>114.32690552730931</v>
      </c>
      <c r="K40" s="521"/>
      <c r="L40" s="521">
        <v>120.66539468848167</v>
      </c>
      <c r="M40" s="521">
        <v>110.24855282623687</v>
      </c>
      <c r="N40" s="523"/>
    </row>
    <row r="41" spans="2:14" s="484" customFormat="1" ht="12.75" customHeight="1">
      <c r="B41" s="507" t="s">
        <v>447</v>
      </c>
      <c r="C41" s="516"/>
      <c r="D41" s="516">
        <v>120.896956</v>
      </c>
      <c r="E41" s="516"/>
      <c r="F41" s="516"/>
      <c r="G41" s="516">
        <v>1315.1652690000001</v>
      </c>
      <c r="H41" s="516"/>
      <c r="I41" s="521"/>
      <c r="J41" s="521">
        <v>115.13246242368452</v>
      </c>
      <c r="K41" s="521"/>
      <c r="L41" s="521"/>
      <c r="M41" s="521">
        <v>119.29392594065263</v>
      </c>
    </row>
    <row r="42" spans="2:14" s="484" customFormat="1" ht="12.75" customHeight="1">
      <c r="B42" s="507" t="s">
        <v>448</v>
      </c>
      <c r="C42" s="516">
        <v>155.6882766429697</v>
      </c>
      <c r="D42" s="516">
        <v>258.14340399999998</v>
      </c>
      <c r="E42" s="516"/>
      <c r="F42" s="516">
        <v>1706.3542766429696</v>
      </c>
      <c r="G42" s="516">
        <v>2879.997453</v>
      </c>
      <c r="H42" s="516"/>
      <c r="I42" s="521">
        <v>116.67724108589927</v>
      </c>
      <c r="J42" s="521">
        <v>110.56600636722278</v>
      </c>
      <c r="K42" s="521"/>
      <c r="L42" s="521">
        <v>113.45101221326286</v>
      </c>
      <c r="M42" s="521">
        <v>99.745129392190776</v>
      </c>
    </row>
    <row r="43" spans="2:14" s="484" customFormat="1" ht="12.75" customHeight="1">
      <c r="B43" s="507" t="s">
        <v>449</v>
      </c>
      <c r="C43" s="516">
        <v>132.96715605853299</v>
      </c>
      <c r="D43" s="516">
        <v>257.04055399999999</v>
      </c>
      <c r="E43" s="516"/>
      <c r="F43" s="516">
        <v>1321.4011560585329</v>
      </c>
      <c r="G43" s="516">
        <v>2849.5498229999998</v>
      </c>
      <c r="H43" s="516"/>
      <c r="I43" s="521">
        <v>113.56754758078355</v>
      </c>
      <c r="J43" s="521">
        <v>107.3309758846265</v>
      </c>
      <c r="K43" s="521"/>
      <c r="L43" s="521">
        <v>106.28560963426914</v>
      </c>
      <c r="M43" s="521">
        <v>104.89937800012012</v>
      </c>
    </row>
    <row r="44" spans="2:14" s="484" customFormat="1" ht="12.75" customHeight="1">
      <c r="B44" s="507" t="s">
        <v>450</v>
      </c>
      <c r="C44" s="516"/>
      <c r="D44" s="516">
        <v>1408.0694120000001</v>
      </c>
      <c r="E44" s="516"/>
      <c r="F44" s="516"/>
      <c r="G44" s="516">
        <v>15198.637462000001</v>
      </c>
      <c r="H44" s="516"/>
      <c r="I44" s="521"/>
      <c r="J44" s="521">
        <v>105.81732781797623</v>
      </c>
      <c r="K44" s="521"/>
      <c r="L44" s="521"/>
      <c r="M44" s="521">
        <v>101.91622830389448</v>
      </c>
    </row>
    <row r="45" spans="2:14" s="484" customFormat="1" ht="12.75" customHeight="1">
      <c r="B45" s="507" t="s">
        <v>451</v>
      </c>
      <c r="C45" s="516"/>
      <c r="D45" s="516">
        <v>682.92072700000006</v>
      </c>
      <c r="E45" s="516"/>
      <c r="F45" s="516"/>
      <c r="G45" s="516">
        <v>7390.465432</v>
      </c>
      <c r="H45" s="516"/>
      <c r="I45" s="521"/>
      <c r="J45" s="521">
        <v>105.88445601901574</v>
      </c>
      <c r="K45" s="521"/>
      <c r="L45" s="521"/>
      <c r="M45" s="521">
        <v>103.32566060833308</v>
      </c>
    </row>
    <row r="46" spans="2:14" s="484" customFormat="1" ht="12.75" customHeight="1">
      <c r="B46" s="507" t="s">
        <v>417</v>
      </c>
      <c r="C46" s="516"/>
      <c r="D46" s="516">
        <v>150.39990299999999</v>
      </c>
      <c r="E46" s="516"/>
      <c r="F46" s="516"/>
      <c r="G46" s="516">
        <v>1428.551005</v>
      </c>
      <c r="H46" s="516"/>
      <c r="I46" s="521"/>
      <c r="J46" s="521">
        <v>125.11137685649827</v>
      </c>
      <c r="K46" s="521"/>
      <c r="L46" s="521"/>
      <c r="M46" s="521">
        <v>95.282216378569061</v>
      </c>
    </row>
    <row r="47" spans="2:14" s="484" customFormat="1" ht="12.75" customHeight="1">
      <c r="B47" s="507" t="s">
        <v>707</v>
      </c>
      <c r="C47" s="516"/>
      <c r="D47" s="516">
        <v>146.67998499999999</v>
      </c>
      <c r="E47" s="516"/>
      <c r="F47" s="516"/>
      <c r="G47" s="516">
        <v>1343.689065</v>
      </c>
      <c r="H47" s="516"/>
      <c r="I47" s="521"/>
      <c r="J47" s="521">
        <v>167.35125369410986</v>
      </c>
      <c r="K47" s="521"/>
      <c r="L47" s="521"/>
      <c r="M47" s="521">
        <v>151.85980751302523</v>
      </c>
    </row>
    <row r="48" spans="2:14" s="484" customFormat="1" ht="12.75" customHeight="1">
      <c r="B48" s="507" t="s">
        <v>452</v>
      </c>
      <c r="C48" s="516">
        <v>687.35788901211367</v>
      </c>
      <c r="D48" s="516">
        <v>226.822419</v>
      </c>
      <c r="E48" s="516"/>
      <c r="F48" s="516">
        <v>6258.0428890121138</v>
      </c>
      <c r="G48" s="516">
        <v>2033.9487790000001</v>
      </c>
      <c r="H48" s="516"/>
      <c r="I48" s="521">
        <v>114.23351149337205</v>
      </c>
      <c r="J48" s="521">
        <v>107.663347602728</v>
      </c>
      <c r="K48" s="521"/>
      <c r="L48" s="521">
        <v>127.24844486735822</v>
      </c>
      <c r="M48" s="521">
        <v>112.25098752644114</v>
      </c>
    </row>
    <row r="49" spans="1:13" s="484" customFormat="1" ht="12.75" customHeight="1">
      <c r="B49" s="507" t="s">
        <v>453</v>
      </c>
      <c r="C49" s="516">
        <v>1805.9236399168735</v>
      </c>
      <c r="D49" s="516">
        <v>1212.1554140000001</v>
      </c>
      <c r="E49" s="516"/>
      <c r="F49" s="516">
        <v>16048.025639916874</v>
      </c>
      <c r="G49" s="516">
        <v>11212.590124</v>
      </c>
      <c r="H49" s="516"/>
      <c r="I49" s="521">
        <v>116.14515799669259</v>
      </c>
      <c r="J49" s="521">
        <v>112.16658981726515</v>
      </c>
      <c r="K49" s="521"/>
      <c r="L49" s="521">
        <v>90.592858066976135</v>
      </c>
      <c r="M49" s="521">
        <v>89.098803086416694</v>
      </c>
    </row>
    <row r="50" spans="1:13" s="484" customFormat="1" ht="12.75" customHeight="1">
      <c r="B50" s="507" t="s">
        <v>419</v>
      </c>
      <c r="C50" s="516"/>
      <c r="D50" s="516">
        <v>870.80341999999996</v>
      </c>
      <c r="E50" s="516"/>
      <c r="F50" s="516"/>
      <c r="G50" s="516">
        <v>8306.9730249999993</v>
      </c>
      <c r="H50" s="516"/>
      <c r="I50" s="521"/>
      <c r="J50" s="521">
        <v>141.28304623715979</v>
      </c>
      <c r="K50" s="521"/>
      <c r="L50" s="521"/>
      <c r="M50" s="521">
        <v>127.85445334525478</v>
      </c>
    </row>
    <row r="51" spans="1:13" s="484" customFormat="1" ht="12.75" customHeight="1">
      <c r="B51" s="507" t="s">
        <v>454</v>
      </c>
      <c r="C51" s="516">
        <v>243.45277089390433</v>
      </c>
      <c r="D51" s="516">
        <v>1137.6192590000001</v>
      </c>
      <c r="E51" s="516"/>
      <c r="F51" s="516">
        <v>2380.6697708939046</v>
      </c>
      <c r="G51" s="516">
        <v>11373.765643999999</v>
      </c>
      <c r="H51" s="516"/>
      <c r="I51" s="521">
        <v>126.48868441518384</v>
      </c>
      <c r="J51" s="521">
        <v>126.06432503694447</v>
      </c>
      <c r="K51" s="521"/>
      <c r="L51" s="521">
        <v>110.42989539450903</v>
      </c>
      <c r="M51" s="521">
        <v>118.92864297865431</v>
      </c>
    </row>
    <row r="52" spans="1:13" s="484" customFormat="1" ht="12.75" customHeight="1">
      <c r="B52" s="507" t="s">
        <v>455</v>
      </c>
      <c r="C52" s="516"/>
      <c r="D52" s="516">
        <v>462.27637700000002</v>
      </c>
      <c r="E52" s="516"/>
      <c r="F52" s="516"/>
      <c r="G52" s="516">
        <v>4843.5069869999998</v>
      </c>
      <c r="H52" s="516"/>
      <c r="I52" s="521"/>
      <c r="J52" s="521">
        <v>149.73425007033629</v>
      </c>
      <c r="K52" s="521"/>
      <c r="L52" s="521"/>
      <c r="M52" s="521">
        <v>151.18296614267149</v>
      </c>
    </row>
    <row r="53" spans="1:13" s="484" customFormat="1" ht="12.75" customHeight="1">
      <c r="B53" s="507" t="s">
        <v>421</v>
      </c>
      <c r="C53" s="516"/>
      <c r="D53" s="516">
        <v>14264.808005999999</v>
      </c>
      <c r="E53" s="516"/>
      <c r="F53" s="516"/>
      <c r="G53" s="516">
        <v>150696.87525899999</v>
      </c>
      <c r="H53" s="516"/>
      <c r="I53" s="521"/>
      <c r="J53" s="521">
        <v>153.02492794115241</v>
      </c>
      <c r="K53" s="521"/>
      <c r="L53" s="521"/>
      <c r="M53" s="521">
        <v>140.68159507056055</v>
      </c>
    </row>
    <row r="54" spans="1:13" s="484" customFormat="1" ht="12.75" customHeight="1">
      <c r="B54" s="507" t="s">
        <v>456</v>
      </c>
      <c r="C54" s="516"/>
      <c r="D54" s="516">
        <v>219.852824</v>
      </c>
      <c r="E54" s="516"/>
      <c r="F54" s="516"/>
      <c r="G54" s="516">
        <v>2473.7965509999999</v>
      </c>
      <c r="H54" s="516"/>
      <c r="I54" s="521"/>
      <c r="J54" s="521">
        <v>105.09357969507793</v>
      </c>
      <c r="K54" s="521"/>
      <c r="L54" s="521"/>
      <c r="M54" s="521">
        <v>110.48237173635722</v>
      </c>
    </row>
    <row r="55" spans="1:13" s="484" customFormat="1" ht="12.75" customHeight="1">
      <c r="B55" s="507" t="s">
        <v>422</v>
      </c>
      <c r="C55" s="516"/>
      <c r="D55" s="516">
        <v>985.15641600000004</v>
      </c>
      <c r="E55" s="516"/>
      <c r="F55" s="516"/>
      <c r="G55" s="516">
        <v>11258.608141999999</v>
      </c>
      <c r="H55" s="516"/>
      <c r="I55" s="521"/>
      <c r="J55" s="521">
        <v>101.14834456978559</v>
      </c>
      <c r="K55" s="521"/>
      <c r="L55" s="521"/>
      <c r="M55" s="521">
        <v>108.21501641193446</v>
      </c>
    </row>
    <row r="56" spans="1:13" s="484" customFormat="1" ht="12.75" customHeight="1">
      <c r="B56" s="507" t="s">
        <v>423</v>
      </c>
      <c r="C56" s="516"/>
      <c r="D56" s="516">
        <v>255.252038</v>
      </c>
      <c r="E56" s="516"/>
      <c r="F56" s="516"/>
      <c r="G56" s="516">
        <v>2572.8997049999998</v>
      </c>
      <c r="H56" s="516"/>
      <c r="I56" s="521"/>
      <c r="J56" s="521">
        <v>130.72638008145964</v>
      </c>
      <c r="K56" s="521"/>
      <c r="L56" s="521"/>
      <c r="M56" s="521">
        <v>116.54680795392586</v>
      </c>
    </row>
    <row r="57" spans="1:13" s="484" customFormat="1" ht="12.75" customHeight="1">
      <c r="B57" s="512" t="s">
        <v>424</v>
      </c>
      <c r="C57" s="516"/>
      <c r="D57" s="516">
        <v>6205.3882819999999</v>
      </c>
      <c r="E57" s="516"/>
      <c r="F57" s="516"/>
      <c r="G57" s="516">
        <v>61026.697605000001</v>
      </c>
      <c r="H57" s="516"/>
      <c r="I57" s="521"/>
      <c r="J57" s="521">
        <v>132.54291132541948</v>
      </c>
      <c r="K57" s="521"/>
      <c r="L57" s="521"/>
      <c r="M57" s="521">
        <v>124.80582840845909</v>
      </c>
    </row>
    <row r="58" spans="1:13" s="484" customFormat="1" ht="12.75" customHeight="1">
      <c r="B58" s="507" t="s">
        <v>425</v>
      </c>
      <c r="C58" s="516"/>
      <c r="D58" s="516">
        <v>428.854759</v>
      </c>
      <c r="E58" s="516"/>
      <c r="F58" s="516"/>
      <c r="G58" s="516">
        <v>4550.8097340000004</v>
      </c>
      <c r="H58" s="516"/>
      <c r="I58" s="521"/>
      <c r="J58" s="521">
        <v>123.11188347829672</v>
      </c>
      <c r="K58" s="521"/>
      <c r="L58" s="521"/>
      <c r="M58" s="521">
        <v>133.67017194892262</v>
      </c>
    </row>
    <row r="59" spans="1:13" s="484" customFormat="1" ht="12.75" customHeight="1">
      <c r="B59" s="507" t="s">
        <v>187</v>
      </c>
      <c r="C59" s="516"/>
      <c r="D59" s="516">
        <v>1113.4774239999999</v>
      </c>
      <c r="E59" s="516"/>
      <c r="F59" s="516"/>
      <c r="G59" s="516">
        <v>10669.698317</v>
      </c>
      <c r="H59" s="516"/>
      <c r="I59" s="521"/>
      <c r="J59" s="521">
        <v>142.16234236291214</v>
      </c>
      <c r="K59" s="521"/>
      <c r="L59" s="521"/>
      <c r="M59" s="521">
        <v>125.55260044152372</v>
      </c>
    </row>
    <row r="60" spans="1:13" s="484" customFormat="1" ht="12.75" customHeight="1">
      <c r="B60" s="507" t="s">
        <v>457</v>
      </c>
      <c r="C60" s="516">
        <v>15486.444467963636</v>
      </c>
      <c r="D60" s="516">
        <v>406.38825200000002</v>
      </c>
      <c r="E60" s="516"/>
      <c r="F60" s="516">
        <v>206628.44446796365</v>
      </c>
      <c r="G60" s="516">
        <v>4737.0179600000001</v>
      </c>
      <c r="H60" s="516"/>
      <c r="I60" s="521">
        <v>120.95949752373379</v>
      </c>
      <c r="J60" s="521">
        <v>135.21438032930041</v>
      </c>
      <c r="K60" s="521"/>
      <c r="L60" s="521">
        <v>119.14708226011754</v>
      </c>
      <c r="M60" s="521">
        <v>131.07286345116827</v>
      </c>
    </row>
    <row r="61" spans="1:13" s="484" customFormat="1" ht="12.75" customHeight="1">
      <c r="B61" s="507" t="s">
        <v>458</v>
      </c>
      <c r="C61" s="516"/>
      <c r="D61" s="516">
        <v>320.32284600000003</v>
      </c>
      <c r="E61" s="516"/>
      <c r="F61" s="516"/>
      <c r="G61" s="516">
        <v>1734.146289</v>
      </c>
      <c r="H61" s="516"/>
      <c r="I61" s="521"/>
      <c r="J61" s="521">
        <v>131.0649889089612</v>
      </c>
      <c r="K61" s="521"/>
      <c r="L61" s="521"/>
      <c r="M61" s="521">
        <v>104.7833532420217</v>
      </c>
    </row>
    <row r="62" spans="1:13" s="525" customFormat="1" ht="18.75" customHeight="1">
      <c r="A62" s="484"/>
      <c r="B62" s="524" t="s">
        <v>459</v>
      </c>
      <c r="C62" s="484"/>
      <c r="D62" s="484"/>
      <c r="E62" s="484"/>
      <c r="F62" s="484"/>
      <c r="G62" s="484"/>
      <c r="H62" s="484"/>
      <c r="I62" s="484"/>
      <c r="J62" s="484"/>
      <c r="K62" s="484"/>
      <c r="L62" s="484"/>
      <c r="M62" s="484"/>
    </row>
    <row r="63" spans="1:13" ht="12.75" customHeight="1">
      <c r="B63" s="483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</row>
    <row r="64" spans="1:13" ht="12.75" customHeight="1">
      <c r="B64" s="527"/>
      <c r="C64" s="528"/>
      <c r="D64" s="528"/>
      <c r="E64" s="528"/>
      <c r="F64" s="528"/>
      <c r="G64" s="528"/>
      <c r="H64" s="528"/>
      <c r="I64" s="528"/>
      <c r="J64" s="528"/>
      <c r="K64" s="528"/>
      <c r="L64" s="528"/>
      <c r="M64" s="528"/>
    </row>
    <row r="65" spans="2:13" ht="12.75" customHeight="1">
      <c r="B65" s="529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</row>
    <row r="66" spans="2:13" ht="12.75" customHeight="1">
      <c r="B66" s="529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</row>
    <row r="67" spans="2:13" ht="12.75" customHeight="1">
      <c r="C67" s="481"/>
      <c r="D67" s="481"/>
      <c r="E67" s="481"/>
      <c r="F67" s="481"/>
      <c r="G67" s="481"/>
      <c r="H67" s="481"/>
      <c r="I67" s="481"/>
      <c r="J67" s="481"/>
      <c r="K67" s="481"/>
      <c r="L67" s="481"/>
      <c r="M67" s="481"/>
    </row>
    <row r="68" spans="2:13" ht="12.75" customHeight="1"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</row>
    <row r="69" spans="2:13" ht="12.75" customHeight="1">
      <c r="C69" s="481"/>
      <c r="D69" s="481"/>
      <c r="E69" s="481"/>
      <c r="F69" s="481"/>
      <c r="G69" s="481"/>
      <c r="H69" s="481"/>
      <c r="I69" s="481"/>
      <c r="J69" s="481"/>
      <c r="K69" s="481"/>
      <c r="L69" s="481"/>
      <c r="M69" s="481"/>
    </row>
    <row r="70" spans="2:13" ht="12.75" customHeight="1"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</row>
    <row r="71" spans="2:13" ht="12.75" customHeight="1">
      <c r="C71" s="481"/>
      <c r="D71" s="481"/>
      <c r="E71" s="481"/>
      <c r="F71" s="481"/>
      <c r="G71" s="481"/>
      <c r="H71" s="481"/>
      <c r="I71" s="481"/>
      <c r="J71" s="481"/>
      <c r="K71" s="481"/>
      <c r="L71" s="481"/>
      <c r="M71" s="481"/>
    </row>
    <row r="72" spans="2:13" ht="12.75" customHeight="1">
      <c r="C72" s="481"/>
      <c r="D72" s="481"/>
      <c r="E72" s="481"/>
      <c r="F72" s="481"/>
      <c r="G72" s="481"/>
      <c r="H72" s="481"/>
      <c r="I72" s="481"/>
      <c r="J72" s="481"/>
      <c r="K72" s="481"/>
      <c r="L72" s="481"/>
      <c r="M72" s="481"/>
    </row>
    <row r="73" spans="2:13" ht="12.75" customHeight="1">
      <c r="C73" s="481"/>
      <c r="D73" s="481"/>
      <c r="E73" s="481"/>
      <c r="F73" s="481"/>
      <c r="G73" s="481"/>
      <c r="H73" s="481"/>
      <c r="I73" s="481"/>
      <c r="J73" s="481"/>
      <c r="K73" s="481"/>
      <c r="L73" s="481"/>
      <c r="M73" s="481"/>
    </row>
    <row r="74" spans="2:13" ht="12.75" customHeight="1">
      <c r="C74" s="481"/>
      <c r="D74" s="481"/>
      <c r="E74" s="481"/>
      <c r="F74" s="481"/>
      <c r="G74" s="481"/>
      <c r="H74" s="481"/>
      <c r="I74" s="481"/>
      <c r="J74" s="481"/>
      <c r="K74" s="481"/>
      <c r="L74" s="481"/>
      <c r="M74" s="481"/>
    </row>
    <row r="75" spans="2:13" ht="12.75" customHeight="1">
      <c r="C75" s="481"/>
      <c r="D75" s="481"/>
      <c r="E75" s="481"/>
      <c r="F75" s="481"/>
      <c r="G75" s="481"/>
      <c r="H75" s="481"/>
      <c r="I75" s="481"/>
      <c r="J75" s="481"/>
      <c r="K75" s="481"/>
      <c r="L75" s="481"/>
      <c r="M75" s="481"/>
    </row>
    <row r="76" spans="2:13" ht="12.75" customHeight="1">
      <c r="C76" s="481"/>
      <c r="D76" s="481"/>
      <c r="E76" s="481"/>
      <c r="F76" s="481"/>
      <c r="G76" s="481"/>
      <c r="H76" s="481"/>
      <c r="I76" s="481"/>
      <c r="J76" s="481"/>
      <c r="K76" s="481"/>
      <c r="L76" s="481"/>
      <c r="M76" s="481"/>
    </row>
    <row r="77" spans="2:13" ht="12.75" customHeight="1">
      <c r="C77" s="481"/>
      <c r="D77" s="481"/>
      <c r="E77" s="481"/>
      <c r="F77" s="481"/>
      <c r="G77" s="481"/>
      <c r="H77" s="481"/>
      <c r="I77" s="481"/>
      <c r="J77" s="481"/>
      <c r="K77" s="481"/>
      <c r="L77" s="481"/>
      <c r="M77" s="481"/>
    </row>
    <row r="78" spans="2:13" ht="12.75" customHeight="1">
      <c r="C78" s="481"/>
      <c r="D78" s="481"/>
      <c r="E78" s="481"/>
      <c r="F78" s="481"/>
      <c r="G78" s="481"/>
      <c r="H78" s="481"/>
      <c r="I78" s="481"/>
      <c r="J78" s="481"/>
      <c r="K78" s="481"/>
      <c r="L78" s="481"/>
      <c r="M78" s="481"/>
    </row>
    <row r="79" spans="2:13" ht="12.75" customHeight="1">
      <c r="C79" s="481"/>
      <c r="D79" s="481"/>
      <c r="E79" s="481"/>
      <c r="F79" s="481"/>
      <c r="G79" s="481"/>
      <c r="H79" s="481"/>
      <c r="I79" s="481"/>
      <c r="J79" s="481"/>
      <c r="K79" s="481"/>
      <c r="L79" s="481"/>
      <c r="M79" s="481"/>
    </row>
    <row r="80" spans="2:13" ht="12.75" customHeight="1">
      <c r="C80" s="481"/>
      <c r="D80" s="481"/>
      <c r="E80" s="481"/>
      <c r="F80" s="481"/>
      <c r="G80" s="481"/>
      <c r="H80" s="481"/>
      <c r="I80" s="481"/>
      <c r="J80" s="481"/>
      <c r="K80" s="481"/>
      <c r="L80" s="481"/>
      <c r="M80" s="481"/>
    </row>
    <row r="81" spans="2:13" ht="12.75" customHeight="1">
      <c r="B81" s="526"/>
      <c r="C81" s="481"/>
      <c r="D81" s="481"/>
      <c r="E81" s="481"/>
      <c r="F81" s="481"/>
      <c r="G81" s="481"/>
      <c r="H81" s="481"/>
      <c r="I81" s="481"/>
      <c r="J81" s="481"/>
      <c r="K81" s="481"/>
      <c r="L81" s="481"/>
      <c r="M81" s="481"/>
    </row>
    <row r="82" spans="2:13" ht="12.75" customHeight="1">
      <c r="B82" s="526"/>
      <c r="C82" s="481"/>
      <c r="D82" s="481"/>
      <c r="E82" s="481"/>
      <c r="F82" s="481"/>
      <c r="G82" s="481"/>
      <c r="H82" s="481"/>
      <c r="I82" s="481"/>
      <c r="J82" s="481"/>
      <c r="K82" s="481"/>
      <c r="L82" s="481"/>
      <c r="M82" s="481"/>
    </row>
    <row r="83" spans="2:13" ht="12.75" customHeight="1">
      <c r="B83" s="526"/>
      <c r="C83" s="481"/>
      <c r="D83" s="481"/>
      <c r="E83" s="481"/>
      <c r="F83" s="481"/>
      <c r="G83" s="481"/>
      <c r="H83" s="481"/>
      <c r="I83" s="481"/>
      <c r="J83" s="481"/>
      <c r="K83" s="481"/>
      <c r="L83" s="481"/>
      <c r="M83" s="481"/>
    </row>
    <row r="84" spans="2:13" ht="12.75" customHeight="1">
      <c r="B84" s="526"/>
      <c r="C84" s="481"/>
      <c r="D84" s="481"/>
      <c r="E84" s="481"/>
      <c r="F84" s="481"/>
      <c r="G84" s="481"/>
      <c r="H84" s="481"/>
      <c r="I84" s="481"/>
      <c r="J84" s="481"/>
      <c r="K84" s="481"/>
      <c r="L84" s="481"/>
      <c r="M84" s="481"/>
    </row>
    <row r="85" spans="2:13" ht="12.75" customHeight="1">
      <c r="B85" s="526"/>
      <c r="C85" s="481"/>
      <c r="D85" s="481"/>
      <c r="E85" s="481"/>
      <c r="F85" s="481"/>
      <c r="G85" s="481"/>
      <c r="H85" s="481"/>
      <c r="I85" s="481"/>
      <c r="J85" s="481"/>
      <c r="K85" s="481"/>
      <c r="L85" s="481"/>
      <c r="M85" s="481"/>
    </row>
    <row r="86" spans="2:13" ht="12.75" customHeight="1">
      <c r="B86" s="526"/>
      <c r="C86" s="481"/>
      <c r="D86" s="481"/>
      <c r="E86" s="481"/>
      <c r="F86" s="481"/>
      <c r="G86" s="481"/>
      <c r="H86" s="481"/>
      <c r="I86" s="481"/>
      <c r="J86" s="481"/>
      <c r="K86" s="481"/>
      <c r="L86" s="481"/>
      <c r="M86" s="481"/>
    </row>
    <row r="87" spans="2:13" ht="12.75" customHeight="1">
      <c r="B87" s="526"/>
      <c r="C87" s="481"/>
      <c r="D87" s="481"/>
      <c r="E87" s="481"/>
      <c r="F87" s="481"/>
      <c r="G87" s="481"/>
      <c r="H87" s="481"/>
      <c r="I87" s="481"/>
      <c r="J87" s="481"/>
      <c r="K87" s="481"/>
      <c r="L87" s="481"/>
      <c r="M87" s="481"/>
    </row>
    <row r="88" spans="2:13" ht="12.75" customHeight="1">
      <c r="B88" s="526"/>
    </row>
  </sheetData>
  <mergeCells count="11">
    <mergeCell ref="C6:D6"/>
    <mergeCell ref="F6:G6"/>
    <mergeCell ref="I6:J6"/>
    <mergeCell ref="L6:M6"/>
    <mergeCell ref="C4:G4"/>
    <mergeCell ref="I4:J4"/>
    <mergeCell ref="L4:M4"/>
    <mergeCell ref="C5:D5"/>
    <mergeCell ref="F5:G5"/>
    <mergeCell ref="I5:J5"/>
    <mergeCell ref="L5:M5"/>
  </mergeCells>
  <pageMargins left="0.74803149606299202" right="0.17" top="0.74803149606299202" bottom="0.511811023622047" header="0.43307086614173201" footer="0.31496062992126"/>
  <pageSetup paperSize="9" scale="93" orientation="portrait" r:id="rId1"/>
  <headerFooter alignWithMargins="0">
    <oddHeader>&amp;C&amp;"Times New Roman,Regular"&amp;13&amp;P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"/>
  <sheetViews>
    <sheetView workbookViewId="0">
      <selection activeCell="L15" sqref="L15"/>
    </sheetView>
  </sheetViews>
  <sheetFormatPr defaultColWidth="9.140625" defaultRowHeight="12"/>
  <cols>
    <col min="1" max="1" width="2" style="484" customWidth="1"/>
    <col min="2" max="2" width="33.5703125" style="483" customWidth="1"/>
    <col min="3" max="4" width="6.7109375" style="484" customWidth="1"/>
    <col min="5" max="5" width="0.5703125" style="484" customWidth="1"/>
    <col min="6" max="6" width="6.28515625" style="484" bestFit="1" customWidth="1"/>
    <col min="7" max="7" width="7" style="484" bestFit="1" customWidth="1"/>
    <col min="8" max="8" width="0.7109375" style="484" customWidth="1"/>
    <col min="9" max="10" width="6.85546875" style="543" customWidth="1"/>
    <col min="11" max="11" width="0.5703125" style="543" customWidth="1"/>
    <col min="12" max="13" width="7.140625" style="543" customWidth="1"/>
    <col min="14" max="16384" width="9.140625" style="484"/>
  </cols>
  <sheetData>
    <row r="1" spans="1:15" s="532" customFormat="1" ht="16.5">
      <c r="A1" s="479" t="s">
        <v>709</v>
      </c>
      <c r="B1" s="479"/>
      <c r="C1" s="479"/>
      <c r="D1" s="479"/>
      <c r="E1" s="479"/>
      <c r="F1" s="479"/>
      <c r="G1" s="479"/>
      <c r="H1" s="479"/>
      <c r="I1" s="531"/>
      <c r="J1" s="531"/>
      <c r="K1" s="531"/>
      <c r="L1" s="531"/>
      <c r="M1" s="531"/>
    </row>
    <row r="2" spans="1:15" ht="15" customHeight="1">
      <c r="A2" s="533"/>
      <c r="B2" s="533"/>
      <c r="C2" s="533"/>
      <c r="D2" s="533"/>
      <c r="E2" s="533"/>
      <c r="F2" s="533"/>
      <c r="G2" s="533"/>
      <c r="H2" s="533"/>
      <c r="I2" s="534"/>
      <c r="J2" s="534"/>
      <c r="K2" s="534"/>
      <c r="L2" s="534"/>
      <c r="M2" s="534"/>
    </row>
    <row r="3" spans="1:15" s="535" customFormat="1" ht="15" customHeight="1">
      <c r="B3" s="536"/>
      <c r="G3" s="485"/>
      <c r="H3" s="485"/>
      <c r="I3" s="485"/>
      <c r="J3" s="537"/>
      <c r="K3" s="537"/>
      <c r="L3" s="537"/>
      <c r="M3" s="487" t="s">
        <v>460</v>
      </c>
    </row>
    <row r="4" spans="1:15" ht="15" customHeight="1">
      <c r="A4" s="514"/>
      <c r="B4" s="489"/>
      <c r="C4" s="960" t="s">
        <v>1</v>
      </c>
      <c r="D4" s="960"/>
      <c r="E4" s="538"/>
      <c r="F4" s="960" t="s">
        <v>300</v>
      </c>
      <c r="G4" s="960"/>
      <c r="H4" s="960"/>
      <c r="I4" s="956" t="s">
        <v>194</v>
      </c>
      <c r="J4" s="956"/>
      <c r="K4" s="956"/>
      <c r="L4" s="956"/>
      <c r="M4" s="956"/>
    </row>
    <row r="5" spans="1:15" ht="15" customHeight="1">
      <c r="B5" s="491"/>
      <c r="C5" s="961" t="s">
        <v>39</v>
      </c>
      <c r="D5" s="961"/>
      <c r="E5" s="539"/>
      <c r="F5" s="961" t="s">
        <v>195</v>
      </c>
      <c r="G5" s="961"/>
      <c r="H5" s="961"/>
      <c r="I5" s="958" t="s">
        <v>42</v>
      </c>
      <c r="J5" s="958"/>
      <c r="K5" s="492"/>
      <c r="L5" s="958" t="s">
        <v>43</v>
      </c>
      <c r="M5" s="958"/>
    </row>
    <row r="6" spans="1:15" ht="15" customHeight="1">
      <c r="B6" s="491"/>
      <c r="C6" s="962" t="s">
        <v>87</v>
      </c>
      <c r="D6" s="962"/>
      <c r="E6" s="539"/>
      <c r="F6" s="962" t="s">
        <v>87</v>
      </c>
      <c r="G6" s="962"/>
      <c r="H6" s="540"/>
      <c r="I6" s="955" t="s">
        <v>87</v>
      </c>
      <c r="J6" s="955"/>
      <c r="K6" s="493"/>
      <c r="L6" s="955" t="s">
        <v>87</v>
      </c>
      <c r="M6" s="955"/>
    </row>
    <row r="7" spans="1:15" ht="15" customHeight="1">
      <c r="B7" s="491"/>
      <c r="C7" s="541" t="s">
        <v>383</v>
      </c>
      <c r="D7" s="541" t="s">
        <v>384</v>
      </c>
      <c r="E7" s="541"/>
      <c r="F7" s="542" t="s">
        <v>383</v>
      </c>
      <c r="G7" s="541" t="s">
        <v>384</v>
      </c>
      <c r="H7" s="541"/>
      <c r="I7" s="494" t="s">
        <v>383</v>
      </c>
      <c r="J7" s="494" t="s">
        <v>384</v>
      </c>
      <c r="K7" s="494"/>
      <c r="L7" s="495" t="s">
        <v>383</v>
      </c>
      <c r="M7" s="494" t="s">
        <v>384</v>
      </c>
    </row>
    <row r="8" spans="1:15" ht="15" customHeight="1">
      <c r="B8" s="496"/>
    </row>
    <row r="9" spans="1:15" s="499" customFormat="1" ht="15" customHeight="1">
      <c r="A9" s="963" t="s">
        <v>385</v>
      </c>
      <c r="B9" s="963"/>
      <c r="C9" s="544"/>
      <c r="D9" s="544">
        <v>128521</v>
      </c>
      <c r="E9" s="544"/>
      <c r="F9" s="544"/>
      <c r="G9" s="544">
        <v>126299.54963800003</v>
      </c>
      <c r="H9" s="545"/>
      <c r="I9" s="501"/>
      <c r="J9" s="501">
        <v>118.39382484310764</v>
      </c>
      <c r="K9" s="501"/>
      <c r="L9" s="501"/>
      <c r="M9" s="501">
        <v>119.95509492001636</v>
      </c>
      <c r="N9" s="501"/>
      <c r="O9" s="501"/>
    </row>
    <row r="10" spans="1:15" ht="15" customHeight="1">
      <c r="B10" s="504" t="s">
        <v>386</v>
      </c>
      <c r="C10" s="544"/>
      <c r="D10" s="544">
        <v>26844.586350000012</v>
      </c>
      <c r="E10" s="544"/>
      <c r="F10" s="544"/>
      <c r="G10" s="544">
        <v>22538</v>
      </c>
      <c r="H10" s="545"/>
      <c r="I10" s="501"/>
      <c r="J10" s="501">
        <v>88.019409454629482</v>
      </c>
      <c r="K10" s="501"/>
      <c r="L10" s="501"/>
      <c r="M10" s="501">
        <v>72.340711704846015</v>
      </c>
      <c r="N10" s="501"/>
      <c r="O10" s="501"/>
    </row>
    <row r="11" spans="1:15" ht="15" customHeight="1">
      <c r="B11" s="504" t="s">
        <v>387</v>
      </c>
      <c r="C11" s="544"/>
      <c r="D11" s="544">
        <v>101676.41364999999</v>
      </c>
      <c r="E11" s="544"/>
      <c r="F11" s="544"/>
      <c r="G11" s="544">
        <v>103762.22205299999</v>
      </c>
      <c r="H11" s="545"/>
      <c r="I11" s="501"/>
      <c r="J11" s="501">
        <v>130.26199305730805</v>
      </c>
      <c r="K11" s="501"/>
      <c r="L11" s="501"/>
      <c r="M11" s="501">
        <v>139.96462150934363</v>
      </c>
      <c r="N11" s="501"/>
      <c r="O11" s="501"/>
    </row>
    <row r="12" spans="1:15" ht="15" customHeight="1">
      <c r="B12" s="505" t="s">
        <v>388</v>
      </c>
      <c r="C12" s="544"/>
      <c r="D12" s="546">
        <v>327.30004100000008</v>
      </c>
      <c r="E12" s="546"/>
      <c r="F12" s="546"/>
      <c r="G12" s="546">
        <v>394.3835170000001</v>
      </c>
      <c r="H12" s="547"/>
      <c r="I12" s="501"/>
      <c r="J12" s="497">
        <v>88.587285473146721</v>
      </c>
      <c r="K12" s="497"/>
      <c r="L12" s="497"/>
      <c r="M12" s="497">
        <v>144.12662525367296</v>
      </c>
      <c r="N12" s="501"/>
      <c r="O12" s="501"/>
    </row>
    <row r="13" spans="1:15" ht="15" customHeight="1">
      <c r="B13" s="507" t="s">
        <v>389</v>
      </c>
      <c r="C13" s="544"/>
      <c r="D13" s="546">
        <v>101349.11360899999</v>
      </c>
      <c r="E13" s="546"/>
      <c r="F13" s="546"/>
      <c r="G13" s="546">
        <v>103367.838536</v>
      </c>
      <c r="H13" s="547"/>
      <c r="I13" s="501"/>
      <c r="J13" s="497">
        <v>130.46019380637236</v>
      </c>
      <c r="K13" s="497"/>
      <c r="L13" s="497"/>
      <c r="M13" s="497">
        <v>139.94920230383539</v>
      </c>
      <c r="N13" s="501"/>
      <c r="O13" s="501"/>
    </row>
    <row r="14" spans="1:15" ht="15" customHeight="1">
      <c r="A14" s="959" t="s">
        <v>390</v>
      </c>
      <c r="B14" s="959"/>
      <c r="C14" s="544"/>
      <c r="D14" s="544"/>
      <c r="E14" s="546"/>
      <c r="F14" s="546"/>
      <c r="G14" s="546"/>
      <c r="H14" s="545"/>
      <c r="I14" s="501"/>
      <c r="J14" s="501"/>
      <c r="K14" s="501"/>
      <c r="L14" s="501"/>
      <c r="M14" s="501"/>
      <c r="N14" s="501"/>
      <c r="O14" s="501"/>
    </row>
    <row r="15" spans="1:15" ht="15" customHeight="1">
      <c r="B15" s="509" t="s">
        <v>391</v>
      </c>
      <c r="C15" s="546"/>
      <c r="D15" s="546">
        <v>3057.7885970000002</v>
      </c>
      <c r="E15" s="546"/>
      <c r="F15" s="546"/>
      <c r="G15" s="546">
        <v>3116.4038579999992</v>
      </c>
      <c r="H15" s="547"/>
      <c r="I15" s="497"/>
      <c r="J15" s="497">
        <v>108.5486491868606</v>
      </c>
      <c r="K15" s="497"/>
      <c r="L15" s="497"/>
      <c r="M15" s="497">
        <v>110.84679971130637</v>
      </c>
      <c r="N15" s="501"/>
      <c r="O15" s="501"/>
    </row>
    <row r="16" spans="1:15" ht="15" customHeight="1">
      <c r="B16" s="509" t="s">
        <v>392</v>
      </c>
      <c r="C16" s="546"/>
      <c r="D16" s="546">
        <v>3027.3005340000009</v>
      </c>
      <c r="E16" s="546"/>
      <c r="F16" s="546"/>
      <c r="G16" s="546">
        <v>2430.8650549999988</v>
      </c>
      <c r="H16" s="547"/>
      <c r="I16" s="497"/>
      <c r="J16" s="497">
        <v>131.02443034405769</v>
      </c>
      <c r="K16" s="497"/>
      <c r="L16" s="497"/>
      <c r="M16" s="497">
        <v>161.50109599691251</v>
      </c>
      <c r="N16" s="501"/>
      <c r="O16" s="501"/>
    </row>
    <row r="17" spans="2:15" ht="15" customHeight="1">
      <c r="B17" s="509" t="s">
        <v>393</v>
      </c>
      <c r="C17" s="546">
        <v>210.11900000000003</v>
      </c>
      <c r="D17" s="546">
        <v>1424.7052720000002</v>
      </c>
      <c r="E17" s="546"/>
      <c r="F17" s="546">
        <v>210.78749999662682</v>
      </c>
      <c r="G17" s="546">
        <v>1456.2284089999998</v>
      </c>
      <c r="H17" s="547"/>
      <c r="I17" s="497">
        <v>111.01606707913076</v>
      </c>
      <c r="J17" s="497">
        <v>118.90892621100797</v>
      </c>
      <c r="K17" s="497"/>
      <c r="L17" s="497">
        <v>117.38197066202613</v>
      </c>
      <c r="M17" s="497">
        <v>122.85935514776941</v>
      </c>
      <c r="N17" s="501"/>
      <c r="O17" s="501"/>
    </row>
    <row r="18" spans="2:15" ht="15" customHeight="1">
      <c r="B18" s="509" t="s">
        <v>394</v>
      </c>
      <c r="C18" s="546">
        <v>292.61299999999994</v>
      </c>
      <c r="D18" s="546">
        <v>1574.5048289999995</v>
      </c>
      <c r="E18" s="546"/>
      <c r="F18" s="546">
        <v>341.96430671270343</v>
      </c>
      <c r="G18" s="546">
        <v>1912.7333800000006</v>
      </c>
      <c r="H18" s="547"/>
      <c r="I18" s="497">
        <v>143.67297437962151</v>
      </c>
      <c r="J18" s="497">
        <v>147.0985862604237</v>
      </c>
      <c r="K18" s="497"/>
      <c r="L18" s="497">
        <v>144.85532301987243</v>
      </c>
      <c r="M18" s="497">
        <v>147.31266970129943</v>
      </c>
      <c r="N18" s="501"/>
      <c r="O18" s="501"/>
    </row>
    <row r="19" spans="2:15" ht="15" customHeight="1">
      <c r="B19" s="509" t="s">
        <v>395</v>
      </c>
      <c r="C19" s="546">
        <v>39.329000000000008</v>
      </c>
      <c r="D19" s="546">
        <v>70.776058000000006</v>
      </c>
      <c r="E19" s="546"/>
      <c r="F19" s="546">
        <v>39.534853927912678</v>
      </c>
      <c r="G19" s="546">
        <v>70.632675999999975</v>
      </c>
      <c r="H19" s="547"/>
      <c r="I19" s="497">
        <v>89.493924361716665</v>
      </c>
      <c r="J19" s="497">
        <v>88.708194123189728</v>
      </c>
      <c r="K19" s="497"/>
      <c r="L19" s="497">
        <v>98.21591913127638</v>
      </c>
      <c r="M19" s="497">
        <v>99.913541212109436</v>
      </c>
      <c r="N19" s="501"/>
      <c r="O19" s="501"/>
    </row>
    <row r="20" spans="2:15" ht="15" customHeight="1">
      <c r="B20" s="509" t="s">
        <v>396</v>
      </c>
      <c r="C20" s="546">
        <v>63.241999999999997</v>
      </c>
      <c r="D20" s="546">
        <v>418.175567</v>
      </c>
      <c r="E20" s="546"/>
      <c r="F20" s="546">
        <v>58.773279651662399</v>
      </c>
      <c r="G20" s="546">
        <v>395.02127099999984</v>
      </c>
      <c r="H20" s="547"/>
      <c r="I20" s="497">
        <v>108.47684391080618</v>
      </c>
      <c r="J20" s="497">
        <v>117.21699336239475</v>
      </c>
      <c r="K20" s="497"/>
      <c r="L20" s="497">
        <v>120.00179605051839</v>
      </c>
      <c r="M20" s="497">
        <v>121.80476280128181</v>
      </c>
      <c r="N20" s="501"/>
      <c r="O20" s="501"/>
    </row>
    <row r="21" spans="2:15" ht="15" customHeight="1">
      <c r="B21" s="511" t="s">
        <v>397</v>
      </c>
      <c r="C21" s="546">
        <v>2105.4600000000005</v>
      </c>
      <c r="D21" s="546">
        <v>1041.2111619999996</v>
      </c>
      <c r="E21" s="546"/>
      <c r="F21" s="546">
        <v>1188.9270750573351</v>
      </c>
      <c r="G21" s="546">
        <v>617.60317900000018</v>
      </c>
      <c r="H21" s="547"/>
      <c r="I21" s="497">
        <v>87.22663737928174</v>
      </c>
      <c r="J21" s="497">
        <v>70.952341592055319</v>
      </c>
      <c r="K21" s="497"/>
      <c r="L21" s="497">
        <v>57.423302107952523</v>
      </c>
      <c r="M21" s="497">
        <v>47.168762313734973</v>
      </c>
      <c r="N21" s="501"/>
      <c r="O21" s="501"/>
    </row>
    <row r="22" spans="2:15" ht="15" customHeight="1">
      <c r="B22" s="509" t="s">
        <v>398</v>
      </c>
      <c r="C22" s="546">
        <v>823.63400000000001</v>
      </c>
      <c r="D22" s="546">
        <v>261.1625800000001</v>
      </c>
      <c r="E22" s="546"/>
      <c r="F22" s="546">
        <v>901.91588629456601</v>
      </c>
      <c r="G22" s="546">
        <v>321.02907099999987</v>
      </c>
      <c r="H22" s="547"/>
      <c r="I22" s="497">
        <v>155.27314956206334</v>
      </c>
      <c r="J22" s="497">
        <v>104.9572862908246</v>
      </c>
      <c r="K22" s="497"/>
      <c r="L22" s="497">
        <v>127.5761088337814</v>
      </c>
      <c r="M22" s="497">
        <v>116.1898853181919</v>
      </c>
      <c r="N22" s="501"/>
      <c r="O22" s="501"/>
    </row>
    <row r="23" spans="2:15" ht="15" customHeight="1">
      <c r="B23" s="509" t="s">
        <v>399</v>
      </c>
      <c r="C23" s="546"/>
      <c r="D23" s="546">
        <v>327.026974</v>
      </c>
      <c r="E23" s="546"/>
      <c r="F23" s="546"/>
      <c r="G23" s="546">
        <v>369.73058000000003</v>
      </c>
      <c r="H23" s="547"/>
      <c r="I23" s="497"/>
      <c r="J23" s="497">
        <v>101.94111195593338</v>
      </c>
      <c r="K23" s="497"/>
      <c r="L23" s="497"/>
      <c r="M23" s="497">
        <v>103.07360071917289</v>
      </c>
      <c r="N23" s="501"/>
      <c r="O23" s="501"/>
    </row>
    <row r="24" spans="2:15" ht="15" customHeight="1">
      <c r="B24" s="509" t="s">
        <v>400</v>
      </c>
      <c r="C24" s="546"/>
      <c r="D24" s="546">
        <v>402.15797900000007</v>
      </c>
      <c r="E24" s="546"/>
      <c r="F24" s="546"/>
      <c r="G24" s="546">
        <v>433.01313200000004</v>
      </c>
      <c r="H24" s="547"/>
      <c r="I24" s="497"/>
      <c r="J24" s="497">
        <v>156.40296747265123</v>
      </c>
      <c r="K24" s="497"/>
      <c r="L24" s="497"/>
      <c r="M24" s="497">
        <v>151.91669960405008</v>
      </c>
      <c r="N24" s="501"/>
      <c r="O24" s="501"/>
    </row>
    <row r="25" spans="2:15" ht="15" customHeight="1">
      <c r="B25" s="509" t="s">
        <v>461</v>
      </c>
      <c r="C25" s="546">
        <v>9498.9050000000007</v>
      </c>
      <c r="D25" s="546">
        <v>356.28492699999993</v>
      </c>
      <c r="E25" s="546"/>
      <c r="F25" s="546">
        <v>10789.046343311626</v>
      </c>
      <c r="G25" s="546">
        <v>389.87025800000004</v>
      </c>
      <c r="H25" s="547"/>
      <c r="I25" s="497">
        <v>140.72039072039072</v>
      </c>
      <c r="J25" s="497">
        <v>137.79086322535042</v>
      </c>
      <c r="K25" s="497"/>
      <c r="L25" s="497">
        <v>149.98205815969823</v>
      </c>
      <c r="M25" s="497">
        <v>141.58687612731583</v>
      </c>
      <c r="N25" s="501"/>
      <c r="O25" s="501"/>
    </row>
    <row r="26" spans="2:15" ht="15" customHeight="1">
      <c r="B26" s="509" t="s">
        <v>402</v>
      </c>
      <c r="C26" s="546">
        <v>577.41399999999999</v>
      </c>
      <c r="D26" s="546">
        <v>327.30004100000008</v>
      </c>
      <c r="E26" s="546"/>
      <c r="F26" s="546">
        <v>742.71241229867837</v>
      </c>
      <c r="G26" s="546">
        <v>394.3835170000001</v>
      </c>
      <c r="H26" s="547"/>
      <c r="I26" s="497">
        <v>100.20738642772973</v>
      </c>
      <c r="J26" s="497">
        <v>88.587285473146721</v>
      </c>
      <c r="K26" s="497"/>
      <c r="L26" s="497">
        <v>163.23421472153248</v>
      </c>
      <c r="M26" s="497">
        <v>144.12662525367296</v>
      </c>
      <c r="N26" s="501"/>
      <c r="O26" s="501"/>
    </row>
    <row r="27" spans="2:15" ht="15" customHeight="1">
      <c r="B27" s="509" t="s">
        <v>403</v>
      </c>
      <c r="C27" s="546">
        <v>351.21199999999999</v>
      </c>
      <c r="D27" s="546">
        <v>234.851336</v>
      </c>
      <c r="E27" s="546"/>
      <c r="F27" s="546">
        <v>335.54270349088529</v>
      </c>
      <c r="G27" s="546">
        <v>237.19460799999985</v>
      </c>
      <c r="H27" s="547"/>
      <c r="I27" s="497">
        <v>67.971078442756834</v>
      </c>
      <c r="J27" s="497">
        <v>58.795894666415784</v>
      </c>
      <c r="K27" s="497"/>
      <c r="L27" s="497">
        <v>54.059801944114483</v>
      </c>
      <c r="M27" s="497">
        <v>50.179303591520771</v>
      </c>
      <c r="N27" s="501"/>
      <c r="O27" s="501"/>
    </row>
    <row r="28" spans="2:15" ht="15" customHeight="1">
      <c r="B28" s="509" t="s">
        <v>440</v>
      </c>
      <c r="C28" s="546"/>
      <c r="D28" s="546">
        <v>712.72210499999983</v>
      </c>
      <c r="E28" s="546"/>
      <c r="F28" s="546"/>
      <c r="G28" s="546">
        <v>716.44907000000012</v>
      </c>
      <c r="H28" s="547"/>
      <c r="I28" s="497"/>
      <c r="J28" s="497">
        <v>104.89449295295114</v>
      </c>
      <c r="K28" s="497"/>
      <c r="L28" s="497"/>
      <c r="M28" s="497">
        <v>98.07756497806254</v>
      </c>
      <c r="N28" s="501"/>
      <c r="O28" s="501"/>
    </row>
    <row r="29" spans="2:15" ht="15" customHeight="1">
      <c r="B29" s="509" t="s">
        <v>462</v>
      </c>
      <c r="C29" s="546"/>
      <c r="D29" s="546">
        <v>724.08331499999997</v>
      </c>
      <c r="E29" s="546"/>
      <c r="F29" s="546"/>
      <c r="G29" s="546">
        <v>770.71785900000043</v>
      </c>
      <c r="H29" s="547"/>
      <c r="I29" s="497"/>
      <c r="J29" s="497">
        <v>102.97518168406316</v>
      </c>
      <c r="K29" s="497"/>
      <c r="L29" s="497"/>
      <c r="M29" s="497">
        <v>109.9499966078495</v>
      </c>
      <c r="N29" s="501"/>
      <c r="O29" s="501"/>
    </row>
    <row r="30" spans="2:15" ht="15" customHeight="1">
      <c r="B30" s="509" t="s">
        <v>406</v>
      </c>
      <c r="C30" s="546">
        <v>523.02899999999988</v>
      </c>
      <c r="D30" s="546">
        <v>545.09182099999998</v>
      </c>
      <c r="E30" s="546"/>
      <c r="F30" s="546">
        <v>626.43610403341779</v>
      </c>
      <c r="G30" s="546">
        <v>617.59906700000033</v>
      </c>
      <c r="H30" s="547"/>
      <c r="I30" s="497">
        <v>89.353207482702629</v>
      </c>
      <c r="J30" s="497">
        <v>84.635619249270022</v>
      </c>
      <c r="K30" s="497"/>
      <c r="L30" s="497">
        <v>109.41771333537422</v>
      </c>
      <c r="M30" s="497">
        <v>99.532704367131359</v>
      </c>
      <c r="N30" s="501"/>
      <c r="O30" s="501"/>
    </row>
    <row r="31" spans="2:15" ht="15" customHeight="1">
      <c r="B31" s="509" t="s">
        <v>463</v>
      </c>
      <c r="C31" s="546"/>
      <c r="D31" s="546">
        <v>1896.4513250000002</v>
      </c>
      <c r="E31" s="546"/>
      <c r="F31" s="546"/>
      <c r="G31" s="546">
        <v>1977.7164320000004</v>
      </c>
      <c r="H31" s="547"/>
      <c r="I31" s="497"/>
      <c r="J31" s="497">
        <v>110.50292919552295</v>
      </c>
      <c r="K31" s="497"/>
      <c r="L31" s="497"/>
      <c r="M31" s="497">
        <v>106.30125879682508</v>
      </c>
      <c r="N31" s="501"/>
      <c r="O31" s="501"/>
    </row>
    <row r="32" spans="2:15" ht="15" customHeight="1">
      <c r="B32" s="509" t="s">
        <v>408</v>
      </c>
      <c r="C32" s="546">
        <v>598.09400000000005</v>
      </c>
      <c r="D32" s="546">
        <v>995.77159800000015</v>
      </c>
      <c r="E32" s="546"/>
      <c r="F32" s="546">
        <v>609.48685796905534</v>
      </c>
      <c r="G32" s="546">
        <v>1045.4742030000002</v>
      </c>
      <c r="H32" s="547"/>
      <c r="I32" s="497">
        <v>101.46094367597316</v>
      </c>
      <c r="J32" s="497">
        <v>100.78583585137856</v>
      </c>
      <c r="K32" s="497"/>
      <c r="L32" s="497">
        <v>87.900208105028995</v>
      </c>
      <c r="M32" s="497">
        <v>79.064933397040107</v>
      </c>
      <c r="N32" s="501"/>
      <c r="O32" s="501"/>
    </row>
    <row r="33" spans="1:15" ht="15" customHeight="1">
      <c r="A33" s="512"/>
      <c r="B33" s="507" t="s">
        <v>409</v>
      </c>
      <c r="C33" s="546"/>
      <c r="D33" s="546">
        <v>352.13498200000004</v>
      </c>
      <c r="E33" s="546"/>
      <c r="F33" s="546"/>
      <c r="G33" s="546">
        <v>357.69141500000001</v>
      </c>
      <c r="H33" s="547"/>
      <c r="I33" s="497"/>
      <c r="J33" s="497">
        <v>117.4724137305131</v>
      </c>
      <c r="K33" s="497"/>
      <c r="L33" s="497"/>
      <c r="M33" s="497">
        <v>105.62372517822381</v>
      </c>
      <c r="N33" s="501"/>
      <c r="O33" s="501"/>
    </row>
    <row r="34" spans="1:15" ht="15" customHeight="1">
      <c r="A34" s="512"/>
      <c r="B34" s="509" t="s">
        <v>410</v>
      </c>
      <c r="C34" s="546"/>
      <c r="D34" s="546">
        <v>1146.3095450000001</v>
      </c>
      <c r="E34" s="546"/>
      <c r="F34" s="546"/>
      <c r="G34" s="546">
        <v>1270.4171770000003</v>
      </c>
      <c r="H34" s="547"/>
      <c r="I34" s="497"/>
      <c r="J34" s="497">
        <v>103.14406793212045</v>
      </c>
      <c r="K34" s="497"/>
      <c r="L34" s="497"/>
      <c r="M34" s="497">
        <v>108.29179654506123</v>
      </c>
      <c r="N34" s="501"/>
      <c r="O34" s="501"/>
    </row>
    <row r="35" spans="1:15" ht="15" customHeight="1">
      <c r="A35" s="512"/>
      <c r="B35" s="509" t="s">
        <v>411</v>
      </c>
      <c r="C35" s="546"/>
      <c r="D35" s="546">
        <v>4321.4885709999999</v>
      </c>
      <c r="E35" s="546"/>
      <c r="F35" s="546"/>
      <c r="G35" s="546">
        <v>4708.2892530000008</v>
      </c>
      <c r="H35" s="547"/>
      <c r="I35" s="497"/>
      <c r="J35" s="497">
        <v>103.80649039538616</v>
      </c>
      <c r="K35" s="497"/>
      <c r="L35" s="497"/>
      <c r="M35" s="497">
        <v>102.74770643956863</v>
      </c>
      <c r="N35" s="501"/>
      <c r="O35" s="501"/>
    </row>
    <row r="36" spans="1:15" ht="15" customHeight="1">
      <c r="A36" s="512"/>
      <c r="B36" s="509" t="s">
        <v>412</v>
      </c>
      <c r="C36" s="546"/>
      <c r="D36" s="546">
        <v>564.82746400000008</v>
      </c>
      <c r="E36" s="546"/>
      <c r="F36" s="546"/>
      <c r="G36" s="546">
        <v>530.8410630000003</v>
      </c>
      <c r="H36" s="547"/>
      <c r="I36" s="497"/>
      <c r="J36" s="497">
        <v>102.10740337008406</v>
      </c>
      <c r="K36" s="497"/>
      <c r="L36" s="497"/>
      <c r="M36" s="497">
        <v>102.05104091315012</v>
      </c>
      <c r="N36" s="501"/>
      <c r="O36" s="501"/>
    </row>
    <row r="37" spans="1:15" ht="15" customHeight="1">
      <c r="A37" s="512"/>
      <c r="B37" s="509" t="s">
        <v>413</v>
      </c>
      <c r="C37" s="546">
        <v>498.21999999999997</v>
      </c>
      <c r="D37" s="546">
        <v>1107.6414690000001</v>
      </c>
      <c r="E37" s="546"/>
      <c r="F37" s="546">
        <v>524.33230053785837</v>
      </c>
      <c r="G37" s="546">
        <v>1126.5373770000001</v>
      </c>
      <c r="H37" s="547"/>
      <c r="I37" s="497">
        <v>106.62266678651069</v>
      </c>
      <c r="J37" s="497">
        <v>101.55264644113737</v>
      </c>
      <c r="K37" s="497"/>
      <c r="L37" s="497">
        <v>103.39800168760431</v>
      </c>
      <c r="M37" s="497">
        <v>97.954067408867388</v>
      </c>
      <c r="N37" s="501"/>
      <c r="O37" s="501"/>
    </row>
    <row r="38" spans="1:15" ht="15" customHeight="1">
      <c r="A38" s="512"/>
      <c r="B38" s="509" t="s">
        <v>464</v>
      </c>
      <c r="C38" s="546"/>
      <c r="D38" s="546">
        <v>11065.680082000003</v>
      </c>
      <c r="E38" s="546"/>
      <c r="F38" s="546"/>
      <c r="G38" s="546">
        <v>9897.9626979999957</v>
      </c>
      <c r="H38" s="547"/>
      <c r="I38" s="497"/>
      <c r="J38" s="497">
        <v>102.77438301964989</v>
      </c>
      <c r="K38" s="497"/>
      <c r="L38" s="497"/>
      <c r="M38" s="497">
        <v>102.53426941614983</v>
      </c>
      <c r="N38" s="501"/>
      <c r="O38" s="501"/>
    </row>
    <row r="39" spans="1:15" ht="15" customHeight="1">
      <c r="A39" s="512"/>
      <c r="B39" s="509" t="s">
        <v>415</v>
      </c>
      <c r="C39" s="546"/>
      <c r="D39" s="546">
        <v>5900.3524789999965</v>
      </c>
      <c r="E39" s="548"/>
      <c r="F39" s="546"/>
      <c r="G39" s="546">
        <v>6411.2906549999998</v>
      </c>
      <c r="H39" s="547"/>
      <c r="I39" s="497"/>
      <c r="J39" s="497">
        <v>102.32178298637677</v>
      </c>
      <c r="K39" s="497"/>
      <c r="L39" s="497"/>
      <c r="M39" s="497">
        <v>101.56874425491299</v>
      </c>
      <c r="N39" s="501"/>
      <c r="O39" s="501"/>
    </row>
    <row r="40" spans="1:15" ht="15" customHeight="1">
      <c r="A40" s="512"/>
      <c r="B40" s="509" t="s">
        <v>416</v>
      </c>
      <c r="C40" s="546"/>
      <c r="D40" s="546">
        <v>634.59741400000007</v>
      </c>
      <c r="E40" s="548"/>
      <c r="F40" s="546"/>
      <c r="G40" s="546">
        <v>632.70949599999972</v>
      </c>
      <c r="H40" s="547"/>
      <c r="I40" s="497"/>
      <c r="J40" s="497">
        <v>109.05201692080399</v>
      </c>
      <c r="K40" s="497"/>
      <c r="L40" s="497"/>
      <c r="M40" s="497">
        <v>108.7368707655684</v>
      </c>
      <c r="N40" s="501"/>
      <c r="O40" s="501"/>
    </row>
    <row r="41" spans="1:15" ht="15" customHeight="1">
      <c r="A41" s="512"/>
      <c r="B41" s="509" t="s">
        <v>417</v>
      </c>
      <c r="C41" s="546"/>
      <c r="D41" s="546">
        <v>393.22673700000001</v>
      </c>
      <c r="E41" s="548"/>
      <c r="F41" s="546"/>
      <c r="G41" s="546">
        <v>416.15714099999997</v>
      </c>
      <c r="H41" s="547"/>
      <c r="I41" s="497"/>
      <c r="J41" s="497">
        <v>117.9265303012849</v>
      </c>
      <c r="K41" s="497"/>
      <c r="L41" s="497"/>
      <c r="M41" s="497">
        <v>130.84006994860812</v>
      </c>
      <c r="N41" s="501"/>
      <c r="O41" s="501"/>
    </row>
    <row r="42" spans="1:15" ht="15" customHeight="1">
      <c r="A42" s="512"/>
      <c r="B42" s="509" t="s">
        <v>418</v>
      </c>
      <c r="C42" s="546">
        <v>2243</v>
      </c>
      <c r="D42" s="546">
        <v>1481.6791439999997</v>
      </c>
      <c r="E42" s="548"/>
      <c r="F42" s="546">
        <v>2187.1247824895863</v>
      </c>
      <c r="G42" s="546">
        <v>1452.9279710000001</v>
      </c>
      <c r="H42" s="547"/>
      <c r="I42" s="497">
        <v>64.851236813991449</v>
      </c>
      <c r="J42" s="497">
        <v>60.657355706150298</v>
      </c>
      <c r="K42" s="497"/>
      <c r="L42" s="497">
        <v>81.785950016176244</v>
      </c>
      <c r="M42" s="497">
        <v>77.874928073873548</v>
      </c>
      <c r="N42" s="501"/>
      <c r="O42" s="501"/>
    </row>
    <row r="43" spans="1:15" ht="15" customHeight="1">
      <c r="A43" s="512"/>
      <c r="B43" s="509" t="s">
        <v>419</v>
      </c>
      <c r="C43" s="546"/>
      <c r="D43" s="546">
        <v>1320.8439530000001</v>
      </c>
      <c r="E43" s="548"/>
      <c r="F43" s="546"/>
      <c r="G43" s="546">
        <v>1340.2808559999999</v>
      </c>
      <c r="H43" s="547"/>
      <c r="I43" s="497"/>
      <c r="J43" s="497">
        <v>115.26208931066088</v>
      </c>
      <c r="K43" s="497"/>
      <c r="L43" s="497"/>
      <c r="M43" s="497">
        <v>102.22504753723285</v>
      </c>
      <c r="N43" s="501"/>
      <c r="O43" s="501"/>
    </row>
    <row r="44" spans="1:15" ht="15" customHeight="1">
      <c r="A44" s="512"/>
      <c r="B44" s="509" t="s">
        <v>420</v>
      </c>
      <c r="C44" s="546"/>
      <c r="D44" s="546">
        <v>1172.9306670000001</v>
      </c>
      <c r="E44" s="548"/>
      <c r="F44" s="546"/>
      <c r="G44" s="546">
        <v>1234.3711299999995</v>
      </c>
      <c r="H44" s="547"/>
      <c r="I44" s="497"/>
      <c r="J44" s="497">
        <v>111.12207716207566</v>
      </c>
      <c r="K44" s="497"/>
      <c r="L44" s="497"/>
      <c r="M44" s="497">
        <v>117.06326610080853</v>
      </c>
      <c r="N44" s="501"/>
      <c r="O44" s="501"/>
    </row>
    <row r="45" spans="1:15" ht="15" customHeight="1">
      <c r="A45" s="512"/>
      <c r="B45" s="509" t="s">
        <v>421</v>
      </c>
      <c r="C45" s="546"/>
      <c r="D45" s="546">
        <v>29776.088094999985</v>
      </c>
      <c r="E45" s="548"/>
      <c r="F45" s="546"/>
      <c r="G45" s="546">
        <v>30262.885840000017</v>
      </c>
      <c r="H45" s="547"/>
      <c r="I45" s="497"/>
      <c r="J45" s="497">
        <v>156.5244666271567</v>
      </c>
      <c r="K45" s="497"/>
      <c r="L45" s="497"/>
      <c r="M45" s="497">
        <v>155.20711875620378</v>
      </c>
      <c r="N45" s="501"/>
      <c r="O45" s="501"/>
    </row>
    <row r="46" spans="1:15" ht="15" customHeight="1">
      <c r="A46" s="512"/>
      <c r="B46" s="509" t="s">
        <v>465</v>
      </c>
      <c r="C46" s="546"/>
      <c r="D46" s="546">
        <v>16698.581487000003</v>
      </c>
      <c r="E46" s="548"/>
      <c r="F46" s="546"/>
      <c r="G46" s="546">
        <v>13117.628600999999</v>
      </c>
      <c r="H46" s="547"/>
      <c r="I46" s="497"/>
      <c r="J46" s="497">
        <v>113.23473749819983</v>
      </c>
      <c r="K46" s="497"/>
      <c r="L46" s="497"/>
      <c r="M46" s="497">
        <v>109.27694249919486</v>
      </c>
      <c r="N46" s="501"/>
      <c r="O46" s="501"/>
    </row>
    <row r="47" spans="1:15" ht="15" customHeight="1">
      <c r="A47" s="512"/>
      <c r="B47" s="509" t="s">
        <v>423</v>
      </c>
      <c r="C47" s="546"/>
      <c r="D47" s="546">
        <v>2336.6635210000004</v>
      </c>
      <c r="E47" s="548"/>
      <c r="F47" s="546"/>
      <c r="G47" s="546">
        <v>2439.6151889999992</v>
      </c>
      <c r="H47" s="547"/>
      <c r="I47" s="497"/>
      <c r="J47" s="497">
        <v>110.63044348676544</v>
      </c>
      <c r="K47" s="497"/>
      <c r="L47" s="497"/>
      <c r="M47" s="497">
        <v>130.18488063821707</v>
      </c>
      <c r="N47" s="501"/>
      <c r="O47" s="501"/>
    </row>
    <row r="48" spans="1:15" ht="15" customHeight="1">
      <c r="A48" s="512"/>
      <c r="B48" s="509" t="s">
        <v>424</v>
      </c>
      <c r="C48" s="546"/>
      <c r="D48" s="546">
        <v>16107.623728999999</v>
      </c>
      <c r="E48" s="548"/>
      <c r="F48" s="546"/>
      <c r="G48" s="546">
        <v>16050.049685999998</v>
      </c>
      <c r="H48" s="547"/>
      <c r="I48" s="497"/>
      <c r="J48" s="497">
        <v>110.42728010172537</v>
      </c>
      <c r="K48" s="497"/>
      <c r="L48" s="497"/>
      <c r="M48" s="497">
        <v>112.25781610446359</v>
      </c>
      <c r="N48" s="501"/>
      <c r="O48" s="501"/>
    </row>
    <row r="49" spans="1:15" ht="15" customHeight="1">
      <c r="A49" s="512"/>
      <c r="B49" s="509" t="s">
        <v>425</v>
      </c>
      <c r="C49" s="546"/>
      <c r="D49" s="546">
        <v>1157.3347600000002</v>
      </c>
      <c r="E49" s="548"/>
      <c r="F49" s="546"/>
      <c r="G49" s="546">
        <v>1153.1083659999999</v>
      </c>
      <c r="H49" s="547"/>
      <c r="I49" s="497"/>
      <c r="J49" s="497">
        <v>125.10330157284028</v>
      </c>
      <c r="K49" s="497"/>
      <c r="L49" s="497"/>
      <c r="M49" s="497">
        <v>123.21975682292047</v>
      </c>
      <c r="N49" s="501"/>
      <c r="O49" s="501"/>
    </row>
    <row r="50" spans="1:15" ht="15" customHeight="1">
      <c r="A50" s="512"/>
      <c r="B50" s="509" t="s">
        <v>426</v>
      </c>
      <c r="C50" s="546"/>
      <c r="D50" s="546">
        <v>4548.7847780000002</v>
      </c>
      <c r="E50" s="548"/>
      <c r="F50" s="546"/>
      <c r="G50" s="546">
        <v>4753.8663970000007</v>
      </c>
      <c r="H50" s="547"/>
      <c r="I50" s="497"/>
      <c r="J50" s="497">
        <v>114.27708541381882</v>
      </c>
      <c r="K50" s="497"/>
      <c r="L50" s="497"/>
      <c r="M50" s="497">
        <v>119.68139411484395</v>
      </c>
    </row>
    <row r="51" spans="1:15" ht="15" customHeight="1">
      <c r="A51" s="512"/>
      <c r="B51" s="509" t="s">
        <v>466</v>
      </c>
      <c r="C51" s="546"/>
      <c r="D51" s="546">
        <v>890.29137400000013</v>
      </c>
      <c r="E51" s="548"/>
      <c r="F51" s="546"/>
      <c r="G51" s="546">
        <v>1174.0189489999998</v>
      </c>
      <c r="H51" s="547"/>
      <c r="I51" s="497"/>
      <c r="J51" s="497">
        <v>109.77303646880432</v>
      </c>
      <c r="K51" s="497"/>
      <c r="L51" s="497"/>
      <c r="M51" s="497">
        <v>115.77925489473012</v>
      </c>
    </row>
    <row r="52" spans="1:15" ht="15" customHeight="1">
      <c r="A52" s="512"/>
      <c r="B52" s="509" t="s">
        <v>428</v>
      </c>
      <c r="C52" s="546"/>
      <c r="D52" s="546">
        <v>3236.4737309999996</v>
      </c>
      <c r="E52" s="548"/>
      <c r="F52" s="546"/>
      <c r="G52" s="546">
        <v>2776.0948760000001</v>
      </c>
      <c r="H52" s="547"/>
      <c r="I52" s="497"/>
      <c r="J52" s="497">
        <v>277.95341180800352</v>
      </c>
      <c r="K52" s="497"/>
      <c r="L52" s="497"/>
      <c r="M52" s="497">
        <v>287.62513555529006</v>
      </c>
    </row>
    <row r="53" spans="1:15">
      <c r="A53" s="512"/>
      <c r="B53" s="512"/>
      <c r="C53" s="548"/>
      <c r="D53" s="548"/>
      <c r="E53" s="548"/>
      <c r="F53" s="546"/>
      <c r="G53" s="546"/>
      <c r="H53" s="547"/>
      <c r="I53" s="497"/>
      <c r="J53" s="497"/>
      <c r="K53" s="497"/>
      <c r="L53" s="497"/>
      <c r="M53" s="497"/>
    </row>
    <row r="54" spans="1:15">
      <c r="A54" s="512"/>
      <c r="B54" s="512"/>
      <c r="C54" s="512"/>
      <c r="D54" s="512"/>
      <c r="E54" s="512"/>
      <c r="F54" s="512"/>
      <c r="G54" s="512"/>
      <c r="H54" s="512"/>
      <c r="I54" s="549"/>
      <c r="J54" s="549"/>
      <c r="K54" s="549"/>
      <c r="L54" s="549"/>
      <c r="M54" s="549"/>
    </row>
    <row r="55" spans="1:15">
      <c r="A55" s="512"/>
      <c r="B55" s="512"/>
      <c r="C55" s="512"/>
      <c r="D55" s="512"/>
      <c r="E55" s="512"/>
      <c r="F55" s="512"/>
      <c r="G55" s="512"/>
      <c r="H55" s="512"/>
      <c r="I55" s="549"/>
      <c r="J55" s="549"/>
      <c r="K55" s="549"/>
      <c r="L55" s="549"/>
      <c r="M55" s="549"/>
    </row>
    <row r="56" spans="1:15">
      <c r="A56" s="512"/>
      <c r="B56" s="512"/>
      <c r="C56" s="512"/>
      <c r="D56" s="512"/>
      <c r="E56" s="512"/>
      <c r="F56" s="512"/>
      <c r="G56" s="512"/>
      <c r="H56" s="512"/>
      <c r="I56" s="549"/>
      <c r="J56" s="549"/>
      <c r="K56" s="549"/>
      <c r="L56" s="549"/>
      <c r="M56" s="549"/>
    </row>
    <row r="57" spans="1:15">
      <c r="A57" s="512"/>
      <c r="B57" s="512"/>
      <c r="C57" s="512"/>
      <c r="D57" s="512"/>
      <c r="E57" s="512"/>
      <c r="F57" s="512"/>
      <c r="G57" s="512"/>
      <c r="H57" s="512"/>
      <c r="I57" s="549"/>
      <c r="J57" s="549"/>
      <c r="K57" s="549"/>
      <c r="L57" s="549"/>
      <c r="M57" s="549"/>
    </row>
    <row r="58" spans="1:15">
      <c r="A58" s="512"/>
      <c r="B58" s="512"/>
      <c r="C58" s="512"/>
      <c r="D58" s="512"/>
      <c r="E58" s="512"/>
      <c r="F58" s="512"/>
      <c r="G58" s="512"/>
      <c r="H58" s="512"/>
      <c r="I58" s="550"/>
      <c r="J58" s="550"/>
      <c r="K58" s="550"/>
      <c r="L58" s="550"/>
      <c r="M58" s="550"/>
    </row>
    <row r="59" spans="1:15">
      <c r="A59" s="512"/>
      <c r="B59" s="512"/>
      <c r="C59" s="512"/>
      <c r="D59" s="512"/>
      <c r="E59" s="512"/>
      <c r="F59" s="512"/>
      <c r="G59" s="512"/>
      <c r="H59" s="512"/>
      <c r="I59" s="550"/>
      <c r="J59" s="550"/>
      <c r="K59" s="550"/>
      <c r="L59" s="550"/>
      <c r="M59" s="550"/>
    </row>
    <row r="60" spans="1:15">
      <c r="A60" s="512"/>
      <c r="B60" s="512"/>
    </row>
    <row r="61" spans="1:15">
      <c r="A61" s="512"/>
      <c r="B61" s="512"/>
    </row>
    <row r="62" spans="1:15">
      <c r="A62" s="512"/>
      <c r="B62" s="512"/>
    </row>
    <row r="63" spans="1:15">
      <c r="A63" s="512"/>
      <c r="B63" s="512"/>
    </row>
  </sheetData>
  <mergeCells count="14">
    <mergeCell ref="A14:B14"/>
    <mergeCell ref="C4:D4"/>
    <mergeCell ref="F4:G4"/>
    <mergeCell ref="H4:H5"/>
    <mergeCell ref="I4:M4"/>
    <mergeCell ref="C5:D5"/>
    <mergeCell ref="F5:G5"/>
    <mergeCell ref="I5:J5"/>
    <mergeCell ref="L5:M5"/>
    <mergeCell ref="C6:D6"/>
    <mergeCell ref="F6:G6"/>
    <mergeCell ref="I6:J6"/>
    <mergeCell ref="L6:M6"/>
    <mergeCell ref="A9:B9"/>
  </mergeCells>
  <pageMargins left="0.74803149606299202" right="0.17" top="0.74803149606299202" bottom="0.511811023622047" header="0.43307086614173201" footer="0.31496062992126"/>
  <pageSetup paperSize="9" scale="96" orientation="portrait" r:id="rId1"/>
  <headerFooter alignWithMargins="0">
    <oddHeader>&amp;C&amp;"Times New Roman,Regular"&amp;13&amp;P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3"/>
  <sheetViews>
    <sheetView workbookViewId="0">
      <selection activeCell="L15" sqref="L15"/>
    </sheetView>
  </sheetViews>
  <sheetFormatPr defaultColWidth="9.140625" defaultRowHeight="13.5" customHeight="1"/>
  <cols>
    <col min="1" max="1" width="1.5703125" style="556" customWidth="1"/>
    <col min="2" max="2" width="34.140625" style="556" customWidth="1"/>
    <col min="3" max="4" width="7.140625" style="556" customWidth="1"/>
    <col min="5" max="5" width="0.7109375" style="556" customWidth="1"/>
    <col min="6" max="6" width="6.5703125" style="556" customWidth="1"/>
    <col min="7" max="7" width="7" style="556" bestFit="1" customWidth="1"/>
    <col min="8" max="8" width="0.5703125" style="556" customWidth="1"/>
    <col min="9" max="9" width="6.28515625" style="556" bestFit="1" customWidth="1"/>
    <col min="10" max="10" width="7.85546875" style="556" customWidth="1"/>
    <col min="11" max="11" width="0.42578125" style="556" customWidth="1"/>
    <col min="12" max="13" width="7" style="556" customWidth="1"/>
    <col min="14" max="16384" width="9.140625" style="556"/>
  </cols>
  <sheetData>
    <row r="1" spans="1:14" s="553" customFormat="1" ht="17.25">
      <c r="A1" s="479" t="s">
        <v>710</v>
      </c>
      <c r="B1" s="551"/>
      <c r="C1" s="551"/>
      <c r="D1" s="551"/>
      <c r="E1" s="551"/>
      <c r="F1" s="551"/>
      <c r="G1" s="551"/>
      <c r="H1" s="551"/>
      <c r="I1" s="552"/>
      <c r="J1" s="552"/>
      <c r="K1" s="552"/>
      <c r="L1" s="552"/>
      <c r="M1" s="552"/>
    </row>
    <row r="2" spans="1:14" ht="4.5" customHeight="1">
      <c r="A2" s="554"/>
      <c r="B2" s="554"/>
      <c r="C2" s="554"/>
      <c r="D2" s="554"/>
      <c r="E2" s="554"/>
      <c r="F2" s="554"/>
      <c r="G2" s="554"/>
      <c r="H2" s="554"/>
      <c r="I2" s="555"/>
      <c r="J2" s="555"/>
      <c r="K2" s="555"/>
      <c r="L2" s="555"/>
      <c r="M2" s="555"/>
    </row>
    <row r="3" spans="1:14" s="535" customFormat="1" ht="13.5" customHeight="1">
      <c r="B3" s="536"/>
      <c r="G3" s="485"/>
      <c r="H3" s="485"/>
      <c r="I3" s="485"/>
      <c r="J3" s="537"/>
      <c r="K3" s="537"/>
      <c r="L3" s="537"/>
      <c r="M3" s="487" t="s">
        <v>460</v>
      </c>
    </row>
    <row r="4" spans="1:14" s="484" customFormat="1" ht="13.5" customHeight="1">
      <c r="A4" s="514"/>
      <c r="B4" s="489"/>
      <c r="C4" s="960" t="s">
        <v>1</v>
      </c>
      <c r="D4" s="960"/>
      <c r="E4" s="538"/>
      <c r="F4" s="960" t="s">
        <v>300</v>
      </c>
      <c r="G4" s="960"/>
      <c r="H4" s="960"/>
      <c r="I4" s="956" t="s">
        <v>194</v>
      </c>
      <c r="J4" s="956"/>
      <c r="K4" s="956"/>
      <c r="L4" s="956"/>
      <c r="M4" s="956"/>
    </row>
    <row r="5" spans="1:14" s="484" customFormat="1" ht="13.5" customHeight="1">
      <c r="B5" s="491"/>
      <c r="C5" s="961" t="s">
        <v>39</v>
      </c>
      <c r="D5" s="961"/>
      <c r="E5" s="539"/>
      <c r="F5" s="961" t="s">
        <v>195</v>
      </c>
      <c r="G5" s="961"/>
      <c r="H5" s="961"/>
      <c r="I5" s="958" t="s">
        <v>42</v>
      </c>
      <c r="J5" s="958"/>
      <c r="K5" s="492"/>
      <c r="L5" s="958" t="s">
        <v>43</v>
      </c>
      <c r="M5" s="958"/>
    </row>
    <row r="6" spans="1:14" s="484" customFormat="1" ht="13.5" customHeight="1">
      <c r="B6" s="491"/>
      <c r="C6" s="962" t="s">
        <v>87</v>
      </c>
      <c r="D6" s="962"/>
      <c r="E6" s="539"/>
      <c r="F6" s="962" t="s">
        <v>87</v>
      </c>
      <c r="G6" s="962"/>
      <c r="H6" s="540"/>
      <c r="I6" s="955" t="s">
        <v>87</v>
      </c>
      <c r="J6" s="955"/>
      <c r="K6" s="493"/>
      <c r="L6" s="955" t="s">
        <v>87</v>
      </c>
      <c r="M6" s="955"/>
    </row>
    <row r="7" spans="1:14" s="484" customFormat="1" ht="13.5" customHeight="1">
      <c r="B7" s="491"/>
      <c r="C7" s="541" t="s">
        <v>383</v>
      </c>
      <c r="D7" s="541" t="s">
        <v>384</v>
      </c>
      <c r="E7" s="541"/>
      <c r="F7" s="542" t="s">
        <v>383</v>
      </c>
      <c r="G7" s="541" t="s">
        <v>384</v>
      </c>
      <c r="H7" s="541"/>
      <c r="I7" s="494" t="s">
        <v>383</v>
      </c>
      <c r="J7" s="494" t="s">
        <v>384</v>
      </c>
      <c r="K7" s="494"/>
      <c r="L7" s="495" t="s">
        <v>383</v>
      </c>
      <c r="M7" s="494" t="s">
        <v>384</v>
      </c>
    </row>
    <row r="8" spans="1:14" ht="6.75" customHeight="1">
      <c r="A8" s="557"/>
      <c r="B8" s="557"/>
      <c r="C8" s="557"/>
      <c r="D8" s="557"/>
      <c r="E8" s="557"/>
      <c r="F8" s="557"/>
      <c r="G8" s="557"/>
      <c r="H8" s="557"/>
      <c r="I8" s="557"/>
      <c r="J8" s="557"/>
      <c r="K8" s="557"/>
      <c r="L8" s="557"/>
      <c r="M8" s="557"/>
    </row>
    <row r="9" spans="1:14" ht="13.5" customHeight="1">
      <c r="A9" s="959" t="s">
        <v>385</v>
      </c>
      <c r="B9" s="959"/>
      <c r="C9" s="558"/>
      <c r="D9" s="558">
        <v>119647.24445099998</v>
      </c>
      <c r="E9" s="558"/>
      <c r="F9" s="558"/>
      <c r="G9" s="558">
        <v>123091.15515099998</v>
      </c>
      <c r="H9" s="558"/>
      <c r="I9" s="559"/>
      <c r="J9" s="559">
        <v>120.18335841467483</v>
      </c>
      <c r="K9" s="559"/>
      <c r="L9" s="559"/>
      <c r="M9" s="559">
        <v>121.27988858993035</v>
      </c>
      <c r="N9" s="560"/>
    </row>
    <row r="10" spans="1:14" ht="13.5" customHeight="1">
      <c r="A10" s="557"/>
      <c r="B10" s="561" t="s">
        <v>467</v>
      </c>
      <c r="C10" s="558"/>
      <c r="D10" s="558">
        <v>32911.221021999954</v>
      </c>
      <c r="E10" s="558"/>
      <c r="F10" s="558"/>
      <c r="G10" s="558">
        <v>31705.874345999997</v>
      </c>
      <c r="H10" s="558"/>
      <c r="I10" s="559"/>
      <c r="J10" s="559">
        <v>93.928747160252158</v>
      </c>
      <c r="K10" s="559"/>
      <c r="L10" s="559"/>
      <c r="M10" s="559">
        <v>80.828891209281082</v>
      </c>
    </row>
    <row r="11" spans="1:14" ht="13.5" customHeight="1">
      <c r="A11" s="557"/>
      <c r="B11" s="561" t="s">
        <v>468</v>
      </c>
      <c r="C11" s="558"/>
      <c r="D11" s="558">
        <v>86736.023429000023</v>
      </c>
      <c r="E11" s="558"/>
      <c r="F11" s="558"/>
      <c r="G11" s="558">
        <v>91385.280804999988</v>
      </c>
      <c r="H11" s="558"/>
      <c r="I11" s="559"/>
      <c r="J11" s="559">
        <v>134.44230713214142</v>
      </c>
      <c r="K11" s="559"/>
      <c r="L11" s="559"/>
      <c r="M11" s="559">
        <v>146.76230586624462</v>
      </c>
    </row>
    <row r="12" spans="1:14" ht="13.5" customHeight="1">
      <c r="A12" s="959" t="s">
        <v>390</v>
      </c>
      <c r="B12" s="959"/>
      <c r="C12" s="562"/>
      <c r="D12" s="562"/>
      <c r="E12" s="562"/>
      <c r="F12" s="562"/>
      <c r="G12" s="562"/>
      <c r="H12" s="562"/>
      <c r="I12" s="563"/>
      <c r="J12" s="563"/>
      <c r="K12" s="563"/>
      <c r="L12" s="563"/>
      <c r="M12" s="563"/>
    </row>
    <row r="13" spans="1:14" ht="13.5" customHeight="1">
      <c r="A13" s="557"/>
      <c r="B13" s="509" t="s">
        <v>429</v>
      </c>
      <c r="C13" s="562"/>
      <c r="D13" s="562">
        <v>845.28239800000028</v>
      </c>
      <c r="E13" s="562"/>
      <c r="F13" s="562"/>
      <c r="G13" s="562">
        <v>954.73825699999998</v>
      </c>
      <c r="H13" s="562"/>
      <c r="I13" s="563"/>
      <c r="J13" s="563">
        <v>127.89075868913633</v>
      </c>
      <c r="K13" s="563"/>
      <c r="L13" s="563"/>
      <c r="M13" s="563">
        <v>123.88437465630098</v>
      </c>
    </row>
    <row r="14" spans="1:14" ht="13.5" customHeight="1">
      <c r="A14" s="557"/>
      <c r="B14" s="509" t="s">
        <v>430</v>
      </c>
      <c r="C14" s="562"/>
      <c r="D14" s="562">
        <v>331.97058300000003</v>
      </c>
      <c r="E14" s="562"/>
      <c r="F14" s="562"/>
      <c r="G14" s="562">
        <v>375.74388199999999</v>
      </c>
      <c r="H14" s="562"/>
      <c r="I14" s="563"/>
      <c r="J14" s="563">
        <v>112.04836083411969</v>
      </c>
      <c r="K14" s="563"/>
      <c r="L14" s="563"/>
      <c r="M14" s="563">
        <v>126.22332320687224</v>
      </c>
    </row>
    <row r="15" spans="1:14" ht="13.5" customHeight="1">
      <c r="A15" s="557"/>
      <c r="B15" s="509" t="s">
        <v>392</v>
      </c>
      <c r="C15" s="562"/>
      <c r="D15" s="562">
        <v>707.20295699999986</v>
      </c>
      <c r="E15" s="562"/>
      <c r="F15" s="562"/>
      <c r="G15" s="562">
        <v>1106.5427890000001</v>
      </c>
      <c r="H15" s="562"/>
      <c r="I15" s="563"/>
      <c r="J15" s="563">
        <v>110.82456413999286</v>
      </c>
      <c r="K15" s="563"/>
      <c r="L15" s="563"/>
      <c r="M15" s="563">
        <v>144.30435181856373</v>
      </c>
    </row>
    <row r="16" spans="1:14" ht="13.5" customHeight="1">
      <c r="A16" s="557"/>
      <c r="B16" s="509" t="s">
        <v>393</v>
      </c>
      <c r="C16" s="562">
        <v>838.07799999999986</v>
      </c>
      <c r="D16" s="562">
        <v>1232.030976</v>
      </c>
      <c r="E16" s="562"/>
      <c r="F16" s="562">
        <v>502.52040781812946</v>
      </c>
      <c r="G16" s="562">
        <v>768.29687299999989</v>
      </c>
      <c r="H16" s="562"/>
      <c r="I16" s="563">
        <v>124.119617664221</v>
      </c>
      <c r="J16" s="563">
        <v>140.70345798582633</v>
      </c>
      <c r="K16" s="563"/>
      <c r="L16" s="563">
        <v>152.39759686123116</v>
      </c>
      <c r="M16" s="563">
        <v>141.22555865822304</v>
      </c>
    </row>
    <row r="17" spans="1:13" ht="13.5" customHeight="1">
      <c r="A17" s="557"/>
      <c r="B17" s="509" t="s">
        <v>431</v>
      </c>
      <c r="C17" s="562">
        <v>1130.8439999999998</v>
      </c>
      <c r="D17" s="562">
        <v>304.55126600000017</v>
      </c>
      <c r="E17" s="562"/>
      <c r="F17" s="562">
        <v>1255.7849790153766</v>
      </c>
      <c r="G17" s="562">
        <v>337.69300999999996</v>
      </c>
      <c r="H17" s="562"/>
      <c r="I17" s="563">
        <v>79.41225420763935</v>
      </c>
      <c r="J17" s="563">
        <v>77.829197308160076</v>
      </c>
      <c r="K17" s="563"/>
      <c r="L17" s="563">
        <v>104.51349037582003</v>
      </c>
      <c r="M17" s="563">
        <v>102.98220341947086</v>
      </c>
    </row>
    <row r="18" spans="1:13" ht="13.5" customHeight="1">
      <c r="A18" s="557"/>
      <c r="B18" s="509" t="s">
        <v>8</v>
      </c>
      <c r="C18" s="562">
        <v>3736.9070000000002</v>
      </c>
      <c r="D18" s="562">
        <v>911.03753599999982</v>
      </c>
      <c r="E18" s="562"/>
      <c r="F18" s="562">
        <v>3814.3767368683839</v>
      </c>
      <c r="G18" s="562">
        <v>890.54897500000015</v>
      </c>
      <c r="H18" s="562"/>
      <c r="I18" s="563">
        <v>115.36957310343232</v>
      </c>
      <c r="J18" s="563">
        <v>118.42725661223363</v>
      </c>
      <c r="K18" s="563"/>
      <c r="L18" s="563">
        <v>86.242156376097668</v>
      </c>
      <c r="M18" s="563">
        <v>84.393347086680237</v>
      </c>
    </row>
    <row r="19" spans="1:13" ht="13.5" customHeight="1">
      <c r="A19" s="557"/>
      <c r="B19" s="509" t="s">
        <v>10</v>
      </c>
      <c r="C19" s="562">
        <v>730.21599999999978</v>
      </c>
      <c r="D19" s="562">
        <v>347.63803200000007</v>
      </c>
      <c r="E19" s="562"/>
      <c r="F19" s="562">
        <v>656.75160649414909</v>
      </c>
      <c r="G19" s="562">
        <v>309.83956000000001</v>
      </c>
      <c r="H19" s="562"/>
      <c r="I19" s="563">
        <v>139.14388938855771</v>
      </c>
      <c r="J19" s="563">
        <v>132.54692193890344</v>
      </c>
      <c r="K19" s="563"/>
      <c r="L19" s="563">
        <v>105.20296577834773</v>
      </c>
      <c r="M19" s="563">
        <v>102.90483381729186</v>
      </c>
    </row>
    <row r="20" spans="1:13" ht="13.5" customHeight="1">
      <c r="A20" s="557"/>
      <c r="B20" s="509" t="s">
        <v>432</v>
      </c>
      <c r="C20" s="562"/>
      <c r="D20" s="562">
        <v>459.24572200000011</v>
      </c>
      <c r="E20" s="562"/>
      <c r="F20" s="562"/>
      <c r="G20" s="562">
        <v>436.28058999999985</v>
      </c>
      <c r="H20" s="562"/>
      <c r="I20" s="563"/>
      <c r="J20" s="563">
        <v>117.91172656433631</v>
      </c>
      <c r="K20" s="563"/>
      <c r="L20" s="563"/>
      <c r="M20" s="563">
        <v>100.3709015901358</v>
      </c>
    </row>
    <row r="21" spans="1:13" ht="13.5" customHeight="1">
      <c r="A21" s="557"/>
      <c r="B21" s="509" t="s">
        <v>433</v>
      </c>
      <c r="C21" s="562"/>
      <c r="D21" s="562">
        <v>323.89694200000008</v>
      </c>
      <c r="E21" s="562"/>
      <c r="F21" s="562"/>
      <c r="G21" s="562">
        <v>335.40135499999997</v>
      </c>
      <c r="H21" s="562"/>
      <c r="I21" s="563"/>
      <c r="J21" s="563">
        <v>87.384318284674606</v>
      </c>
      <c r="K21" s="563"/>
      <c r="L21" s="563"/>
      <c r="M21" s="563">
        <v>98.087712895464648</v>
      </c>
    </row>
    <row r="22" spans="1:13" ht="13.5" customHeight="1">
      <c r="A22" s="557"/>
      <c r="B22" s="509" t="s">
        <v>434</v>
      </c>
      <c r="C22" s="562"/>
      <c r="D22" s="562">
        <v>1147.2200699999999</v>
      </c>
      <c r="E22" s="562"/>
      <c r="F22" s="562"/>
      <c r="G22" s="562">
        <v>1110.3991279999996</v>
      </c>
      <c r="H22" s="562"/>
      <c r="I22" s="563"/>
      <c r="J22" s="563">
        <v>104.97824558831559</v>
      </c>
      <c r="K22" s="563"/>
      <c r="L22" s="563"/>
      <c r="M22" s="563">
        <v>86.616276734453805</v>
      </c>
    </row>
    <row r="23" spans="1:13" ht="13.5" customHeight="1">
      <c r="A23" s="557"/>
      <c r="B23" s="509" t="s">
        <v>435</v>
      </c>
      <c r="C23" s="562">
        <v>7272.3180000000011</v>
      </c>
      <c r="D23" s="562">
        <v>765.20579699999996</v>
      </c>
      <c r="E23" s="562"/>
      <c r="F23" s="562">
        <v>7759.1090711316483</v>
      </c>
      <c r="G23" s="562">
        <v>846.60495799999978</v>
      </c>
      <c r="H23" s="562"/>
      <c r="I23" s="563">
        <v>106.51526498248481</v>
      </c>
      <c r="J23" s="563">
        <v>106.33597066776987</v>
      </c>
      <c r="K23" s="563"/>
      <c r="L23" s="563">
        <v>115.98966723036217</v>
      </c>
      <c r="M23" s="563">
        <v>116.40988916704933</v>
      </c>
    </row>
    <row r="24" spans="1:13" ht="13.5" customHeight="1">
      <c r="A24" s="557"/>
      <c r="B24" s="509" t="s">
        <v>436</v>
      </c>
      <c r="C24" s="562">
        <v>12530.309000000001</v>
      </c>
      <c r="D24" s="562">
        <v>1326.6773830000002</v>
      </c>
      <c r="E24" s="562"/>
      <c r="F24" s="562">
        <v>13641.457735036201</v>
      </c>
      <c r="G24" s="562">
        <v>1383.7615100000003</v>
      </c>
      <c r="H24" s="562"/>
      <c r="I24" s="563">
        <v>76.444036780083323</v>
      </c>
      <c r="J24" s="563">
        <v>68.167602714617203</v>
      </c>
      <c r="K24" s="563"/>
      <c r="L24" s="563">
        <v>98.754420923942916</v>
      </c>
      <c r="M24" s="563">
        <v>95.226863288793268</v>
      </c>
    </row>
    <row r="25" spans="1:13" ht="13.5" customHeight="1">
      <c r="A25" s="557"/>
      <c r="B25" s="509" t="s">
        <v>388</v>
      </c>
      <c r="C25" s="562">
        <v>3360.5249999999996</v>
      </c>
      <c r="D25" s="562">
        <v>1986.8858050000003</v>
      </c>
      <c r="E25" s="562"/>
      <c r="F25" s="562">
        <v>3376.2250497499135</v>
      </c>
      <c r="G25" s="562">
        <v>1766.3296630000004</v>
      </c>
      <c r="H25" s="562"/>
      <c r="I25" s="563">
        <v>95.804449193372719</v>
      </c>
      <c r="J25" s="563">
        <v>95.104570304293262</v>
      </c>
      <c r="K25" s="563"/>
      <c r="L25" s="563">
        <v>108.11659577591747</v>
      </c>
      <c r="M25" s="563">
        <v>101.55053828047858</v>
      </c>
    </row>
    <row r="26" spans="1:13" ht="13.5" customHeight="1">
      <c r="A26" s="557"/>
      <c r="B26" s="509" t="s">
        <v>437</v>
      </c>
      <c r="C26" s="562">
        <v>2660.1760000000004</v>
      </c>
      <c r="D26" s="562">
        <v>1828.7878290000008</v>
      </c>
      <c r="E26" s="562"/>
      <c r="F26" s="562">
        <v>2286.8071748372131</v>
      </c>
      <c r="G26" s="562">
        <v>1609.7786569999998</v>
      </c>
      <c r="H26" s="562"/>
      <c r="I26" s="563">
        <v>127.26099359383754</v>
      </c>
      <c r="J26" s="563">
        <v>119.05259993827588</v>
      </c>
      <c r="K26" s="563"/>
      <c r="L26" s="563">
        <v>82.254931030140625</v>
      </c>
      <c r="M26" s="563">
        <v>82.189500979563206</v>
      </c>
    </row>
    <row r="27" spans="1:13" ht="13.5" customHeight="1">
      <c r="A27" s="557"/>
      <c r="B27" s="509" t="s">
        <v>438</v>
      </c>
      <c r="C27" s="562">
        <v>897.8209999999998</v>
      </c>
      <c r="D27" s="562">
        <v>509.56580699999995</v>
      </c>
      <c r="E27" s="562"/>
      <c r="F27" s="562">
        <v>1214.0707865768745</v>
      </c>
      <c r="G27" s="562">
        <v>659.92193599999996</v>
      </c>
      <c r="H27" s="562"/>
      <c r="I27" s="563">
        <v>108.61311625735067</v>
      </c>
      <c r="J27" s="563">
        <v>95.485520546427125</v>
      </c>
      <c r="K27" s="563"/>
      <c r="L27" s="563">
        <v>166.80989679780419</v>
      </c>
      <c r="M27" s="563">
        <v>130.92215916432707</v>
      </c>
    </row>
    <row r="28" spans="1:13" ht="13.5" customHeight="1">
      <c r="A28" s="557"/>
      <c r="B28" s="509" t="s">
        <v>439</v>
      </c>
      <c r="C28" s="562"/>
      <c r="D28" s="562">
        <v>603.08268899999985</v>
      </c>
      <c r="E28" s="562"/>
      <c r="F28" s="562"/>
      <c r="G28" s="562">
        <v>593.81898300000012</v>
      </c>
      <c r="H28" s="562"/>
      <c r="I28" s="563"/>
      <c r="J28" s="563">
        <v>156.58622067706108</v>
      </c>
      <c r="K28" s="563"/>
      <c r="L28" s="563"/>
      <c r="M28" s="563">
        <v>138.46209522300967</v>
      </c>
    </row>
    <row r="29" spans="1:13" ht="13.5" customHeight="1">
      <c r="A29" s="557"/>
      <c r="B29" s="509" t="s">
        <v>440</v>
      </c>
      <c r="C29" s="562"/>
      <c r="D29" s="562">
        <v>1995.325824</v>
      </c>
      <c r="E29" s="562"/>
      <c r="F29" s="562"/>
      <c r="G29" s="562">
        <v>2173.187499000001</v>
      </c>
      <c r="H29" s="562"/>
      <c r="I29" s="563"/>
      <c r="J29" s="563">
        <v>94.757040827516576</v>
      </c>
      <c r="K29" s="563"/>
      <c r="L29" s="563"/>
      <c r="M29" s="563">
        <v>108.76132308314064</v>
      </c>
    </row>
    <row r="30" spans="1:13" ht="13.5" customHeight="1">
      <c r="A30" s="557"/>
      <c r="B30" s="509" t="s">
        <v>441</v>
      </c>
      <c r="C30" s="562"/>
      <c r="D30" s="562">
        <v>2078.6092119999998</v>
      </c>
      <c r="E30" s="562"/>
      <c r="F30" s="562"/>
      <c r="G30" s="562">
        <v>2233.8354329999997</v>
      </c>
      <c r="H30" s="562"/>
      <c r="I30" s="563"/>
      <c r="J30" s="563">
        <v>105.21340039873486</v>
      </c>
      <c r="K30" s="563"/>
      <c r="L30" s="563"/>
      <c r="M30" s="563">
        <v>111.35314728586938</v>
      </c>
    </row>
    <row r="31" spans="1:13" ht="13.5" customHeight="1">
      <c r="A31" s="557"/>
      <c r="B31" s="509" t="s">
        <v>442</v>
      </c>
      <c r="C31" s="562"/>
      <c r="D31" s="562">
        <v>1082.0973449999997</v>
      </c>
      <c r="E31" s="562"/>
      <c r="F31" s="562"/>
      <c r="G31" s="562">
        <v>1083.1714850000003</v>
      </c>
      <c r="H31" s="562"/>
      <c r="I31" s="563"/>
      <c r="J31" s="563">
        <v>96.981864018907743</v>
      </c>
      <c r="K31" s="563"/>
      <c r="L31" s="563"/>
      <c r="M31" s="563">
        <v>86.08508104245152</v>
      </c>
    </row>
    <row r="32" spans="1:13" ht="13.5" customHeight="1">
      <c r="A32" s="557"/>
      <c r="B32" s="509" t="s">
        <v>443</v>
      </c>
      <c r="C32" s="562">
        <v>1641.5229999999999</v>
      </c>
      <c r="D32" s="562">
        <v>653.79490099999998</v>
      </c>
      <c r="E32" s="562"/>
      <c r="F32" s="562">
        <v>1356.8980288428554</v>
      </c>
      <c r="G32" s="562">
        <v>491.06463000000002</v>
      </c>
      <c r="H32" s="562"/>
      <c r="I32" s="563">
        <v>130.80218906328938</v>
      </c>
      <c r="J32" s="563">
        <v>149.2348637136445</v>
      </c>
      <c r="K32" s="563"/>
      <c r="L32" s="563">
        <v>94.273678842538999</v>
      </c>
      <c r="M32" s="563">
        <v>109.5385422023023</v>
      </c>
    </row>
    <row r="33" spans="1:13" ht="13.5" customHeight="1">
      <c r="A33" s="557"/>
      <c r="B33" s="509" t="s">
        <v>444</v>
      </c>
      <c r="C33" s="562"/>
      <c r="D33" s="562">
        <v>403.20126800000014</v>
      </c>
      <c r="E33" s="562"/>
      <c r="F33" s="562"/>
      <c r="G33" s="562">
        <v>479.21310799999981</v>
      </c>
      <c r="H33" s="562"/>
      <c r="I33" s="563"/>
      <c r="J33" s="563">
        <v>108.91282519820165</v>
      </c>
      <c r="K33" s="563"/>
      <c r="L33" s="563"/>
      <c r="M33" s="563">
        <v>126.62282663227124</v>
      </c>
    </row>
    <row r="34" spans="1:13" ht="13.5" customHeight="1">
      <c r="A34" s="557"/>
      <c r="B34" s="509" t="s">
        <v>706</v>
      </c>
      <c r="C34" s="562"/>
      <c r="D34" s="562">
        <v>228.93356100000008</v>
      </c>
      <c r="E34" s="562"/>
      <c r="F34" s="562"/>
      <c r="G34" s="562">
        <v>246.41057499999991</v>
      </c>
      <c r="H34" s="562"/>
      <c r="I34" s="563"/>
      <c r="J34" s="563">
        <v>99.342639501856837</v>
      </c>
      <c r="K34" s="563"/>
      <c r="L34" s="563"/>
      <c r="M34" s="563">
        <v>97.282388606526084</v>
      </c>
    </row>
    <row r="35" spans="1:13" ht="13.5" customHeight="1">
      <c r="A35" s="557"/>
      <c r="B35" s="509" t="s">
        <v>445</v>
      </c>
      <c r="C35" s="562">
        <v>2445.268</v>
      </c>
      <c r="D35" s="562">
        <v>3130.2610569999993</v>
      </c>
      <c r="E35" s="562"/>
      <c r="F35" s="562">
        <v>2476.3154175325781</v>
      </c>
      <c r="G35" s="562">
        <v>3161.4135539999984</v>
      </c>
      <c r="H35" s="562"/>
      <c r="I35" s="563">
        <v>112.71269019622304</v>
      </c>
      <c r="J35" s="563">
        <v>101.72387614584729</v>
      </c>
      <c r="K35" s="563"/>
      <c r="L35" s="563">
        <v>107.367545985593</v>
      </c>
      <c r="M35" s="563">
        <v>99.341224982039449</v>
      </c>
    </row>
    <row r="36" spans="1:13" ht="13.5" customHeight="1">
      <c r="A36" s="557"/>
      <c r="B36" s="509" t="s">
        <v>407</v>
      </c>
      <c r="C36" s="562"/>
      <c r="D36" s="562">
        <v>2914.3773690000007</v>
      </c>
      <c r="E36" s="562"/>
      <c r="F36" s="562"/>
      <c r="G36" s="562">
        <v>3002.211753999999</v>
      </c>
      <c r="H36" s="562"/>
      <c r="I36" s="563"/>
      <c r="J36" s="563">
        <v>125.0640846408577</v>
      </c>
      <c r="K36" s="563"/>
      <c r="L36" s="563"/>
      <c r="M36" s="563">
        <v>126.2093014667683</v>
      </c>
    </row>
    <row r="37" spans="1:13" ht="13.5" customHeight="1">
      <c r="A37" s="557"/>
      <c r="B37" s="509" t="s">
        <v>408</v>
      </c>
      <c r="C37" s="562">
        <v>487.65300000000019</v>
      </c>
      <c r="D37" s="562">
        <v>761.01170300000013</v>
      </c>
      <c r="E37" s="562"/>
      <c r="F37" s="562">
        <v>590.26953373006631</v>
      </c>
      <c r="G37" s="562">
        <v>895.08445799999981</v>
      </c>
      <c r="H37" s="562"/>
      <c r="I37" s="563">
        <v>97.270498686512312</v>
      </c>
      <c r="J37" s="563">
        <v>95.971455430808177</v>
      </c>
      <c r="K37" s="563"/>
      <c r="L37" s="563">
        <v>96.860134447766399</v>
      </c>
      <c r="M37" s="563">
        <v>87.195486892091566</v>
      </c>
    </row>
    <row r="38" spans="1:13" ht="13.5" customHeight="1">
      <c r="A38" s="557"/>
      <c r="B38" s="509" t="s">
        <v>409</v>
      </c>
      <c r="C38" s="562"/>
      <c r="D38" s="562">
        <v>322.45166099999989</v>
      </c>
      <c r="E38" s="562"/>
      <c r="F38" s="562"/>
      <c r="G38" s="562">
        <v>335.83649500000007</v>
      </c>
      <c r="H38" s="562"/>
      <c r="I38" s="563"/>
      <c r="J38" s="563">
        <v>112.94902378130931</v>
      </c>
      <c r="K38" s="563"/>
      <c r="L38" s="563"/>
      <c r="M38" s="563">
        <v>110.86923084018305</v>
      </c>
    </row>
    <row r="39" spans="1:13" ht="13.5" customHeight="1">
      <c r="A39" s="557"/>
      <c r="B39" s="509" t="s">
        <v>411</v>
      </c>
      <c r="C39" s="562"/>
      <c r="D39" s="562">
        <v>862.6923559999999</v>
      </c>
      <c r="E39" s="562"/>
      <c r="F39" s="562"/>
      <c r="G39" s="562">
        <v>850.21570199999985</v>
      </c>
      <c r="H39" s="562"/>
      <c r="I39" s="563"/>
      <c r="J39" s="563">
        <v>111.8817648037091</v>
      </c>
      <c r="K39" s="563"/>
      <c r="L39" s="563"/>
      <c r="M39" s="563">
        <v>117.47902689550014</v>
      </c>
    </row>
    <row r="40" spans="1:13" ht="13.5" customHeight="1">
      <c r="A40" s="557"/>
      <c r="B40" s="509" t="s">
        <v>446</v>
      </c>
      <c r="C40" s="562">
        <v>805.10699999999963</v>
      </c>
      <c r="D40" s="562">
        <v>638.19203100000004</v>
      </c>
      <c r="E40" s="562"/>
      <c r="F40" s="562">
        <v>848.59749777885247</v>
      </c>
      <c r="G40" s="562">
        <v>662.1748399999999</v>
      </c>
      <c r="H40" s="562"/>
      <c r="I40" s="563">
        <v>119.75359324590247</v>
      </c>
      <c r="J40" s="563">
        <v>108.41380947977433</v>
      </c>
      <c r="K40" s="563"/>
      <c r="L40" s="563">
        <v>122.55796792034322</v>
      </c>
      <c r="M40" s="563">
        <v>110.10421948236863</v>
      </c>
    </row>
    <row r="41" spans="1:13" ht="13.5" customHeight="1">
      <c r="A41" s="557"/>
      <c r="B41" s="509" t="s">
        <v>447</v>
      </c>
      <c r="C41" s="562"/>
      <c r="D41" s="562">
        <v>359.79067900000007</v>
      </c>
      <c r="E41" s="562"/>
      <c r="F41" s="562"/>
      <c r="G41" s="562">
        <v>364.04596700000002</v>
      </c>
      <c r="H41" s="562"/>
      <c r="I41" s="563"/>
      <c r="J41" s="563">
        <v>117.80979261609276</v>
      </c>
      <c r="K41" s="563"/>
      <c r="L41" s="563"/>
      <c r="M41" s="563">
        <v>117.19078520305489</v>
      </c>
    </row>
    <row r="42" spans="1:13" ht="13.5" customHeight="1">
      <c r="A42" s="557"/>
      <c r="B42" s="509" t="s">
        <v>448</v>
      </c>
      <c r="C42" s="562">
        <v>382.92300000000006</v>
      </c>
      <c r="D42" s="562">
        <v>638.61660899999993</v>
      </c>
      <c r="E42" s="562"/>
      <c r="F42" s="562">
        <v>376.94127664296963</v>
      </c>
      <c r="G42" s="562">
        <v>620.04909000000021</v>
      </c>
      <c r="H42" s="562"/>
      <c r="I42" s="563">
        <v>106.01382609682699</v>
      </c>
      <c r="J42" s="563">
        <v>92.436794406782013</v>
      </c>
      <c r="K42" s="563"/>
      <c r="L42" s="563">
        <v>95.381567143894145</v>
      </c>
      <c r="M42" s="563">
        <v>88.794410491847827</v>
      </c>
    </row>
    <row r="43" spans="1:13" ht="13.5" customHeight="1">
      <c r="A43" s="557"/>
      <c r="B43" s="509" t="s">
        <v>449</v>
      </c>
      <c r="C43" s="562">
        <v>331.81799999999998</v>
      </c>
      <c r="D43" s="562">
        <v>716.51904299999967</v>
      </c>
      <c r="E43" s="562"/>
      <c r="F43" s="562">
        <v>362.75015605853298</v>
      </c>
      <c r="G43" s="562">
        <v>738.13075599999991</v>
      </c>
      <c r="H43" s="562"/>
      <c r="I43" s="563">
        <v>104.82523756570967</v>
      </c>
      <c r="J43" s="563">
        <v>98.692067890889192</v>
      </c>
      <c r="K43" s="563"/>
      <c r="L43" s="563">
        <v>106.64856294497878</v>
      </c>
      <c r="M43" s="563">
        <v>103.67486287253162</v>
      </c>
    </row>
    <row r="44" spans="1:13" ht="13.5" customHeight="1">
      <c r="A44" s="557"/>
      <c r="B44" s="509" t="s">
        <v>450</v>
      </c>
      <c r="C44" s="562"/>
      <c r="D44" s="562">
        <v>3684.4463269999997</v>
      </c>
      <c r="E44" s="562"/>
      <c r="F44" s="562"/>
      <c r="G44" s="562">
        <v>3972.7320820000004</v>
      </c>
      <c r="H44" s="562"/>
      <c r="I44" s="563"/>
      <c r="J44" s="563">
        <v>99.881601723093084</v>
      </c>
      <c r="K44" s="563"/>
      <c r="L44" s="563"/>
      <c r="M44" s="563">
        <v>100.89150169737174</v>
      </c>
    </row>
    <row r="45" spans="1:13" ht="13.5" customHeight="1">
      <c r="A45" s="557"/>
      <c r="B45" s="509" t="s">
        <v>451</v>
      </c>
      <c r="C45" s="562"/>
      <c r="D45" s="562">
        <v>1834.6524689999994</v>
      </c>
      <c r="E45" s="562"/>
      <c r="F45" s="562"/>
      <c r="G45" s="562">
        <v>1982.2262269999999</v>
      </c>
      <c r="H45" s="562"/>
      <c r="I45" s="563"/>
      <c r="J45" s="563">
        <v>99.832176169787786</v>
      </c>
      <c r="K45" s="563"/>
      <c r="L45" s="563"/>
      <c r="M45" s="563">
        <v>105.40309890114059</v>
      </c>
    </row>
    <row r="46" spans="1:13" ht="13.5" customHeight="1">
      <c r="A46" s="557"/>
      <c r="B46" s="509" t="s">
        <v>417</v>
      </c>
      <c r="C46" s="562"/>
      <c r="D46" s="562">
        <v>361.89015499999999</v>
      </c>
      <c r="E46" s="562"/>
      <c r="F46" s="562"/>
      <c r="G46" s="562">
        <v>400.93663800000007</v>
      </c>
      <c r="H46" s="562"/>
      <c r="I46" s="563"/>
      <c r="J46" s="563">
        <v>110.77842514122889</v>
      </c>
      <c r="K46" s="563"/>
      <c r="L46" s="563"/>
      <c r="M46" s="563">
        <v>123.46611048413847</v>
      </c>
    </row>
    <row r="47" spans="1:13" ht="13.5" customHeight="1">
      <c r="A47" s="557"/>
      <c r="B47" s="509" t="s">
        <v>707</v>
      </c>
      <c r="C47" s="562"/>
      <c r="D47" s="562">
        <v>311.6367679999999</v>
      </c>
      <c r="E47" s="562"/>
      <c r="F47" s="562"/>
      <c r="G47" s="562">
        <v>572.88731300000018</v>
      </c>
      <c r="H47" s="562"/>
      <c r="I47" s="563"/>
      <c r="J47" s="563">
        <v>135.44145011264018</v>
      </c>
      <c r="K47" s="563"/>
      <c r="L47" s="563"/>
      <c r="M47" s="563">
        <v>219.75627457568439</v>
      </c>
    </row>
    <row r="48" spans="1:13" ht="13.5" customHeight="1">
      <c r="A48" s="557"/>
      <c r="B48" s="509" t="s">
        <v>452</v>
      </c>
      <c r="C48" s="562">
        <v>1551.9949999999997</v>
      </c>
      <c r="D48" s="562">
        <v>502.73310000000015</v>
      </c>
      <c r="E48" s="562"/>
      <c r="F48" s="562">
        <v>1671.3788890121139</v>
      </c>
      <c r="G48" s="562">
        <v>551.55262799999991</v>
      </c>
      <c r="H48" s="562"/>
      <c r="I48" s="563">
        <v>142.19049189639847</v>
      </c>
      <c r="J48" s="563">
        <v>123.27102075970448</v>
      </c>
      <c r="K48" s="563"/>
      <c r="L48" s="563">
        <v>120.89067689306268</v>
      </c>
      <c r="M48" s="563">
        <v>114.79573669043432</v>
      </c>
    </row>
    <row r="49" spans="1:16" ht="13.5" customHeight="1">
      <c r="A49" s="557"/>
      <c r="B49" s="509" t="s">
        <v>453</v>
      </c>
      <c r="C49" s="562">
        <v>3637.8719999999994</v>
      </c>
      <c r="D49" s="562">
        <v>2601.8745199999994</v>
      </c>
      <c r="E49" s="562"/>
      <c r="F49" s="562">
        <v>4837.3326399168745</v>
      </c>
      <c r="G49" s="562">
        <v>3233.1681010000002</v>
      </c>
      <c r="H49" s="562"/>
      <c r="I49" s="563">
        <v>89.519523103518267</v>
      </c>
      <c r="J49" s="563">
        <v>86.766861135241811</v>
      </c>
      <c r="K49" s="563"/>
      <c r="L49" s="563">
        <v>89.13048823117856</v>
      </c>
      <c r="M49" s="563">
        <v>89.420500802641413</v>
      </c>
    </row>
    <row r="50" spans="1:16" ht="13.5" customHeight="1">
      <c r="A50" s="557"/>
      <c r="B50" s="509" t="s">
        <v>419</v>
      </c>
      <c r="C50" s="562"/>
      <c r="D50" s="562">
        <v>2257.7829830000001</v>
      </c>
      <c r="E50" s="562"/>
      <c r="F50" s="562"/>
      <c r="G50" s="562">
        <v>2372.9077289999996</v>
      </c>
      <c r="H50" s="562"/>
      <c r="I50" s="563"/>
      <c r="J50" s="563">
        <v>134.47943075949141</v>
      </c>
      <c r="K50" s="563"/>
      <c r="L50" s="563"/>
      <c r="M50" s="563">
        <v>134.204458522956</v>
      </c>
      <c r="P50" s="560"/>
    </row>
    <row r="51" spans="1:16" ht="13.5" customHeight="1">
      <c r="A51" s="557"/>
      <c r="B51" s="509" t="s">
        <v>454</v>
      </c>
      <c r="C51" s="562">
        <v>581.90899999999999</v>
      </c>
      <c r="D51" s="562">
        <v>2740.158023</v>
      </c>
      <c r="E51" s="562"/>
      <c r="F51" s="562">
        <v>661.38577089390435</v>
      </c>
      <c r="G51" s="562">
        <v>3202.2087999999994</v>
      </c>
      <c r="H51" s="562"/>
      <c r="I51" s="563">
        <v>105.90311079889277</v>
      </c>
      <c r="J51" s="563">
        <v>112.21999347101594</v>
      </c>
      <c r="K51" s="563"/>
      <c r="L51" s="563">
        <v>118.84889313862065</v>
      </c>
      <c r="M51" s="563">
        <v>125.32005818184717</v>
      </c>
    </row>
    <row r="52" spans="1:16" ht="13.5" customHeight="1">
      <c r="A52" s="557"/>
      <c r="B52" s="509" t="s">
        <v>455</v>
      </c>
      <c r="C52" s="562"/>
      <c r="D52" s="562">
        <v>1346.7792950000003</v>
      </c>
      <c r="E52" s="562"/>
      <c r="F52" s="562"/>
      <c r="G52" s="562">
        <v>1331.7767439999998</v>
      </c>
      <c r="H52" s="562"/>
      <c r="I52" s="563"/>
      <c r="J52" s="563">
        <v>159.45101849163473</v>
      </c>
      <c r="K52" s="563"/>
      <c r="L52" s="563"/>
      <c r="M52" s="563">
        <v>154.3730294382928</v>
      </c>
    </row>
    <row r="53" spans="1:16" ht="13.5" customHeight="1">
      <c r="A53" s="557"/>
      <c r="B53" s="509" t="s">
        <v>421</v>
      </c>
      <c r="C53" s="562"/>
      <c r="D53" s="562">
        <v>42029.733210000006</v>
      </c>
      <c r="E53" s="562"/>
      <c r="F53" s="562"/>
      <c r="G53" s="562">
        <v>40721.650564999989</v>
      </c>
      <c r="H53" s="562"/>
      <c r="I53" s="563"/>
      <c r="J53" s="563">
        <v>141.84641944394264</v>
      </c>
      <c r="K53" s="563"/>
      <c r="L53" s="563"/>
      <c r="M53" s="563">
        <v>145.47749067394139</v>
      </c>
    </row>
    <row r="54" spans="1:16" ht="13.5" customHeight="1">
      <c r="A54" s="557"/>
      <c r="B54" s="509" t="s">
        <v>456</v>
      </c>
      <c r="C54" s="562"/>
      <c r="D54" s="562">
        <v>465.79388999999992</v>
      </c>
      <c r="E54" s="562"/>
      <c r="F54" s="562"/>
      <c r="G54" s="562">
        <v>569.95891800000004</v>
      </c>
      <c r="H54" s="562"/>
      <c r="I54" s="563"/>
      <c r="J54" s="563">
        <v>102.62545170938324</v>
      </c>
      <c r="K54" s="563"/>
      <c r="L54" s="563"/>
      <c r="M54" s="563">
        <v>106.94019063346624</v>
      </c>
    </row>
    <row r="55" spans="1:16" ht="13.5" customHeight="1">
      <c r="A55" s="557"/>
      <c r="B55" s="509" t="s">
        <v>422</v>
      </c>
      <c r="C55" s="562"/>
      <c r="D55" s="562">
        <v>3238.3209769999994</v>
      </c>
      <c r="E55" s="562"/>
      <c r="F55" s="562"/>
      <c r="G55" s="562">
        <v>3064.5836330000002</v>
      </c>
      <c r="H55" s="562"/>
      <c r="I55" s="563"/>
      <c r="J55" s="563">
        <v>112.68831180024945</v>
      </c>
      <c r="K55" s="563"/>
      <c r="L55" s="563"/>
      <c r="M55" s="563">
        <v>101.49172059878218</v>
      </c>
    </row>
    <row r="56" spans="1:16" ht="13.5" customHeight="1">
      <c r="A56" s="557"/>
      <c r="B56" s="509" t="s">
        <v>423</v>
      </c>
      <c r="C56" s="562"/>
      <c r="D56" s="562">
        <v>692.75837799999999</v>
      </c>
      <c r="E56" s="562"/>
      <c r="F56" s="562"/>
      <c r="G56" s="562">
        <v>741.4720699999998</v>
      </c>
      <c r="H56" s="562"/>
      <c r="I56" s="563"/>
      <c r="J56" s="563">
        <v>125.98408644278771</v>
      </c>
      <c r="K56" s="563"/>
      <c r="L56" s="563"/>
      <c r="M56" s="563">
        <v>131.43307695348921</v>
      </c>
    </row>
    <row r="57" spans="1:16" ht="13.5" customHeight="1">
      <c r="A57" s="557"/>
      <c r="B57" s="509" t="s">
        <v>424</v>
      </c>
      <c r="C57" s="562"/>
      <c r="D57" s="562">
        <v>16276.832353999998</v>
      </c>
      <c r="E57" s="562"/>
      <c r="F57" s="562"/>
      <c r="G57" s="562">
        <v>16760.640349000001</v>
      </c>
      <c r="H57" s="562"/>
      <c r="I57" s="563"/>
      <c r="J57" s="563">
        <v>125.31588033416234</v>
      </c>
      <c r="K57" s="563"/>
      <c r="L57" s="563"/>
      <c r="M57" s="563">
        <v>124.98104386648727</v>
      </c>
    </row>
    <row r="58" spans="1:16" ht="13.5" customHeight="1">
      <c r="A58" s="557"/>
      <c r="B58" s="509" t="s">
        <v>425</v>
      </c>
      <c r="C58" s="562"/>
      <c r="D58" s="562">
        <v>1185.2540210000004</v>
      </c>
      <c r="E58" s="562"/>
      <c r="F58" s="562"/>
      <c r="G58" s="562">
        <v>1193.1453349999999</v>
      </c>
      <c r="H58" s="562"/>
      <c r="I58" s="563"/>
      <c r="J58" s="563">
        <v>131.26052694918764</v>
      </c>
      <c r="K58" s="563"/>
      <c r="L58" s="563"/>
      <c r="M58" s="563">
        <v>123.05548458954046</v>
      </c>
    </row>
    <row r="59" spans="1:16" ht="13.5" customHeight="1">
      <c r="A59" s="557"/>
      <c r="B59" s="509" t="s">
        <v>187</v>
      </c>
      <c r="C59" s="562"/>
      <c r="D59" s="562">
        <v>2659.9189760000004</v>
      </c>
      <c r="E59" s="562"/>
      <c r="F59" s="562"/>
      <c r="G59" s="562">
        <v>3141.5387680000008</v>
      </c>
      <c r="H59" s="562"/>
      <c r="I59" s="563"/>
      <c r="J59" s="563">
        <v>113.72475233753676</v>
      </c>
      <c r="K59" s="563"/>
      <c r="L59" s="563"/>
      <c r="M59" s="563">
        <v>123.04054463105324</v>
      </c>
    </row>
    <row r="60" spans="1:16" ht="13.5" customHeight="1">
      <c r="A60" s="557"/>
      <c r="B60" s="509" t="s">
        <v>457</v>
      </c>
      <c r="C60" s="562">
        <v>52230</v>
      </c>
      <c r="D60" s="562">
        <v>1188.7048789999999</v>
      </c>
      <c r="E60" s="562"/>
      <c r="F60" s="562">
        <v>51581.444467963651</v>
      </c>
      <c r="G60" s="562">
        <v>1318.9797900000003</v>
      </c>
      <c r="H60" s="562"/>
      <c r="I60" s="563">
        <v>103.04214015151516</v>
      </c>
      <c r="J60" s="563">
        <v>116.71915269206596</v>
      </c>
      <c r="K60" s="563"/>
      <c r="L60" s="563">
        <v>106.63492199612099</v>
      </c>
      <c r="M60" s="563">
        <v>125.61045964096047</v>
      </c>
    </row>
    <row r="61" spans="1:16" ht="13.5" customHeight="1">
      <c r="A61" s="557"/>
      <c r="B61" s="509" t="s">
        <v>458</v>
      </c>
      <c r="C61" s="562"/>
      <c r="D61" s="562">
        <v>371.57081400000004</v>
      </c>
      <c r="E61" s="562"/>
      <c r="F61" s="562"/>
      <c r="G61" s="562">
        <v>673.47148700000014</v>
      </c>
      <c r="H61" s="562"/>
      <c r="I61" s="563"/>
      <c r="J61" s="563">
        <v>113.68164277859269</v>
      </c>
      <c r="K61" s="563"/>
      <c r="L61" s="563"/>
      <c r="M61" s="563">
        <v>109.245407010638</v>
      </c>
    </row>
    <row r="62" spans="1:16" ht="13.5" customHeight="1">
      <c r="B62" s="524" t="s">
        <v>459</v>
      </c>
    </row>
    <row r="63" spans="1:16" ht="13.5" customHeight="1">
      <c r="G63" s="560"/>
    </row>
  </sheetData>
  <mergeCells count="14">
    <mergeCell ref="A12:B12"/>
    <mergeCell ref="C4:D4"/>
    <mergeCell ref="F4:G4"/>
    <mergeCell ref="H4:H5"/>
    <mergeCell ref="I4:M4"/>
    <mergeCell ref="C5:D5"/>
    <mergeCell ref="F5:G5"/>
    <mergeCell ref="I5:J5"/>
    <mergeCell ref="L5:M5"/>
    <mergeCell ref="C6:D6"/>
    <mergeCell ref="F6:G6"/>
    <mergeCell ref="I6:J6"/>
    <mergeCell ref="L6:M6"/>
    <mergeCell ref="A9:B9"/>
  </mergeCells>
  <pageMargins left="0.74803149606299202" right="0.17" top="0.74803149606299202" bottom="0.511811023622047" header="0.43307086614173201" footer="0.31496062992126"/>
  <pageSetup paperSize="9" scale="91" orientation="portrait" r:id="rId1"/>
  <headerFooter alignWithMargins="0">
    <oddHeader>&amp;C&amp;"Times New Roman,Regular"&amp;13&amp;P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1"/>
  <sheetViews>
    <sheetView workbookViewId="0">
      <selection activeCell="L15" sqref="L15"/>
    </sheetView>
  </sheetViews>
  <sheetFormatPr defaultColWidth="7.85546875" defaultRowHeight="12"/>
  <cols>
    <col min="1" max="1" width="38.140625" style="275" customWidth="1"/>
    <col min="2" max="4" width="8.85546875" style="275" customWidth="1"/>
    <col min="5" max="6" width="12" style="275" customWidth="1"/>
    <col min="7" max="7" width="10.28515625" style="275" customWidth="1"/>
    <col min="8" max="241" width="7.85546875" style="275"/>
    <col min="242" max="242" width="1.7109375" style="275" customWidth="1"/>
    <col min="243" max="243" width="31.5703125" style="275" customWidth="1"/>
    <col min="244" max="249" width="8.140625" style="275" customWidth="1"/>
    <col min="250" max="497" width="7.85546875" style="275"/>
    <col min="498" max="498" width="1.7109375" style="275" customWidth="1"/>
    <col min="499" max="499" width="31.5703125" style="275" customWidth="1"/>
    <col min="500" max="505" width="8.140625" style="275" customWidth="1"/>
    <col min="506" max="753" width="7.85546875" style="275"/>
    <col min="754" max="754" width="1.7109375" style="275" customWidth="1"/>
    <col min="755" max="755" width="31.5703125" style="275" customWidth="1"/>
    <col min="756" max="761" width="8.140625" style="275" customWidth="1"/>
    <col min="762" max="1009" width="7.85546875" style="275"/>
    <col min="1010" max="1010" width="1.7109375" style="275" customWidth="1"/>
    <col min="1011" max="1011" width="31.5703125" style="275" customWidth="1"/>
    <col min="1012" max="1017" width="8.140625" style="275" customWidth="1"/>
    <col min="1018" max="1265" width="7.85546875" style="275"/>
    <col min="1266" max="1266" width="1.7109375" style="275" customWidth="1"/>
    <col min="1267" max="1267" width="31.5703125" style="275" customWidth="1"/>
    <col min="1268" max="1273" width="8.140625" style="275" customWidth="1"/>
    <col min="1274" max="1521" width="7.85546875" style="275"/>
    <col min="1522" max="1522" width="1.7109375" style="275" customWidth="1"/>
    <col min="1523" max="1523" width="31.5703125" style="275" customWidth="1"/>
    <col min="1524" max="1529" width="8.140625" style="275" customWidth="1"/>
    <col min="1530" max="1777" width="7.85546875" style="275"/>
    <col min="1778" max="1778" width="1.7109375" style="275" customWidth="1"/>
    <col min="1779" max="1779" width="31.5703125" style="275" customWidth="1"/>
    <col min="1780" max="1785" width="8.140625" style="275" customWidth="1"/>
    <col min="1786" max="2033" width="7.85546875" style="275"/>
    <col min="2034" max="2034" width="1.7109375" style="275" customWidth="1"/>
    <col min="2035" max="2035" width="31.5703125" style="275" customWidth="1"/>
    <col min="2036" max="2041" width="8.140625" style="275" customWidth="1"/>
    <col min="2042" max="2289" width="7.85546875" style="275"/>
    <col min="2290" max="2290" width="1.7109375" style="275" customWidth="1"/>
    <col min="2291" max="2291" width="31.5703125" style="275" customWidth="1"/>
    <col min="2292" max="2297" width="8.140625" style="275" customWidth="1"/>
    <col min="2298" max="2545" width="7.85546875" style="275"/>
    <col min="2546" max="2546" width="1.7109375" style="275" customWidth="1"/>
    <col min="2547" max="2547" width="31.5703125" style="275" customWidth="1"/>
    <col min="2548" max="2553" width="8.140625" style="275" customWidth="1"/>
    <col min="2554" max="2801" width="7.85546875" style="275"/>
    <col min="2802" max="2802" width="1.7109375" style="275" customWidth="1"/>
    <col min="2803" max="2803" width="31.5703125" style="275" customWidth="1"/>
    <col min="2804" max="2809" width="8.140625" style="275" customWidth="1"/>
    <col min="2810" max="3057" width="7.85546875" style="275"/>
    <col min="3058" max="3058" width="1.7109375" style="275" customWidth="1"/>
    <col min="3059" max="3059" width="31.5703125" style="275" customWidth="1"/>
    <col min="3060" max="3065" width="8.140625" style="275" customWidth="1"/>
    <col min="3066" max="3313" width="7.85546875" style="275"/>
    <col min="3314" max="3314" width="1.7109375" style="275" customWidth="1"/>
    <col min="3315" max="3315" width="31.5703125" style="275" customWidth="1"/>
    <col min="3316" max="3321" width="8.140625" style="275" customWidth="1"/>
    <col min="3322" max="3569" width="7.85546875" style="275"/>
    <col min="3570" max="3570" width="1.7109375" style="275" customWidth="1"/>
    <col min="3571" max="3571" width="31.5703125" style="275" customWidth="1"/>
    <col min="3572" max="3577" width="8.140625" style="275" customWidth="1"/>
    <col min="3578" max="3825" width="7.85546875" style="275"/>
    <col min="3826" max="3826" width="1.7109375" style="275" customWidth="1"/>
    <col min="3827" max="3827" width="31.5703125" style="275" customWidth="1"/>
    <col min="3828" max="3833" width="8.140625" style="275" customWidth="1"/>
    <col min="3834" max="4081" width="7.85546875" style="275"/>
    <col min="4082" max="4082" width="1.7109375" style="275" customWidth="1"/>
    <col min="4083" max="4083" width="31.5703125" style="275" customWidth="1"/>
    <col min="4084" max="4089" width="8.140625" style="275" customWidth="1"/>
    <col min="4090" max="4337" width="7.85546875" style="275"/>
    <col min="4338" max="4338" width="1.7109375" style="275" customWidth="1"/>
    <col min="4339" max="4339" width="31.5703125" style="275" customWidth="1"/>
    <col min="4340" max="4345" width="8.140625" style="275" customWidth="1"/>
    <col min="4346" max="4593" width="7.85546875" style="275"/>
    <col min="4594" max="4594" width="1.7109375" style="275" customWidth="1"/>
    <col min="4595" max="4595" width="31.5703125" style="275" customWidth="1"/>
    <col min="4596" max="4601" width="8.140625" style="275" customWidth="1"/>
    <col min="4602" max="4849" width="7.85546875" style="275"/>
    <col min="4850" max="4850" width="1.7109375" style="275" customWidth="1"/>
    <col min="4851" max="4851" width="31.5703125" style="275" customWidth="1"/>
    <col min="4852" max="4857" width="8.140625" style="275" customWidth="1"/>
    <col min="4858" max="5105" width="7.85546875" style="275"/>
    <col min="5106" max="5106" width="1.7109375" style="275" customWidth="1"/>
    <col min="5107" max="5107" width="31.5703125" style="275" customWidth="1"/>
    <col min="5108" max="5113" width="8.140625" style="275" customWidth="1"/>
    <col min="5114" max="5361" width="7.85546875" style="275"/>
    <col min="5362" max="5362" width="1.7109375" style="275" customWidth="1"/>
    <col min="5363" max="5363" width="31.5703125" style="275" customWidth="1"/>
    <col min="5364" max="5369" width="8.140625" style="275" customWidth="1"/>
    <col min="5370" max="5617" width="7.85546875" style="275"/>
    <col min="5618" max="5618" width="1.7109375" style="275" customWidth="1"/>
    <col min="5619" max="5619" width="31.5703125" style="275" customWidth="1"/>
    <col min="5620" max="5625" width="8.140625" style="275" customWidth="1"/>
    <col min="5626" max="5873" width="7.85546875" style="275"/>
    <col min="5874" max="5874" width="1.7109375" style="275" customWidth="1"/>
    <col min="5875" max="5875" width="31.5703125" style="275" customWidth="1"/>
    <col min="5876" max="5881" width="8.140625" style="275" customWidth="1"/>
    <col min="5882" max="6129" width="7.85546875" style="275"/>
    <col min="6130" max="6130" width="1.7109375" style="275" customWidth="1"/>
    <col min="6131" max="6131" width="31.5703125" style="275" customWidth="1"/>
    <col min="6132" max="6137" width="8.140625" style="275" customWidth="1"/>
    <col min="6138" max="6385" width="7.85546875" style="275"/>
    <col min="6386" max="6386" width="1.7109375" style="275" customWidth="1"/>
    <col min="6387" max="6387" width="31.5703125" style="275" customWidth="1"/>
    <col min="6388" max="6393" width="8.140625" style="275" customWidth="1"/>
    <col min="6394" max="6641" width="7.85546875" style="275"/>
    <col min="6642" max="6642" width="1.7109375" style="275" customWidth="1"/>
    <col min="6643" max="6643" width="31.5703125" style="275" customWidth="1"/>
    <col min="6644" max="6649" width="8.140625" style="275" customWidth="1"/>
    <col min="6650" max="6897" width="7.85546875" style="275"/>
    <col min="6898" max="6898" width="1.7109375" style="275" customWidth="1"/>
    <col min="6899" max="6899" width="31.5703125" style="275" customWidth="1"/>
    <col min="6900" max="6905" width="8.140625" style="275" customWidth="1"/>
    <col min="6906" max="7153" width="7.85546875" style="275"/>
    <col min="7154" max="7154" width="1.7109375" style="275" customWidth="1"/>
    <col min="7155" max="7155" width="31.5703125" style="275" customWidth="1"/>
    <col min="7156" max="7161" width="8.140625" style="275" customWidth="1"/>
    <col min="7162" max="7409" width="7.85546875" style="275"/>
    <col min="7410" max="7410" width="1.7109375" style="275" customWidth="1"/>
    <col min="7411" max="7411" width="31.5703125" style="275" customWidth="1"/>
    <col min="7412" max="7417" width="8.140625" style="275" customWidth="1"/>
    <col min="7418" max="7665" width="7.85546875" style="275"/>
    <col min="7666" max="7666" width="1.7109375" style="275" customWidth="1"/>
    <col min="7667" max="7667" width="31.5703125" style="275" customWidth="1"/>
    <col min="7668" max="7673" width="8.140625" style="275" customWidth="1"/>
    <col min="7674" max="7921" width="7.85546875" style="275"/>
    <col min="7922" max="7922" width="1.7109375" style="275" customWidth="1"/>
    <col min="7923" max="7923" width="31.5703125" style="275" customWidth="1"/>
    <col min="7924" max="7929" width="8.140625" style="275" customWidth="1"/>
    <col min="7930" max="8177" width="7.85546875" style="275"/>
    <col min="8178" max="8178" width="1.7109375" style="275" customWidth="1"/>
    <col min="8179" max="8179" width="31.5703125" style="275" customWidth="1"/>
    <col min="8180" max="8185" width="8.140625" style="275" customWidth="1"/>
    <col min="8186" max="8433" width="7.85546875" style="275"/>
    <col min="8434" max="8434" width="1.7109375" style="275" customWidth="1"/>
    <col min="8435" max="8435" width="31.5703125" style="275" customWidth="1"/>
    <col min="8436" max="8441" width="8.140625" style="275" customWidth="1"/>
    <col min="8442" max="8689" width="7.85546875" style="275"/>
    <col min="8690" max="8690" width="1.7109375" style="275" customWidth="1"/>
    <col min="8691" max="8691" width="31.5703125" style="275" customWidth="1"/>
    <col min="8692" max="8697" width="8.140625" style="275" customWidth="1"/>
    <col min="8698" max="8945" width="7.85546875" style="275"/>
    <col min="8946" max="8946" width="1.7109375" style="275" customWidth="1"/>
    <col min="8947" max="8947" width="31.5703125" style="275" customWidth="1"/>
    <col min="8948" max="8953" width="8.140625" style="275" customWidth="1"/>
    <col min="8954" max="9201" width="7.85546875" style="275"/>
    <col min="9202" max="9202" width="1.7109375" style="275" customWidth="1"/>
    <col min="9203" max="9203" width="31.5703125" style="275" customWidth="1"/>
    <col min="9204" max="9209" width="8.140625" style="275" customWidth="1"/>
    <col min="9210" max="9457" width="7.85546875" style="275"/>
    <col min="9458" max="9458" width="1.7109375" style="275" customWidth="1"/>
    <col min="9459" max="9459" width="31.5703125" style="275" customWidth="1"/>
    <col min="9460" max="9465" width="8.140625" style="275" customWidth="1"/>
    <col min="9466" max="9713" width="7.85546875" style="275"/>
    <col min="9714" max="9714" width="1.7109375" style="275" customWidth="1"/>
    <col min="9715" max="9715" width="31.5703125" style="275" customWidth="1"/>
    <col min="9716" max="9721" width="8.140625" style="275" customWidth="1"/>
    <col min="9722" max="9969" width="7.85546875" style="275"/>
    <col min="9970" max="9970" width="1.7109375" style="275" customWidth="1"/>
    <col min="9971" max="9971" width="31.5703125" style="275" customWidth="1"/>
    <col min="9972" max="9977" width="8.140625" style="275" customWidth="1"/>
    <col min="9978" max="10225" width="7.85546875" style="275"/>
    <col min="10226" max="10226" width="1.7109375" style="275" customWidth="1"/>
    <col min="10227" max="10227" width="31.5703125" style="275" customWidth="1"/>
    <col min="10228" max="10233" width="8.140625" style="275" customWidth="1"/>
    <col min="10234" max="10481" width="7.85546875" style="275"/>
    <col min="10482" max="10482" width="1.7109375" style="275" customWidth="1"/>
    <col min="10483" max="10483" width="31.5703125" style="275" customWidth="1"/>
    <col min="10484" max="10489" width="8.140625" style="275" customWidth="1"/>
    <col min="10490" max="10737" width="7.85546875" style="275"/>
    <col min="10738" max="10738" width="1.7109375" style="275" customWidth="1"/>
    <col min="10739" max="10739" width="31.5703125" style="275" customWidth="1"/>
    <col min="10740" max="10745" width="8.140625" style="275" customWidth="1"/>
    <col min="10746" max="10993" width="7.85546875" style="275"/>
    <col min="10994" max="10994" width="1.7109375" style="275" customWidth="1"/>
    <col min="10995" max="10995" width="31.5703125" style="275" customWidth="1"/>
    <col min="10996" max="11001" width="8.140625" style="275" customWidth="1"/>
    <col min="11002" max="11249" width="7.85546875" style="275"/>
    <col min="11250" max="11250" width="1.7109375" style="275" customWidth="1"/>
    <col min="11251" max="11251" width="31.5703125" style="275" customWidth="1"/>
    <col min="11252" max="11257" width="8.140625" style="275" customWidth="1"/>
    <col min="11258" max="11505" width="7.85546875" style="275"/>
    <col min="11506" max="11506" width="1.7109375" style="275" customWidth="1"/>
    <col min="11507" max="11507" width="31.5703125" style="275" customWidth="1"/>
    <col min="11508" max="11513" width="8.140625" style="275" customWidth="1"/>
    <col min="11514" max="11761" width="7.85546875" style="275"/>
    <col min="11762" max="11762" width="1.7109375" style="275" customWidth="1"/>
    <col min="11763" max="11763" width="31.5703125" style="275" customWidth="1"/>
    <col min="11764" max="11769" width="8.140625" style="275" customWidth="1"/>
    <col min="11770" max="12017" width="7.85546875" style="275"/>
    <col min="12018" max="12018" width="1.7109375" style="275" customWidth="1"/>
    <col min="12019" max="12019" width="31.5703125" style="275" customWidth="1"/>
    <col min="12020" max="12025" width="8.140625" style="275" customWidth="1"/>
    <col min="12026" max="12273" width="7.85546875" style="275"/>
    <col min="12274" max="12274" width="1.7109375" style="275" customWidth="1"/>
    <col min="12275" max="12275" width="31.5703125" style="275" customWidth="1"/>
    <col min="12276" max="12281" width="8.140625" style="275" customWidth="1"/>
    <col min="12282" max="12529" width="7.85546875" style="275"/>
    <col min="12530" max="12530" width="1.7109375" style="275" customWidth="1"/>
    <col min="12531" max="12531" width="31.5703125" style="275" customWidth="1"/>
    <col min="12532" max="12537" width="8.140625" style="275" customWidth="1"/>
    <col min="12538" max="12785" width="7.85546875" style="275"/>
    <col min="12786" max="12786" width="1.7109375" style="275" customWidth="1"/>
    <col min="12787" max="12787" width="31.5703125" style="275" customWidth="1"/>
    <col min="12788" max="12793" width="8.140625" style="275" customWidth="1"/>
    <col min="12794" max="13041" width="7.85546875" style="275"/>
    <col min="13042" max="13042" width="1.7109375" style="275" customWidth="1"/>
    <col min="13043" max="13043" width="31.5703125" style="275" customWidth="1"/>
    <col min="13044" max="13049" width="8.140625" style="275" customWidth="1"/>
    <col min="13050" max="13297" width="7.85546875" style="275"/>
    <col min="13298" max="13298" width="1.7109375" style="275" customWidth="1"/>
    <col min="13299" max="13299" width="31.5703125" style="275" customWidth="1"/>
    <col min="13300" max="13305" width="8.140625" style="275" customWidth="1"/>
    <col min="13306" max="13553" width="7.85546875" style="275"/>
    <col min="13554" max="13554" width="1.7109375" style="275" customWidth="1"/>
    <col min="13555" max="13555" width="31.5703125" style="275" customWidth="1"/>
    <col min="13556" max="13561" width="8.140625" style="275" customWidth="1"/>
    <col min="13562" max="13809" width="7.85546875" style="275"/>
    <col min="13810" max="13810" width="1.7109375" style="275" customWidth="1"/>
    <col min="13811" max="13811" width="31.5703125" style="275" customWidth="1"/>
    <col min="13812" max="13817" width="8.140625" style="275" customWidth="1"/>
    <col min="13818" max="14065" width="7.85546875" style="275"/>
    <col min="14066" max="14066" width="1.7109375" style="275" customWidth="1"/>
    <col min="14067" max="14067" width="31.5703125" style="275" customWidth="1"/>
    <col min="14068" max="14073" width="8.140625" style="275" customWidth="1"/>
    <col min="14074" max="14321" width="7.85546875" style="275"/>
    <col min="14322" max="14322" width="1.7109375" style="275" customWidth="1"/>
    <col min="14323" max="14323" width="31.5703125" style="275" customWidth="1"/>
    <col min="14324" max="14329" width="8.140625" style="275" customWidth="1"/>
    <col min="14330" max="14577" width="7.85546875" style="275"/>
    <col min="14578" max="14578" width="1.7109375" style="275" customWidth="1"/>
    <col min="14579" max="14579" width="31.5703125" style="275" customWidth="1"/>
    <col min="14580" max="14585" width="8.140625" style="275" customWidth="1"/>
    <col min="14586" max="14833" width="7.85546875" style="275"/>
    <col min="14834" max="14834" width="1.7109375" style="275" customWidth="1"/>
    <col min="14835" max="14835" width="31.5703125" style="275" customWidth="1"/>
    <col min="14836" max="14841" width="8.140625" style="275" customWidth="1"/>
    <col min="14842" max="15089" width="7.85546875" style="275"/>
    <col min="15090" max="15090" width="1.7109375" style="275" customWidth="1"/>
    <col min="15091" max="15091" width="31.5703125" style="275" customWidth="1"/>
    <col min="15092" max="15097" width="8.140625" style="275" customWidth="1"/>
    <col min="15098" max="15345" width="7.85546875" style="275"/>
    <col min="15346" max="15346" width="1.7109375" style="275" customWidth="1"/>
    <col min="15347" max="15347" width="31.5703125" style="275" customWidth="1"/>
    <col min="15348" max="15353" width="8.140625" style="275" customWidth="1"/>
    <col min="15354" max="15601" width="7.85546875" style="275"/>
    <col min="15602" max="15602" width="1.7109375" style="275" customWidth="1"/>
    <col min="15603" max="15603" width="31.5703125" style="275" customWidth="1"/>
    <col min="15604" max="15609" width="8.140625" style="275" customWidth="1"/>
    <col min="15610" max="15857" width="7.85546875" style="275"/>
    <col min="15858" max="15858" width="1.7109375" style="275" customWidth="1"/>
    <col min="15859" max="15859" width="31.5703125" style="275" customWidth="1"/>
    <col min="15860" max="15865" width="8.140625" style="275" customWidth="1"/>
    <col min="15866" max="16113" width="7.85546875" style="275"/>
    <col min="16114" max="16114" width="1.7109375" style="275" customWidth="1"/>
    <col min="16115" max="16115" width="31.5703125" style="275" customWidth="1"/>
    <col min="16116" max="16121" width="8.140625" style="275" customWidth="1"/>
    <col min="16122" max="16384" width="7.85546875" style="275"/>
  </cols>
  <sheetData>
    <row r="1" spans="1:9" s="565" customFormat="1" ht="20.100000000000001" customHeight="1">
      <c r="A1" s="564" t="s">
        <v>725</v>
      </c>
    </row>
    <row r="2" spans="1:9" ht="20.100000000000001" customHeight="1">
      <c r="A2" s="566"/>
      <c r="B2" s="566"/>
      <c r="C2" s="566"/>
      <c r="D2" s="566"/>
      <c r="E2" s="566"/>
    </row>
    <row r="3" spans="1:9" ht="20.100000000000001" customHeight="1">
      <c r="F3" s="330"/>
      <c r="G3" s="330" t="s">
        <v>469</v>
      </c>
    </row>
    <row r="4" spans="1:9" ht="20.100000000000001" customHeight="1">
      <c r="A4" s="567"/>
      <c r="B4" s="174" t="s">
        <v>1</v>
      </c>
      <c r="C4" s="174" t="s">
        <v>142</v>
      </c>
      <c r="D4" s="174" t="s">
        <v>34</v>
      </c>
      <c r="E4" s="568" t="s">
        <v>194</v>
      </c>
      <c r="F4" s="568"/>
      <c r="G4" s="569" t="s">
        <v>86</v>
      </c>
    </row>
    <row r="5" spans="1:9" ht="20.100000000000001" customHeight="1">
      <c r="B5" s="175" t="s">
        <v>39</v>
      </c>
      <c r="C5" s="175" t="s">
        <v>195</v>
      </c>
      <c r="D5" s="175" t="s">
        <v>143</v>
      </c>
      <c r="E5" s="175" t="s">
        <v>42</v>
      </c>
      <c r="F5" s="175" t="s">
        <v>43</v>
      </c>
      <c r="G5" s="175" t="s">
        <v>44</v>
      </c>
    </row>
    <row r="6" spans="1:9" ht="20.100000000000001" customHeight="1">
      <c r="B6" s="87" t="s">
        <v>41</v>
      </c>
      <c r="C6" s="87" t="s">
        <v>41</v>
      </c>
      <c r="D6" s="87" t="s">
        <v>41</v>
      </c>
      <c r="E6" s="87" t="s">
        <v>41</v>
      </c>
      <c r="F6" s="87" t="s">
        <v>41</v>
      </c>
      <c r="G6" s="87" t="s">
        <v>6</v>
      </c>
    </row>
    <row r="7" spans="1:9" ht="20.100000000000001" customHeight="1">
      <c r="B7" s="90">
        <v>2025</v>
      </c>
      <c r="C7" s="90">
        <v>2025</v>
      </c>
      <c r="D7" s="90">
        <v>2025</v>
      </c>
      <c r="E7" s="90">
        <v>2025</v>
      </c>
      <c r="F7" s="90">
        <v>2025</v>
      </c>
      <c r="G7" s="90" t="s">
        <v>147</v>
      </c>
    </row>
    <row r="8" spans="1:9" ht="20.100000000000001" customHeight="1">
      <c r="B8" s="87"/>
      <c r="C8" s="87"/>
      <c r="D8" s="87"/>
      <c r="E8" s="87"/>
      <c r="F8" s="87"/>
      <c r="G8" s="87"/>
    </row>
    <row r="9" spans="1:9" s="572" customFormat="1" ht="20.100000000000001" customHeight="1">
      <c r="A9" s="570" t="s">
        <v>470</v>
      </c>
      <c r="B9" s="571">
        <v>7579</v>
      </c>
      <c r="C9" s="571">
        <v>8260</v>
      </c>
      <c r="D9" s="571">
        <v>30307</v>
      </c>
      <c r="E9" s="284">
        <v>121.18644067796612</v>
      </c>
      <c r="F9" s="284">
        <v>117.34621395084528</v>
      </c>
      <c r="G9" s="284">
        <v>118.8603027688446</v>
      </c>
      <c r="I9" s="573"/>
    </row>
    <row r="10" spans="1:9" ht="20.100000000000001" customHeight="1">
      <c r="A10" s="574" t="s">
        <v>471</v>
      </c>
      <c r="B10" s="575">
        <v>2337</v>
      </c>
      <c r="C10" s="576">
        <v>2450</v>
      </c>
      <c r="D10" s="575">
        <v>8787</v>
      </c>
      <c r="E10" s="290">
        <v>123.65079365079366</v>
      </c>
      <c r="F10" s="577">
        <v>128.94736842105263</v>
      </c>
      <c r="G10" s="577">
        <v>123.58649789029536</v>
      </c>
    </row>
    <row r="11" spans="1:9" ht="20.100000000000001" customHeight="1">
      <c r="A11" s="574" t="s">
        <v>472</v>
      </c>
      <c r="B11" s="575">
        <v>125</v>
      </c>
      <c r="C11" s="576">
        <v>130</v>
      </c>
      <c r="D11" s="575">
        <v>465</v>
      </c>
      <c r="E11" s="290">
        <v>104.16666666666667</v>
      </c>
      <c r="F11" s="577">
        <v>104</v>
      </c>
      <c r="G11" s="577">
        <v>100.86767895878526</v>
      </c>
    </row>
    <row r="12" spans="1:9" ht="20.100000000000001" customHeight="1">
      <c r="A12" s="574" t="s">
        <v>473</v>
      </c>
      <c r="B12" s="575">
        <v>3500</v>
      </c>
      <c r="C12" s="576">
        <v>4100</v>
      </c>
      <c r="D12" s="575">
        <v>15220</v>
      </c>
      <c r="E12" s="290">
        <v>130.59701492537314</v>
      </c>
      <c r="F12" s="577">
        <v>119.18604651162789</v>
      </c>
      <c r="G12" s="577">
        <v>124.44807849550286</v>
      </c>
    </row>
    <row r="13" spans="1:9" ht="20.100000000000001" customHeight="1">
      <c r="A13" s="574" t="s">
        <v>474</v>
      </c>
      <c r="B13" s="575">
        <v>78</v>
      </c>
      <c r="C13" s="576">
        <v>79</v>
      </c>
      <c r="D13" s="575">
        <v>306</v>
      </c>
      <c r="E13" s="290">
        <v>102.63157894736842</v>
      </c>
      <c r="F13" s="290">
        <v>101.28205128205127</v>
      </c>
      <c r="G13" s="290">
        <v>102</v>
      </c>
    </row>
    <row r="14" spans="1:9" ht="20.100000000000001" customHeight="1">
      <c r="A14" s="574" t="s">
        <v>475</v>
      </c>
      <c r="B14" s="575">
        <v>31</v>
      </c>
      <c r="C14" s="576">
        <v>31</v>
      </c>
      <c r="D14" s="575">
        <v>121</v>
      </c>
      <c r="E14" s="290">
        <v>100</v>
      </c>
      <c r="F14" s="577">
        <v>96.875</v>
      </c>
      <c r="G14" s="577">
        <v>100</v>
      </c>
    </row>
    <row r="15" spans="1:9" ht="20.100000000000001" customHeight="1">
      <c r="A15" s="574" t="s">
        <v>476</v>
      </c>
      <c r="B15" s="575">
        <v>58</v>
      </c>
      <c r="C15" s="576">
        <v>60</v>
      </c>
      <c r="D15" s="575">
        <v>228</v>
      </c>
      <c r="E15" s="290">
        <v>103.57142857142858</v>
      </c>
      <c r="F15" s="290">
        <v>105.26315789473684</v>
      </c>
      <c r="G15" s="290">
        <v>103.16742081447966</v>
      </c>
    </row>
    <row r="16" spans="1:9" ht="20.100000000000001" customHeight="1">
      <c r="A16" s="574" t="s">
        <v>477</v>
      </c>
      <c r="B16" s="575">
        <v>1450</v>
      </c>
      <c r="C16" s="575">
        <v>1410</v>
      </c>
      <c r="D16" s="575">
        <v>5180</v>
      </c>
      <c r="E16" s="290">
        <v>103.49750178443968</v>
      </c>
      <c r="F16" s="578">
        <v>100.21321961620468</v>
      </c>
      <c r="G16" s="578">
        <v>102.47279920870425</v>
      </c>
    </row>
    <row r="17" spans="1:7" s="572" customFormat="1" ht="20.100000000000001" customHeight="1">
      <c r="A17" s="570" t="s">
        <v>478</v>
      </c>
      <c r="B17" s="572">
        <v>10663</v>
      </c>
      <c r="C17" s="572">
        <v>10547</v>
      </c>
      <c r="D17" s="571">
        <v>40537</v>
      </c>
      <c r="E17" s="284">
        <v>110.74989613626923</v>
      </c>
      <c r="F17" s="573">
        <v>110.83438419503993</v>
      </c>
      <c r="G17" s="573">
        <v>114.00568101920861</v>
      </c>
    </row>
    <row r="18" spans="1:7" ht="20.100000000000001" customHeight="1">
      <c r="A18" s="574" t="s">
        <v>473</v>
      </c>
      <c r="B18" s="575">
        <v>3950</v>
      </c>
      <c r="C18" s="575">
        <v>3650</v>
      </c>
      <c r="D18" s="575">
        <v>14740</v>
      </c>
      <c r="E18" s="290">
        <v>106.75675675675676</v>
      </c>
      <c r="F18" s="578">
        <v>104.28571428571429</v>
      </c>
      <c r="G18" s="578">
        <v>115.60784313725489</v>
      </c>
    </row>
    <row r="19" spans="1:7" ht="20.100000000000001" customHeight="1">
      <c r="A19" s="574" t="s">
        <v>471</v>
      </c>
      <c r="B19" s="575">
        <v>4500</v>
      </c>
      <c r="C19" s="575">
        <v>4630</v>
      </c>
      <c r="D19" s="575">
        <v>17085</v>
      </c>
      <c r="E19" s="290">
        <v>119.9360341151386</v>
      </c>
      <c r="F19" s="578">
        <v>122.13136375626483</v>
      </c>
      <c r="G19" s="578">
        <v>119.8526832690284</v>
      </c>
    </row>
    <row r="20" spans="1:7" ht="20.100000000000001" customHeight="1">
      <c r="A20" s="579" t="s">
        <v>479</v>
      </c>
      <c r="B20" s="580">
        <v>3503</v>
      </c>
      <c r="C20" s="580">
        <v>3609</v>
      </c>
      <c r="D20" s="580">
        <v>13317</v>
      </c>
      <c r="E20" s="581">
        <v>120.13031550068587</v>
      </c>
      <c r="F20" s="582">
        <v>121.51515151515152</v>
      </c>
      <c r="G20" s="582">
        <v>119.61735381298841</v>
      </c>
    </row>
    <row r="21" spans="1:7" ht="20.100000000000001" customHeight="1">
      <c r="A21" s="574" t="s">
        <v>472</v>
      </c>
      <c r="B21" s="275">
        <v>95</v>
      </c>
      <c r="C21" s="275">
        <v>110</v>
      </c>
      <c r="D21" s="575">
        <v>364</v>
      </c>
      <c r="E21" s="290">
        <v>86.36363636363636</v>
      </c>
      <c r="F21" s="578">
        <v>91.666666666666657</v>
      </c>
      <c r="G21" s="578">
        <v>92.620865139949103</v>
      </c>
    </row>
    <row r="22" spans="1:7" ht="20.100000000000001" customHeight="1">
      <c r="A22" s="574" t="s">
        <v>474</v>
      </c>
      <c r="B22" s="275">
        <v>105</v>
      </c>
      <c r="C22" s="275">
        <v>110</v>
      </c>
      <c r="D22" s="575">
        <v>400</v>
      </c>
      <c r="E22" s="290">
        <v>100.96153846153845</v>
      </c>
      <c r="F22" s="578">
        <v>100.91743119266054</v>
      </c>
      <c r="G22" s="578">
        <v>101.01010101010101</v>
      </c>
    </row>
    <row r="23" spans="1:7" ht="20.100000000000001" customHeight="1">
      <c r="A23" s="574" t="s">
        <v>475</v>
      </c>
      <c r="B23" s="275">
        <v>300</v>
      </c>
      <c r="C23" s="275">
        <v>312</v>
      </c>
      <c r="D23" s="575">
        <v>1150</v>
      </c>
      <c r="E23" s="290">
        <v>117.64705882352942</v>
      </c>
      <c r="F23" s="578">
        <v>115.98513011152416</v>
      </c>
      <c r="G23" s="578">
        <v>116.27906976744187</v>
      </c>
    </row>
    <row r="24" spans="1:7" ht="20.100000000000001" customHeight="1">
      <c r="A24" s="579" t="s">
        <v>480</v>
      </c>
      <c r="B24" s="583">
        <v>293</v>
      </c>
      <c r="C24" s="583">
        <v>301</v>
      </c>
      <c r="D24" s="580">
        <v>1112</v>
      </c>
      <c r="E24" s="581">
        <v>120.08196721311475</v>
      </c>
      <c r="F24" s="582">
        <v>121.37096774193547</v>
      </c>
      <c r="G24" s="582">
        <v>119.56989247311829</v>
      </c>
    </row>
    <row r="25" spans="1:7" ht="20.100000000000001" customHeight="1">
      <c r="A25" s="574" t="s">
        <v>476</v>
      </c>
      <c r="B25" s="275">
        <v>63</v>
      </c>
      <c r="C25" s="275">
        <v>65</v>
      </c>
      <c r="D25" s="575">
        <v>248</v>
      </c>
      <c r="E25" s="290">
        <v>100</v>
      </c>
      <c r="F25" s="578">
        <v>100</v>
      </c>
      <c r="G25" s="578">
        <v>100.8130081300813</v>
      </c>
    </row>
    <row r="26" spans="1:7" ht="20.100000000000001" customHeight="1">
      <c r="A26" s="574" t="s">
        <v>477</v>
      </c>
      <c r="B26" s="275">
        <v>1650</v>
      </c>
      <c r="C26" s="275">
        <v>1670</v>
      </c>
      <c r="D26" s="575">
        <v>6550</v>
      </c>
      <c r="E26" s="290">
        <v>100.36496350364963</v>
      </c>
      <c r="F26" s="578">
        <v>100.48134777376654</v>
      </c>
      <c r="G26" s="578">
        <v>100.33700980392157</v>
      </c>
    </row>
    <row r="27" spans="1:7" ht="20.100000000000001" customHeight="1">
      <c r="A27" s="584"/>
      <c r="B27" s="574"/>
      <c r="C27" s="585"/>
      <c r="D27" s="585"/>
      <c r="E27" s="586"/>
      <c r="F27" s="586"/>
      <c r="G27" s="578"/>
    </row>
    <row r="28" spans="1:7" ht="20.100000000000001" customHeight="1">
      <c r="A28" s="584"/>
      <c r="B28" s="574"/>
      <c r="C28" s="585"/>
      <c r="D28" s="585"/>
      <c r="E28" s="586"/>
      <c r="F28" s="586"/>
      <c r="G28" s="578"/>
    </row>
    <row r="29" spans="1:7" ht="20.100000000000001" customHeight="1">
      <c r="A29" s="584"/>
      <c r="B29" s="574"/>
    </row>
    <row r="30" spans="1:7" ht="20.100000000000001" customHeight="1">
      <c r="A30" s="584"/>
      <c r="B30" s="574"/>
    </row>
    <row r="31" spans="1:7" ht="20.100000000000001" customHeight="1">
      <c r="A31" s="584"/>
      <c r="B31" s="574"/>
    </row>
    <row r="32" spans="1:7" ht="20.100000000000001" customHeight="1">
      <c r="A32" s="584"/>
      <c r="B32" s="574"/>
    </row>
    <row r="33" spans="1:6" ht="20.100000000000001" customHeight="1">
      <c r="A33" s="584"/>
      <c r="B33" s="574"/>
      <c r="C33" s="585"/>
      <c r="D33" s="585"/>
      <c r="E33" s="586"/>
      <c r="F33" s="586"/>
    </row>
    <row r="34" spans="1:6" ht="20.100000000000001" customHeight="1">
      <c r="A34" s="584"/>
      <c r="B34" s="574"/>
      <c r="C34" s="585"/>
      <c r="D34" s="585"/>
      <c r="E34" s="586"/>
      <c r="F34" s="586"/>
    </row>
    <row r="35" spans="1:6" ht="20.100000000000001" customHeight="1">
      <c r="A35" s="584"/>
      <c r="B35" s="574"/>
    </row>
    <row r="36" spans="1:6" ht="20.100000000000001" customHeight="1">
      <c r="A36" s="584"/>
      <c r="B36" s="574"/>
      <c r="C36" s="585"/>
      <c r="D36" s="585"/>
      <c r="E36" s="586"/>
      <c r="F36" s="586"/>
    </row>
    <row r="37" spans="1:6" ht="20.100000000000001" customHeight="1">
      <c r="A37" s="584"/>
      <c r="B37" s="574"/>
    </row>
    <row r="38" spans="1:6" ht="20.100000000000001" customHeight="1">
      <c r="A38" s="584"/>
      <c r="B38" s="574"/>
      <c r="C38" s="585"/>
      <c r="D38" s="585"/>
      <c r="E38" s="586"/>
      <c r="F38" s="586"/>
    </row>
    <row r="39" spans="1:6" ht="20.100000000000001" customHeight="1">
      <c r="A39" s="584"/>
      <c r="B39" s="574"/>
    </row>
    <row r="40" spans="1:6" ht="20.100000000000001" customHeight="1">
      <c r="A40" s="584"/>
      <c r="B40" s="574"/>
    </row>
    <row r="41" spans="1:6" ht="20.100000000000001" customHeight="1">
      <c r="A41" s="584"/>
      <c r="B41" s="574"/>
    </row>
    <row r="42" spans="1:6" ht="20.100000000000001" customHeight="1">
      <c r="A42" s="584"/>
      <c r="B42" s="574"/>
    </row>
    <row r="43" spans="1:6" ht="20.100000000000001" customHeight="1">
      <c r="A43" s="584"/>
      <c r="B43" s="574"/>
    </row>
    <row r="44" spans="1:6" ht="20.100000000000001" customHeight="1">
      <c r="A44" s="584"/>
      <c r="B44" s="574"/>
    </row>
    <row r="45" spans="1:6" ht="20.100000000000001" customHeight="1">
      <c r="A45" s="584"/>
      <c r="B45" s="574"/>
    </row>
    <row r="46" spans="1:6" ht="20.100000000000001" customHeight="1">
      <c r="A46" s="584"/>
      <c r="B46" s="574"/>
    </row>
    <row r="47" spans="1:6" ht="20.100000000000001" customHeight="1">
      <c r="A47" s="584"/>
      <c r="B47" s="574"/>
    </row>
    <row r="48" spans="1:6" ht="20.100000000000001" customHeight="1">
      <c r="A48" s="584"/>
      <c r="B48" s="574"/>
    </row>
    <row r="49" spans="1:2" ht="15.95" customHeight="1">
      <c r="A49" s="584"/>
      <c r="B49" s="574"/>
    </row>
    <row r="50" spans="1:2" ht="15.95" customHeight="1">
      <c r="A50" s="584"/>
      <c r="B50" s="574"/>
    </row>
    <row r="51" spans="1:2" ht="15.95" customHeight="1">
      <c r="A51" s="584"/>
      <c r="B51" s="574"/>
    </row>
    <row r="52" spans="1:2" ht="15.95" customHeight="1">
      <c r="A52" s="584"/>
      <c r="B52" s="574"/>
    </row>
    <row r="53" spans="1:2" ht="15.95" customHeight="1">
      <c r="A53" s="584"/>
      <c r="B53" s="574"/>
    </row>
    <row r="54" spans="1:2" ht="15.95" customHeight="1">
      <c r="A54" s="584"/>
      <c r="B54" s="574"/>
    </row>
    <row r="55" spans="1:2" ht="15.95" customHeight="1">
      <c r="A55" s="584"/>
      <c r="B55" s="574"/>
    </row>
    <row r="56" spans="1:2" ht="15.95" customHeight="1">
      <c r="A56" s="584"/>
      <c r="B56" s="574"/>
    </row>
    <row r="57" spans="1:2" ht="15.95" customHeight="1">
      <c r="A57" s="584"/>
      <c r="B57" s="574"/>
    </row>
    <row r="58" spans="1:2" ht="15.95" customHeight="1">
      <c r="A58" s="584"/>
      <c r="B58" s="574"/>
    </row>
    <row r="59" spans="1:2" ht="15.95" customHeight="1">
      <c r="A59" s="584"/>
      <c r="B59" s="574"/>
    </row>
    <row r="60" spans="1:2" ht="15.95" customHeight="1">
      <c r="A60" s="584"/>
      <c r="B60" s="574"/>
    </row>
    <row r="61" spans="1:2" ht="15.95" customHeight="1">
      <c r="A61" s="584"/>
      <c r="B61" s="574"/>
    </row>
    <row r="62" spans="1:2" ht="15.95" customHeight="1">
      <c r="A62" s="584"/>
      <c r="B62" s="574"/>
    </row>
    <row r="63" spans="1:2" ht="15.95" customHeight="1">
      <c r="A63" s="584"/>
      <c r="B63" s="574"/>
    </row>
    <row r="64" spans="1:2" ht="15.95" customHeight="1">
      <c r="A64" s="584"/>
      <c r="B64" s="574"/>
    </row>
    <row r="65" spans="1:2" ht="15.95" customHeight="1">
      <c r="A65" s="584"/>
      <c r="B65" s="574"/>
    </row>
    <row r="66" spans="1:2" ht="15.95" customHeight="1">
      <c r="A66" s="584"/>
      <c r="B66" s="574"/>
    </row>
    <row r="67" spans="1:2" ht="15.95" customHeight="1">
      <c r="A67" s="584"/>
      <c r="B67" s="574"/>
    </row>
    <row r="68" spans="1:2" ht="15.95" customHeight="1">
      <c r="A68" s="584"/>
      <c r="B68" s="574"/>
    </row>
    <row r="69" spans="1:2" ht="15.95" customHeight="1">
      <c r="A69" s="584"/>
      <c r="B69" s="574"/>
    </row>
    <row r="70" spans="1:2" ht="15.95" customHeight="1">
      <c r="A70" s="584"/>
      <c r="B70" s="574"/>
    </row>
    <row r="71" spans="1:2">
      <c r="B71" s="574"/>
    </row>
  </sheetData>
  <pageMargins left="0.74803149606299202" right="0.17" top="0.74803149606299202" bottom="0.511811023622047" header="0.43307086614173201" footer="0.31496062992126"/>
  <pageSetup paperSize="9" scale="94" orientation="portrait" r:id="rId1"/>
  <headerFooter alignWithMargins="0">
    <oddHeader>&amp;C&amp;"Times New Roman,Regular"&amp;13&amp;P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workbookViewId="0">
      <selection activeCell="L15" sqref="L15"/>
    </sheetView>
  </sheetViews>
  <sheetFormatPr defaultColWidth="9.140625" defaultRowHeight="12.75"/>
  <cols>
    <col min="1" max="1" width="10.42578125" style="690" customWidth="1"/>
    <col min="2" max="2" width="21.140625" style="690" customWidth="1"/>
    <col min="3" max="3" width="9.5703125" style="690" customWidth="1"/>
    <col min="4" max="4" width="9.42578125" style="690" customWidth="1"/>
    <col min="5" max="5" width="9.140625" style="690" customWidth="1"/>
    <col min="6" max="6" width="14.85546875" style="690" customWidth="1"/>
    <col min="7" max="7" width="10.5703125" style="690" customWidth="1"/>
    <col min="8" max="16384" width="9.140625" style="690"/>
  </cols>
  <sheetData>
    <row r="1" spans="1:7" ht="19.5" customHeight="1">
      <c r="A1" s="688" t="s">
        <v>566</v>
      </c>
      <c r="B1" s="666"/>
      <c r="C1" s="689"/>
      <c r="D1" s="689"/>
      <c r="E1" s="689"/>
    </row>
    <row r="2" spans="1:7" ht="18" customHeight="1">
      <c r="A2" s="688" t="s">
        <v>567</v>
      </c>
      <c r="B2" s="666"/>
      <c r="C2" s="689"/>
      <c r="D2" s="689"/>
      <c r="E2" s="689"/>
    </row>
    <row r="3" spans="1:7" ht="15">
      <c r="A3" s="670"/>
      <c r="B3" s="670"/>
      <c r="C3" s="670"/>
      <c r="D3" s="670"/>
      <c r="E3" s="691"/>
      <c r="F3" s="691"/>
      <c r="G3" s="669"/>
    </row>
    <row r="4" spans="1:7" ht="15">
      <c r="A4" s="670"/>
      <c r="B4" s="670"/>
      <c r="C4" s="670"/>
      <c r="D4" s="670"/>
      <c r="E4" s="691"/>
      <c r="F4" s="691"/>
      <c r="G4" s="594" t="s">
        <v>82</v>
      </c>
    </row>
    <row r="5" spans="1:7" ht="16.149999999999999" customHeight="1">
      <c r="A5" s="671"/>
      <c r="B5" s="671"/>
      <c r="C5" s="964" t="s">
        <v>568</v>
      </c>
      <c r="D5" s="964"/>
      <c r="E5" s="964"/>
      <c r="F5" s="692" t="s">
        <v>569</v>
      </c>
      <c r="G5" s="693" t="s">
        <v>86</v>
      </c>
    </row>
    <row r="6" spans="1:7" ht="16.149999999999999" customHeight="1">
      <c r="A6" s="670"/>
      <c r="B6" s="670"/>
      <c r="C6" s="598" t="s">
        <v>570</v>
      </c>
      <c r="D6" s="598" t="s">
        <v>84</v>
      </c>
      <c r="E6" s="598" t="s">
        <v>83</v>
      </c>
      <c r="F6" s="694" t="s">
        <v>87</v>
      </c>
      <c r="G6" s="695" t="s">
        <v>571</v>
      </c>
    </row>
    <row r="7" spans="1:7" ht="16.149999999999999" customHeight="1">
      <c r="A7" s="670"/>
      <c r="B7" s="670"/>
      <c r="C7" s="696">
        <v>-2024</v>
      </c>
      <c r="D7" s="598" t="s">
        <v>41</v>
      </c>
      <c r="E7" s="598" t="s">
        <v>41</v>
      </c>
      <c r="F7" s="694" t="s">
        <v>5</v>
      </c>
      <c r="G7" s="694" t="s">
        <v>88</v>
      </c>
    </row>
    <row r="8" spans="1:7" ht="16.149999999999999" customHeight="1">
      <c r="A8" s="670"/>
      <c r="B8" s="670"/>
      <c r="C8" s="697"/>
      <c r="D8" s="601">
        <v>2024</v>
      </c>
      <c r="E8" s="601">
        <v>2025</v>
      </c>
      <c r="F8" s="698" t="s">
        <v>6</v>
      </c>
      <c r="G8" s="698"/>
    </row>
    <row r="9" spans="1:7" ht="16.149999999999999" customHeight="1">
      <c r="A9" s="699"/>
      <c r="B9" s="699"/>
      <c r="C9" s="699"/>
      <c r="D9" s="699"/>
      <c r="F9" s="700"/>
      <c r="G9" s="700"/>
    </row>
    <row r="10" spans="1:7" ht="16.149999999999999" customHeight="1">
      <c r="A10" s="682" t="s">
        <v>572</v>
      </c>
      <c r="B10" s="669"/>
      <c r="C10" s="701">
        <v>104.27930084602264</v>
      </c>
      <c r="D10" s="701">
        <v>103.48356854829215</v>
      </c>
      <c r="E10" s="701">
        <v>100.1927</v>
      </c>
      <c r="F10" s="702">
        <v>103.43655964242541</v>
      </c>
      <c r="G10" s="701">
        <v>103.31008225097338</v>
      </c>
    </row>
    <row r="11" spans="1:7" ht="20.100000000000001" customHeight="1">
      <c r="A11" s="679" t="s">
        <v>573</v>
      </c>
      <c r="B11" s="679"/>
      <c r="C11" s="703">
        <v>105.1164342098331</v>
      </c>
      <c r="D11" s="703">
        <v>104.19521272664242</v>
      </c>
      <c r="E11" s="703">
        <v>100.7473</v>
      </c>
      <c r="F11" s="704">
        <v>103.18846262799916</v>
      </c>
      <c r="G11" s="677">
        <v>103.27261317525605</v>
      </c>
    </row>
    <row r="12" spans="1:7" ht="20.100000000000001" customHeight="1">
      <c r="A12" s="705" t="s">
        <v>574</v>
      </c>
      <c r="B12" s="679" t="s">
        <v>575</v>
      </c>
      <c r="C12" s="703">
        <v>101.19778026883458</v>
      </c>
      <c r="D12" s="703">
        <v>98.796396644816539</v>
      </c>
      <c r="E12" s="703">
        <v>100.54559999999999</v>
      </c>
      <c r="F12" s="706">
        <v>98.617739910547201</v>
      </c>
      <c r="G12" s="677">
        <v>100.16659916383621</v>
      </c>
    </row>
    <row r="13" spans="1:7" ht="20.100000000000001" customHeight="1">
      <c r="A13" s="679"/>
      <c r="B13" s="679" t="s">
        <v>576</v>
      </c>
      <c r="C13" s="703">
        <v>106.25190016206517</v>
      </c>
      <c r="D13" s="703">
        <v>105.17870573227141</v>
      </c>
      <c r="E13" s="703">
        <v>100.9756</v>
      </c>
      <c r="F13" s="704">
        <v>103.65473017716893</v>
      </c>
      <c r="G13" s="677">
        <v>103.60520646156534</v>
      </c>
    </row>
    <row r="14" spans="1:7" ht="20.100000000000001" customHeight="1">
      <c r="A14" s="679"/>
      <c r="B14" s="679" t="s">
        <v>577</v>
      </c>
      <c r="C14" s="703">
        <v>104.19483717896743</v>
      </c>
      <c r="D14" s="703">
        <v>104.20728789837493</v>
      </c>
      <c r="E14" s="703">
        <v>100.2933</v>
      </c>
      <c r="F14" s="704">
        <v>104.07253103529877</v>
      </c>
      <c r="G14" s="677">
        <v>103.80709992462239</v>
      </c>
    </row>
    <row r="15" spans="1:7" ht="20.100000000000001" customHeight="1">
      <c r="A15" s="679" t="s">
        <v>578</v>
      </c>
      <c r="B15" s="679"/>
      <c r="C15" s="703">
        <v>102.27181611668922</v>
      </c>
      <c r="D15" s="703">
        <v>102.05446743715657</v>
      </c>
      <c r="E15" s="703">
        <v>100.05880000000001</v>
      </c>
      <c r="F15" s="704">
        <v>102.20406951017156</v>
      </c>
      <c r="G15" s="677">
        <v>102.2058572959875</v>
      </c>
    </row>
    <row r="16" spans="1:7" ht="20.100000000000001" customHeight="1">
      <c r="A16" s="679" t="s">
        <v>579</v>
      </c>
      <c r="B16" s="679"/>
      <c r="C16" s="703">
        <v>101.95529365386845</v>
      </c>
      <c r="D16" s="703">
        <v>101.33151395937941</v>
      </c>
      <c r="E16" s="703">
        <v>100.20229999999999</v>
      </c>
      <c r="F16" s="704">
        <v>101.41533995561907</v>
      </c>
      <c r="G16" s="677">
        <v>101.30070682777175</v>
      </c>
    </row>
    <row r="17" spans="1:10" ht="20.100000000000001" customHeight="1">
      <c r="A17" s="679" t="s">
        <v>580</v>
      </c>
      <c r="B17" s="679"/>
      <c r="C17" s="703">
        <v>106.55440630671858</v>
      </c>
      <c r="D17" s="703">
        <v>105.23061132515492</v>
      </c>
      <c r="E17" s="703">
        <v>100.05670000000001</v>
      </c>
      <c r="F17" s="704">
        <v>105.90652922125004</v>
      </c>
      <c r="G17" s="677">
        <v>106.08302798885775</v>
      </c>
    </row>
    <row r="18" spans="1:10" ht="20.100000000000001" customHeight="1">
      <c r="A18" s="679" t="s">
        <v>581</v>
      </c>
      <c r="B18" s="679"/>
      <c r="C18" s="703">
        <v>102.59991113398829</v>
      </c>
      <c r="D18" s="703">
        <v>101.76923281003587</v>
      </c>
      <c r="E18" s="703">
        <v>100.1572</v>
      </c>
      <c r="F18" s="704">
        <v>101.74717692967185</v>
      </c>
      <c r="G18" s="677">
        <v>101.66226811775205</v>
      </c>
      <c r="H18" s="683"/>
      <c r="J18" s="683"/>
    </row>
    <row r="19" spans="1:10" ht="20.100000000000001" customHeight="1">
      <c r="A19" s="679" t="s">
        <v>582</v>
      </c>
      <c r="B19" s="679"/>
      <c r="C19" s="703">
        <v>106.31695292693557</v>
      </c>
      <c r="D19" s="703">
        <v>110.27018876869985</v>
      </c>
      <c r="E19" s="703">
        <v>100.03230000000001</v>
      </c>
      <c r="F19" s="704">
        <v>111.84499467467407</v>
      </c>
      <c r="G19" s="677">
        <v>113.06821164378538</v>
      </c>
    </row>
    <row r="20" spans="1:10" ht="20.100000000000001" customHeight="1">
      <c r="A20" s="705" t="s">
        <v>278</v>
      </c>
      <c r="B20" s="679" t="s">
        <v>583</v>
      </c>
      <c r="C20" s="703">
        <v>108.65332633164091</v>
      </c>
      <c r="D20" s="703">
        <v>113.19327961007504</v>
      </c>
      <c r="E20" s="703">
        <v>100.0043</v>
      </c>
      <c r="F20" s="704">
        <v>115.31642359612121</v>
      </c>
      <c r="G20" s="677">
        <v>116.97196188123631</v>
      </c>
    </row>
    <row r="21" spans="1:10" ht="20.100000000000001" customHeight="1">
      <c r="A21" s="679" t="s">
        <v>584</v>
      </c>
      <c r="B21" s="679"/>
      <c r="C21" s="703">
        <v>95.597349487326369</v>
      </c>
      <c r="D21" s="703">
        <v>99.45282360425135</v>
      </c>
      <c r="E21" s="703">
        <v>98.915099999999995</v>
      </c>
      <c r="F21" s="704">
        <v>100.17868806957173</v>
      </c>
      <c r="G21" s="677">
        <v>97.862111355216626</v>
      </c>
    </row>
    <row r="22" spans="1:10" ht="20.100000000000001" customHeight="1">
      <c r="A22" s="679" t="s">
        <v>494</v>
      </c>
      <c r="B22" s="679"/>
      <c r="C22" s="703">
        <v>100.21658473044336</v>
      </c>
      <c r="D22" s="703">
        <v>99.745055149235711</v>
      </c>
      <c r="E22" s="703">
        <v>100.0226</v>
      </c>
      <c r="F22" s="706">
        <v>99.632028293539378</v>
      </c>
      <c r="G22" s="677">
        <v>99.552394907119549</v>
      </c>
    </row>
    <row r="23" spans="1:10" ht="20.100000000000001" customHeight="1">
      <c r="A23" s="679" t="s">
        <v>585</v>
      </c>
      <c r="B23" s="679"/>
      <c r="C23" s="703">
        <v>110.97434227133367</v>
      </c>
      <c r="D23" s="703">
        <v>103.04906500219919</v>
      </c>
      <c r="E23" s="703">
        <v>100.0063</v>
      </c>
      <c r="F23" s="704">
        <v>103.17345316875198</v>
      </c>
      <c r="G23" s="677">
        <v>102.14926984540627</v>
      </c>
      <c r="H23" s="707"/>
    </row>
    <row r="24" spans="1:10" ht="20.100000000000001" customHeight="1">
      <c r="A24" s="705" t="s">
        <v>278</v>
      </c>
      <c r="B24" s="679" t="s">
        <v>586</v>
      </c>
      <c r="C24" s="703">
        <v>112.22477314631682</v>
      </c>
      <c r="D24" s="703">
        <v>103.2262573437994</v>
      </c>
      <c r="E24" s="703">
        <v>100.00230000000001</v>
      </c>
      <c r="F24" s="704">
        <v>103.35729589934981</v>
      </c>
      <c r="G24" s="677">
        <v>102.22194352608111</v>
      </c>
    </row>
    <row r="25" spans="1:10" ht="20.100000000000001" customHeight="1">
      <c r="A25" s="679" t="s">
        <v>587</v>
      </c>
      <c r="B25" s="679"/>
      <c r="C25" s="703">
        <v>101.24249422866295</v>
      </c>
      <c r="D25" s="703">
        <v>101.31016400748277</v>
      </c>
      <c r="E25" s="703">
        <v>99.882599999999996</v>
      </c>
      <c r="F25" s="704">
        <v>101.58486850134604</v>
      </c>
      <c r="G25" s="677">
        <v>101.87719456158227</v>
      </c>
    </row>
    <row r="26" spans="1:10" ht="20.100000000000001" customHeight="1">
      <c r="A26" s="679" t="s">
        <v>588</v>
      </c>
      <c r="B26" s="679"/>
      <c r="C26" s="703">
        <v>106.28653942938267</v>
      </c>
      <c r="D26" s="703">
        <v>103.0321142033179</v>
      </c>
      <c r="E26" s="703">
        <v>100.1857</v>
      </c>
      <c r="F26" s="704">
        <v>103.05155323724662</v>
      </c>
      <c r="G26" s="677">
        <v>104.78219461050537</v>
      </c>
    </row>
    <row r="27" spans="1:10" ht="20.100000000000001" customHeight="1">
      <c r="A27" s="682" t="s">
        <v>589</v>
      </c>
      <c r="B27" s="708"/>
      <c r="C27" s="701">
        <v>192.07169573363842</v>
      </c>
      <c r="D27" s="701">
        <v>170.37133293689308</v>
      </c>
      <c r="E27" s="701">
        <v>102.1754</v>
      </c>
      <c r="F27" s="709">
        <v>166.59155254772779</v>
      </c>
      <c r="G27" s="701">
        <v>147.67409771848116</v>
      </c>
    </row>
    <row r="28" spans="1:10" ht="20.100000000000001" customHeight="1">
      <c r="A28" s="682" t="s">
        <v>590</v>
      </c>
      <c r="B28" s="708"/>
      <c r="C28" s="701">
        <v>105.51367301600111</v>
      </c>
      <c r="D28" s="701">
        <v>103.68454975062846</v>
      </c>
      <c r="E28" s="701">
        <v>100.1682</v>
      </c>
      <c r="F28" s="709">
        <v>104.27228873758006</v>
      </c>
      <c r="G28" s="701">
        <v>103.9213015951335</v>
      </c>
    </row>
    <row r="29" spans="1:10" ht="20.100000000000001" customHeight="1">
      <c r="A29" s="682" t="s">
        <v>591</v>
      </c>
      <c r="B29" s="708"/>
      <c r="C29" s="701"/>
      <c r="D29" s="701">
        <v>3.2664290854651945</v>
      </c>
      <c r="E29" s="710">
        <v>0.23216467513105243</v>
      </c>
      <c r="F29" s="710"/>
      <c r="G29" s="701">
        <v>3.2125112874105923</v>
      </c>
    </row>
    <row r="30" spans="1:10" ht="7.5" customHeight="1">
      <c r="A30" s="711"/>
      <c r="B30" s="711"/>
      <c r="C30" s="711"/>
      <c r="D30" s="711"/>
      <c r="E30" s="711"/>
      <c r="F30" s="711"/>
      <c r="G30" s="711"/>
    </row>
    <row r="31" spans="1:10" ht="26.25" customHeight="1">
      <c r="A31" s="712" t="s">
        <v>592</v>
      </c>
    </row>
    <row r="39" spans="3:7" ht="14.25">
      <c r="C39" s="713"/>
      <c r="D39" s="713"/>
      <c r="E39" s="714"/>
      <c r="F39" s="714"/>
      <c r="G39" s="714"/>
    </row>
    <row r="40" spans="3:7" ht="14.25">
      <c r="C40" s="714"/>
      <c r="D40" s="714"/>
      <c r="E40" s="714"/>
      <c r="F40" s="714"/>
      <c r="G40" s="714"/>
    </row>
    <row r="41" spans="3:7" ht="14.25">
      <c r="C41" s="715"/>
      <c r="D41" s="716"/>
      <c r="E41" s="715"/>
      <c r="F41" s="715"/>
      <c r="G41" s="714"/>
    </row>
    <row r="42" spans="3:7" ht="14.25">
      <c r="C42" s="715"/>
      <c r="D42" s="716"/>
      <c r="E42" s="715"/>
      <c r="F42" s="715"/>
    </row>
  </sheetData>
  <mergeCells count="1">
    <mergeCell ref="C5:E5"/>
  </mergeCells>
  <pageMargins left="0.74803149606299202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topLeftCell="A10" workbookViewId="0">
      <selection activeCell="L15" sqref="L15"/>
    </sheetView>
  </sheetViews>
  <sheetFormatPr defaultColWidth="9.140625" defaultRowHeight="12.75"/>
  <cols>
    <col min="1" max="1" width="45.28515625" style="603" customWidth="1"/>
    <col min="2" max="3" width="13.42578125" style="603" customWidth="1"/>
    <col min="4" max="4" width="17.5703125" style="603" customWidth="1"/>
    <col min="5" max="5" width="10.85546875" style="603" customWidth="1"/>
    <col min="6" max="6" width="11.140625" style="603" customWidth="1"/>
    <col min="7" max="7" width="9.140625" style="603"/>
    <col min="8" max="8" width="17.28515625" style="603" customWidth="1"/>
    <col min="9" max="16384" width="9.140625" style="603"/>
  </cols>
  <sheetData>
    <row r="1" spans="1:12" s="589" customFormat="1" ht="20.100000000000001" customHeight="1">
      <c r="A1" s="587" t="s">
        <v>481</v>
      </c>
      <c r="B1" s="588"/>
      <c r="G1" s="588"/>
      <c r="H1" s="588"/>
    </row>
    <row r="2" spans="1:12" s="589" customFormat="1" ht="20.100000000000001" customHeight="1">
      <c r="A2" s="590"/>
      <c r="B2" s="590"/>
      <c r="C2" s="591"/>
      <c r="G2" s="588"/>
      <c r="H2" s="588"/>
    </row>
    <row r="3" spans="1:12" s="589" customFormat="1" ht="20.100000000000001" customHeight="1">
      <c r="A3" s="592"/>
      <c r="B3" s="593"/>
      <c r="D3" s="594" t="s">
        <v>82</v>
      </c>
    </row>
    <row r="4" spans="1:12" s="589" customFormat="1" ht="20.100000000000001" customHeight="1">
      <c r="A4" s="595"/>
      <c r="B4" s="964" t="s">
        <v>482</v>
      </c>
      <c r="C4" s="964"/>
      <c r="D4" s="596" t="s">
        <v>86</v>
      </c>
    </row>
    <row r="5" spans="1:12" s="600" customFormat="1" ht="20.100000000000001" customHeight="1">
      <c r="A5" s="597"/>
      <c r="B5" s="598" t="s">
        <v>43</v>
      </c>
      <c r="C5" s="598" t="s">
        <v>42</v>
      </c>
      <c r="D5" s="599" t="s">
        <v>483</v>
      </c>
    </row>
    <row r="6" spans="1:12" s="600" customFormat="1" ht="20.100000000000001" customHeight="1">
      <c r="A6" s="597"/>
      <c r="B6" s="601" t="s">
        <v>88</v>
      </c>
      <c r="C6" s="601" t="s">
        <v>87</v>
      </c>
      <c r="D6" s="602" t="s">
        <v>88</v>
      </c>
    </row>
    <row r="7" spans="1:12" ht="18" customHeight="1"/>
    <row r="8" spans="1:12" ht="18" customHeight="1">
      <c r="A8" s="604" t="s">
        <v>484</v>
      </c>
      <c r="B8" s="605">
        <v>101.35342739507236</v>
      </c>
      <c r="C8" s="605">
        <v>101.54804696575992</v>
      </c>
      <c r="D8" s="606">
        <v>104.01083299324121</v>
      </c>
    </row>
    <row r="9" spans="1:12" ht="19.899999999999999" customHeight="1">
      <c r="A9" s="607" t="s">
        <v>485</v>
      </c>
      <c r="B9" s="608">
        <v>100.19426614972883</v>
      </c>
      <c r="C9" s="608">
        <v>101.64583885955267</v>
      </c>
      <c r="D9" s="609">
        <v>103.81735041561075</v>
      </c>
    </row>
    <row r="10" spans="1:12" ht="19.899999999999999" customHeight="1">
      <c r="A10" s="607" t="s">
        <v>486</v>
      </c>
      <c r="B10" s="608">
        <v>103.76189145319741</v>
      </c>
      <c r="C10" s="608">
        <v>101.49359711343611</v>
      </c>
      <c r="D10" s="609">
        <v>103.58944548324753</v>
      </c>
    </row>
    <row r="11" spans="1:12" ht="19.899999999999999" customHeight="1">
      <c r="A11" s="607" t="s">
        <v>487</v>
      </c>
      <c r="B11" s="608">
        <v>104.54436258535537</v>
      </c>
      <c r="C11" s="608">
        <v>101.28097825215492</v>
      </c>
      <c r="D11" s="609">
        <v>104.42539112726061</v>
      </c>
    </row>
    <row r="12" spans="1:12" ht="19.899999999999999" customHeight="1">
      <c r="A12" s="604" t="s">
        <v>488</v>
      </c>
      <c r="B12" s="605">
        <v>103.50292460085203</v>
      </c>
      <c r="C12" s="605">
        <v>100.51480277750626</v>
      </c>
      <c r="D12" s="606">
        <v>102.54984474968576</v>
      </c>
    </row>
    <row r="13" spans="1:12" ht="19.899999999999999" customHeight="1">
      <c r="A13" s="607" t="s">
        <v>92</v>
      </c>
      <c r="B13" s="608">
        <v>97.363986193808046</v>
      </c>
      <c r="C13" s="608">
        <v>97.781623652462244</v>
      </c>
      <c r="D13" s="609">
        <v>96.78454922853102</v>
      </c>
      <c r="H13" s="610"/>
    </row>
    <row r="14" spans="1:12" ht="19.899999999999999" customHeight="1">
      <c r="A14" s="607" t="s">
        <v>98</v>
      </c>
      <c r="B14" s="608">
        <v>103.58614779210767</v>
      </c>
      <c r="C14" s="608">
        <v>100.55054688944456</v>
      </c>
      <c r="D14" s="609">
        <v>102.53660575732633</v>
      </c>
    </row>
    <row r="15" spans="1:12" ht="30" customHeight="1">
      <c r="A15" s="611" t="s">
        <v>489</v>
      </c>
      <c r="B15" s="608">
        <v>108.29323759750599</v>
      </c>
      <c r="C15" s="608">
        <v>102.46927355150905</v>
      </c>
      <c r="D15" s="609">
        <v>109.19306205025127</v>
      </c>
    </row>
    <row r="16" spans="1:12" ht="30" customHeight="1">
      <c r="A16" s="611" t="s">
        <v>490</v>
      </c>
      <c r="B16" s="608">
        <v>101.34084246384982</v>
      </c>
      <c r="C16" s="608">
        <v>100.01306419391582</v>
      </c>
      <c r="D16" s="609">
        <v>101.74963139473627</v>
      </c>
      <c r="E16" s="612"/>
      <c r="F16" s="612"/>
      <c r="H16" s="613"/>
      <c r="I16" s="613"/>
      <c r="K16" s="614"/>
      <c r="L16" s="614"/>
    </row>
    <row r="17" spans="1:12" ht="19.899999999999999" customHeight="1">
      <c r="A17" s="604" t="s">
        <v>491</v>
      </c>
      <c r="B17" s="605">
        <v>105.0962261747901</v>
      </c>
      <c r="C17" s="605">
        <v>100.57116860349215</v>
      </c>
      <c r="D17" s="606">
        <v>105.08810825585678</v>
      </c>
      <c r="E17" s="615"/>
      <c r="F17" s="615"/>
      <c r="H17" s="613"/>
      <c r="I17" s="613"/>
      <c r="K17" s="614"/>
      <c r="L17" s="614"/>
    </row>
    <row r="18" spans="1:12" ht="19.899999999999999" customHeight="1">
      <c r="A18" s="616" t="s">
        <v>278</v>
      </c>
      <c r="B18" s="617"/>
      <c r="C18" s="617"/>
      <c r="D18" s="609"/>
      <c r="E18" s="615"/>
      <c r="F18" s="615"/>
      <c r="H18" s="613"/>
      <c r="I18" s="613"/>
      <c r="K18" s="614"/>
      <c r="L18" s="614"/>
    </row>
    <row r="19" spans="1:12" ht="19.899999999999999" customHeight="1">
      <c r="A19" s="607" t="s">
        <v>492</v>
      </c>
      <c r="B19" s="608">
        <v>105.93733624201636</v>
      </c>
      <c r="C19" s="608">
        <v>99.747709223046002</v>
      </c>
      <c r="D19" s="609">
        <v>106.39771052119129</v>
      </c>
      <c r="E19" s="615"/>
      <c r="F19" s="615"/>
      <c r="H19" s="613"/>
      <c r="I19" s="613"/>
      <c r="K19" s="614"/>
      <c r="L19" s="614"/>
    </row>
    <row r="20" spans="1:12" ht="19.899999999999999" customHeight="1">
      <c r="A20" s="607" t="s">
        <v>493</v>
      </c>
      <c r="B20" s="608">
        <v>105.08982429261604</v>
      </c>
      <c r="C20" s="608">
        <v>100.75253873485657</v>
      </c>
      <c r="D20" s="609">
        <v>104.81764877782913</v>
      </c>
      <c r="E20" s="615"/>
      <c r="F20" s="615"/>
      <c r="H20" s="613"/>
      <c r="I20" s="613"/>
      <c r="K20" s="614"/>
      <c r="L20" s="614"/>
    </row>
    <row r="21" spans="1:12" ht="19.899999999999999" customHeight="1">
      <c r="A21" s="607" t="s">
        <v>494</v>
      </c>
      <c r="B21" s="608">
        <v>100.37960825112737</v>
      </c>
      <c r="C21" s="608">
        <v>100.00378628348989</v>
      </c>
      <c r="D21" s="609">
        <v>100.19202862568237</v>
      </c>
      <c r="E21" s="615"/>
      <c r="F21" s="615"/>
      <c r="H21" s="613"/>
      <c r="I21" s="613"/>
      <c r="K21" s="614"/>
      <c r="L21" s="614"/>
    </row>
    <row r="22" spans="1:12" ht="19.899999999999999" customHeight="1">
      <c r="A22" s="607" t="s">
        <v>495</v>
      </c>
      <c r="B22" s="608">
        <v>103.37062530083887</v>
      </c>
      <c r="C22" s="608">
        <v>102.30526818084391</v>
      </c>
      <c r="D22" s="609">
        <v>102.22270059074027</v>
      </c>
      <c r="E22" s="615"/>
      <c r="F22" s="615"/>
      <c r="H22" s="613"/>
      <c r="I22" s="613"/>
      <c r="K22" s="614"/>
      <c r="L22" s="614"/>
    </row>
    <row r="23" spans="1:12" ht="19.899999999999999" customHeight="1">
      <c r="A23" s="607" t="s">
        <v>496</v>
      </c>
      <c r="B23" s="608">
        <v>115.57431093767212</v>
      </c>
      <c r="C23" s="608">
        <v>100.03483637652637</v>
      </c>
      <c r="D23" s="609">
        <v>117.54694477265535</v>
      </c>
      <c r="E23" s="615"/>
      <c r="F23" s="615"/>
      <c r="H23" s="613"/>
      <c r="I23" s="613"/>
      <c r="K23" s="614"/>
      <c r="L23" s="614"/>
    </row>
    <row r="24" spans="1:12" ht="19.899999999999999" customHeight="1">
      <c r="A24" s="607" t="s">
        <v>497</v>
      </c>
      <c r="B24" s="608">
        <v>101.44702396696805</v>
      </c>
      <c r="C24" s="608">
        <v>100.33110950649512</v>
      </c>
      <c r="D24" s="609">
        <v>101.06296070059952</v>
      </c>
    </row>
    <row r="25" spans="1:12" s="619" customFormat="1" ht="6" customHeight="1">
      <c r="A25" s="618"/>
      <c r="B25" s="618"/>
      <c r="C25" s="618"/>
      <c r="D25" s="618"/>
    </row>
    <row r="26" spans="1:12" s="619" customFormat="1" ht="21.75" customHeight="1">
      <c r="A26" s="620" t="s">
        <v>498</v>
      </c>
    </row>
    <row r="27" spans="1:12" ht="19.899999999999999" customHeight="1"/>
    <row r="28" spans="1:12" ht="19.899999999999999" customHeight="1"/>
    <row r="29" spans="1:12" ht="19.899999999999999" customHeight="1"/>
    <row r="30" spans="1:12" ht="19.899999999999999" customHeight="1"/>
  </sheetData>
  <mergeCells count="1">
    <mergeCell ref="B4:C4"/>
  </mergeCells>
  <pageMargins left="0.74803149606299202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2"/>
  <sheetViews>
    <sheetView topLeftCell="A7" workbookViewId="0">
      <selection activeCell="L15" sqref="L15"/>
    </sheetView>
  </sheetViews>
  <sheetFormatPr defaultRowHeight="25.15" customHeight="1"/>
  <cols>
    <col min="1" max="1" width="47.85546875" style="622" customWidth="1"/>
    <col min="2" max="2" width="10.85546875" style="603" customWidth="1"/>
    <col min="3" max="3" width="11.140625" style="603" customWidth="1"/>
    <col min="4" max="4" width="16.140625" style="622" customWidth="1"/>
    <col min="5" max="255" width="8.7109375" style="622"/>
    <col min="256" max="256" width="50.42578125" style="622" customWidth="1"/>
    <col min="257" max="257" width="12.28515625" style="622" customWidth="1"/>
    <col min="258" max="258" width="12.5703125" style="622" customWidth="1"/>
    <col min="259" max="259" width="11.140625" style="622" customWidth="1"/>
    <col min="260" max="511" width="8.7109375" style="622"/>
    <col min="512" max="512" width="50.42578125" style="622" customWidth="1"/>
    <col min="513" max="513" width="12.28515625" style="622" customWidth="1"/>
    <col min="514" max="514" width="12.5703125" style="622" customWidth="1"/>
    <col min="515" max="515" width="11.140625" style="622" customWidth="1"/>
    <col min="516" max="767" width="8.7109375" style="622"/>
    <col min="768" max="768" width="50.42578125" style="622" customWidth="1"/>
    <col min="769" max="769" width="12.28515625" style="622" customWidth="1"/>
    <col min="770" max="770" width="12.5703125" style="622" customWidth="1"/>
    <col min="771" max="771" width="11.140625" style="622" customWidth="1"/>
    <col min="772" max="1023" width="8.7109375" style="622"/>
    <col min="1024" max="1024" width="50.42578125" style="622" customWidth="1"/>
    <col min="1025" max="1025" width="12.28515625" style="622" customWidth="1"/>
    <col min="1026" max="1026" width="12.5703125" style="622" customWidth="1"/>
    <col min="1027" max="1027" width="11.140625" style="622" customWidth="1"/>
    <col min="1028" max="1279" width="8.7109375" style="622"/>
    <col min="1280" max="1280" width="50.42578125" style="622" customWidth="1"/>
    <col min="1281" max="1281" width="12.28515625" style="622" customWidth="1"/>
    <col min="1282" max="1282" width="12.5703125" style="622" customWidth="1"/>
    <col min="1283" max="1283" width="11.140625" style="622" customWidth="1"/>
    <col min="1284" max="1535" width="8.7109375" style="622"/>
    <col min="1536" max="1536" width="50.42578125" style="622" customWidth="1"/>
    <col min="1537" max="1537" width="12.28515625" style="622" customWidth="1"/>
    <col min="1538" max="1538" width="12.5703125" style="622" customWidth="1"/>
    <col min="1539" max="1539" width="11.140625" style="622" customWidth="1"/>
    <col min="1540" max="1791" width="8.7109375" style="622"/>
    <col min="1792" max="1792" width="50.42578125" style="622" customWidth="1"/>
    <col min="1793" max="1793" width="12.28515625" style="622" customWidth="1"/>
    <col min="1794" max="1794" width="12.5703125" style="622" customWidth="1"/>
    <col min="1795" max="1795" width="11.140625" style="622" customWidth="1"/>
    <col min="1796" max="2047" width="8.7109375" style="622"/>
    <col min="2048" max="2048" width="50.42578125" style="622" customWidth="1"/>
    <col min="2049" max="2049" width="12.28515625" style="622" customWidth="1"/>
    <col min="2050" max="2050" width="12.5703125" style="622" customWidth="1"/>
    <col min="2051" max="2051" width="11.140625" style="622" customWidth="1"/>
    <col min="2052" max="2303" width="8.7109375" style="622"/>
    <col min="2304" max="2304" width="50.42578125" style="622" customWidth="1"/>
    <col min="2305" max="2305" width="12.28515625" style="622" customWidth="1"/>
    <col min="2306" max="2306" width="12.5703125" style="622" customWidth="1"/>
    <col min="2307" max="2307" width="11.140625" style="622" customWidth="1"/>
    <col min="2308" max="2559" width="8.7109375" style="622"/>
    <col min="2560" max="2560" width="50.42578125" style="622" customWidth="1"/>
    <col min="2561" max="2561" width="12.28515625" style="622" customWidth="1"/>
    <col min="2562" max="2562" width="12.5703125" style="622" customWidth="1"/>
    <col min="2563" max="2563" width="11.140625" style="622" customWidth="1"/>
    <col min="2564" max="2815" width="8.7109375" style="622"/>
    <col min="2816" max="2816" width="50.42578125" style="622" customWidth="1"/>
    <col min="2817" max="2817" width="12.28515625" style="622" customWidth="1"/>
    <col min="2818" max="2818" width="12.5703125" style="622" customWidth="1"/>
    <col min="2819" max="2819" width="11.140625" style="622" customWidth="1"/>
    <col min="2820" max="3071" width="8.7109375" style="622"/>
    <col min="3072" max="3072" width="50.42578125" style="622" customWidth="1"/>
    <col min="3073" max="3073" width="12.28515625" style="622" customWidth="1"/>
    <col min="3074" max="3074" width="12.5703125" style="622" customWidth="1"/>
    <col min="3075" max="3075" width="11.140625" style="622" customWidth="1"/>
    <col min="3076" max="3327" width="8.7109375" style="622"/>
    <col min="3328" max="3328" width="50.42578125" style="622" customWidth="1"/>
    <col min="3329" max="3329" width="12.28515625" style="622" customWidth="1"/>
    <col min="3330" max="3330" width="12.5703125" style="622" customWidth="1"/>
    <col min="3331" max="3331" width="11.140625" style="622" customWidth="1"/>
    <col min="3332" max="3583" width="8.7109375" style="622"/>
    <col min="3584" max="3584" width="50.42578125" style="622" customWidth="1"/>
    <col min="3585" max="3585" width="12.28515625" style="622" customWidth="1"/>
    <col min="3586" max="3586" width="12.5703125" style="622" customWidth="1"/>
    <col min="3587" max="3587" width="11.140625" style="622" customWidth="1"/>
    <col min="3588" max="3839" width="8.7109375" style="622"/>
    <col min="3840" max="3840" width="50.42578125" style="622" customWidth="1"/>
    <col min="3841" max="3841" width="12.28515625" style="622" customWidth="1"/>
    <col min="3842" max="3842" width="12.5703125" style="622" customWidth="1"/>
    <col min="3843" max="3843" width="11.140625" style="622" customWidth="1"/>
    <col min="3844" max="4095" width="8.7109375" style="622"/>
    <col min="4096" max="4096" width="50.42578125" style="622" customWidth="1"/>
    <col min="4097" max="4097" width="12.28515625" style="622" customWidth="1"/>
    <col min="4098" max="4098" width="12.5703125" style="622" customWidth="1"/>
    <col min="4099" max="4099" width="11.140625" style="622" customWidth="1"/>
    <col min="4100" max="4351" width="8.7109375" style="622"/>
    <col min="4352" max="4352" width="50.42578125" style="622" customWidth="1"/>
    <col min="4353" max="4353" width="12.28515625" style="622" customWidth="1"/>
    <col min="4354" max="4354" width="12.5703125" style="622" customWidth="1"/>
    <col min="4355" max="4355" width="11.140625" style="622" customWidth="1"/>
    <col min="4356" max="4607" width="8.7109375" style="622"/>
    <col min="4608" max="4608" width="50.42578125" style="622" customWidth="1"/>
    <col min="4609" max="4609" width="12.28515625" style="622" customWidth="1"/>
    <col min="4610" max="4610" width="12.5703125" style="622" customWidth="1"/>
    <col min="4611" max="4611" width="11.140625" style="622" customWidth="1"/>
    <col min="4612" max="4863" width="8.7109375" style="622"/>
    <col min="4864" max="4864" width="50.42578125" style="622" customWidth="1"/>
    <col min="4865" max="4865" width="12.28515625" style="622" customWidth="1"/>
    <col min="4866" max="4866" width="12.5703125" style="622" customWidth="1"/>
    <col min="4867" max="4867" width="11.140625" style="622" customWidth="1"/>
    <col min="4868" max="5119" width="8.7109375" style="622"/>
    <col min="5120" max="5120" width="50.42578125" style="622" customWidth="1"/>
    <col min="5121" max="5121" width="12.28515625" style="622" customWidth="1"/>
    <col min="5122" max="5122" width="12.5703125" style="622" customWidth="1"/>
    <col min="5123" max="5123" width="11.140625" style="622" customWidth="1"/>
    <col min="5124" max="5375" width="8.7109375" style="622"/>
    <col min="5376" max="5376" width="50.42578125" style="622" customWidth="1"/>
    <col min="5377" max="5377" width="12.28515625" style="622" customWidth="1"/>
    <col min="5378" max="5378" width="12.5703125" style="622" customWidth="1"/>
    <col min="5379" max="5379" width="11.140625" style="622" customWidth="1"/>
    <col min="5380" max="5631" width="8.7109375" style="622"/>
    <col min="5632" max="5632" width="50.42578125" style="622" customWidth="1"/>
    <col min="5633" max="5633" width="12.28515625" style="622" customWidth="1"/>
    <col min="5634" max="5634" width="12.5703125" style="622" customWidth="1"/>
    <col min="5635" max="5635" width="11.140625" style="622" customWidth="1"/>
    <col min="5636" max="5887" width="8.7109375" style="622"/>
    <col min="5888" max="5888" width="50.42578125" style="622" customWidth="1"/>
    <col min="5889" max="5889" width="12.28515625" style="622" customWidth="1"/>
    <col min="5890" max="5890" width="12.5703125" style="622" customWidth="1"/>
    <col min="5891" max="5891" width="11.140625" style="622" customWidth="1"/>
    <col min="5892" max="6143" width="8.7109375" style="622"/>
    <col min="6144" max="6144" width="50.42578125" style="622" customWidth="1"/>
    <col min="6145" max="6145" width="12.28515625" style="622" customWidth="1"/>
    <col min="6146" max="6146" width="12.5703125" style="622" customWidth="1"/>
    <col min="6147" max="6147" width="11.140625" style="622" customWidth="1"/>
    <col min="6148" max="6399" width="8.7109375" style="622"/>
    <col min="6400" max="6400" width="50.42578125" style="622" customWidth="1"/>
    <col min="6401" max="6401" width="12.28515625" style="622" customWidth="1"/>
    <col min="6402" max="6402" width="12.5703125" style="622" customWidth="1"/>
    <col min="6403" max="6403" width="11.140625" style="622" customWidth="1"/>
    <col min="6404" max="6655" width="8.7109375" style="622"/>
    <col min="6656" max="6656" width="50.42578125" style="622" customWidth="1"/>
    <col min="6657" max="6657" width="12.28515625" style="622" customWidth="1"/>
    <col min="6658" max="6658" width="12.5703125" style="622" customWidth="1"/>
    <col min="6659" max="6659" width="11.140625" style="622" customWidth="1"/>
    <col min="6660" max="6911" width="8.7109375" style="622"/>
    <col min="6912" max="6912" width="50.42578125" style="622" customWidth="1"/>
    <col min="6913" max="6913" width="12.28515625" style="622" customWidth="1"/>
    <col min="6914" max="6914" width="12.5703125" style="622" customWidth="1"/>
    <col min="6915" max="6915" width="11.140625" style="622" customWidth="1"/>
    <col min="6916" max="7167" width="8.7109375" style="622"/>
    <col min="7168" max="7168" width="50.42578125" style="622" customWidth="1"/>
    <col min="7169" max="7169" width="12.28515625" style="622" customWidth="1"/>
    <col min="7170" max="7170" width="12.5703125" style="622" customWidth="1"/>
    <col min="7171" max="7171" width="11.140625" style="622" customWidth="1"/>
    <col min="7172" max="7423" width="8.7109375" style="622"/>
    <col min="7424" max="7424" width="50.42578125" style="622" customWidth="1"/>
    <col min="7425" max="7425" width="12.28515625" style="622" customWidth="1"/>
    <col min="7426" max="7426" width="12.5703125" style="622" customWidth="1"/>
    <col min="7427" max="7427" width="11.140625" style="622" customWidth="1"/>
    <col min="7428" max="7679" width="8.7109375" style="622"/>
    <col min="7680" max="7680" width="50.42578125" style="622" customWidth="1"/>
    <col min="7681" max="7681" width="12.28515625" style="622" customWidth="1"/>
    <col min="7682" max="7682" width="12.5703125" style="622" customWidth="1"/>
    <col min="7683" max="7683" width="11.140625" style="622" customWidth="1"/>
    <col min="7684" max="7935" width="8.7109375" style="622"/>
    <col min="7936" max="7936" width="50.42578125" style="622" customWidth="1"/>
    <col min="7937" max="7937" width="12.28515625" style="622" customWidth="1"/>
    <col min="7938" max="7938" width="12.5703125" style="622" customWidth="1"/>
    <col min="7939" max="7939" width="11.140625" style="622" customWidth="1"/>
    <col min="7940" max="8191" width="8.7109375" style="622"/>
    <col min="8192" max="8192" width="50.42578125" style="622" customWidth="1"/>
    <col min="8193" max="8193" width="12.28515625" style="622" customWidth="1"/>
    <col min="8194" max="8194" width="12.5703125" style="622" customWidth="1"/>
    <col min="8195" max="8195" width="11.140625" style="622" customWidth="1"/>
    <col min="8196" max="8447" width="8.7109375" style="622"/>
    <col min="8448" max="8448" width="50.42578125" style="622" customWidth="1"/>
    <col min="8449" max="8449" width="12.28515625" style="622" customWidth="1"/>
    <col min="8450" max="8450" width="12.5703125" style="622" customWidth="1"/>
    <col min="8451" max="8451" width="11.140625" style="622" customWidth="1"/>
    <col min="8452" max="8703" width="8.7109375" style="622"/>
    <col min="8704" max="8704" width="50.42578125" style="622" customWidth="1"/>
    <col min="8705" max="8705" width="12.28515625" style="622" customWidth="1"/>
    <col min="8706" max="8706" width="12.5703125" style="622" customWidth="1"/>
    <col min="8707" max="8707" width="11.140625" style="622" customWidth="1"/>
    <col min="8708" max="8959" width="8.7109375" style="622"/>
    <col min="8960" max="8960" width="50.42578125" style="622" customWidth="1"/>
    <col min="8961" max="8961" width="12.28515625" style="622" customWidth="1"/>
    <col min="8962" max="8962" width="12.5703125" style="622" customWidth="1"/>
    <col min="8963" max="8963" width="11.140625" style="622" customWidth="1"/>
    <col min="8964" max="9215" width="8.7109375" style="622"/>
    <col min="9216" max="9216" width="50.42578125" style="622" customWidth="1"/>
    <col min="9217" max="9217" width="12.28515625" style="622" customWidth="1"/>
    <col min="9218" max="9218" width="12.5703125" style="622" customWidth="1"/>
    <col min="9219" max="9219" width="11.140625" style="622" customWidth="1"/>
    <col min="9220" max="9471" width="8.7109375" style="622"/>
    <col min="9472" max="9472" width="50.42578125" style="622" customWidth="1"/>
    <col min="9473" max="9473" width="12.28515625" style="622" customWidth="1"/>
    <col min="9474" max="9474" width="12.5703125" style="622" customWidth="1"/>
    <col min="9475" max="9475" width="11.140625" style="622" customWidth="1"/>
    <col min="9476" max="9727" width="8.7109375" style="622"/>
    <col min="9728" max="9728" width="50.42578125" style="622" customWidth="1"/>
    <col min="9729" max="9729" width="12.28515625" style="622" customWidth="1"/>
    <col min="9730" max="9730" width="12.5703125" style="622" customWidth="1"/>
    <col min="9731" max="9731" width="11.140625" style="622" customWidth="1"/>
    <col min="9732" max="9983" width="8.7109375" style="622"/>
    <col min="9984" max="9984" width="50.42578125" style="622" customWidth="1"/>
    <col min="9985" max="9985" width="12.28515625" style="622" customWidth="1"/>
    <col min="9986" max="9986" width="12.5703125" style="622" customWidth="1"/>
    <col min="9987" max="9987" width="11.140625" style="622" customWidth="1"/>
    <col min="9988" max="10239" width="8.7109375" style="622"/>
    <col min="10240" max="10240" width="50.42578125" style="622" customWidth="1"/>
    <col min="10241" max="10241" width="12.28515625" style="622" customWidth="1"/>
    <col min="10242" max="10242" width="12.5703125" style="622" customWidth="1"/>
    <col min="10243" max="10243" width="11.140625" style="622" customWidth="1"/>
    <col min="10244" max="10495" width="8.7109375" style="622"/>
    <col min="10496" max="10496" width="50.42578125" style="622" customWidth="1"/>
    <col min="10497" max="10497" width="12.28515625" style="622" customWidth="1"/>
    <col min="10498" max="10498" width="12.5703125" style="622" customWidth="1"/>
    <col min="10499" max="10499" width="11.140625" style="622" customWidth="1"/>
    <col min="10500" max="10751" width="8.7109375" style="622"/>
    <col min="10752" max="10752" width="50.42578125" style="622" customWidth="1"/>
    <col min="10753" max="10753" width="12.28515625" style="622" customWidth="1"/>
    <col min="10754" max="10754" width="12.5703125" style="622" customWidth="1"/>
    <col min="10755" max="10755" width="11.140625" style="622" customWidth="1"/>
    <col min="10756" max="11007" width="8.7109375" style="622"/>
    <col min="11008" max="11008" width="50.42578125" style="622" customWidth="1"/>
    <col min="11009" max="11009" width="12.28515625" style="622" customWidth="1"/>
    <col min="11010" max="11010" width="12.5703125" style="622" customWidth="1"/>
    <col min="11011" max="11011" width="11.140625" style="622" customWidth="1"/>
    <col min="11012" max="11263" width="8.7109375" style="622"/>
    <col min="11264" max="11264" width="50.42578125" style="622" customWidth="1"/>
    <col min="11265" max="11265" width="12.28515625" style="622" customWidth="1"/>
    <col min="11266" max="11266" width="12.5703125" style="622" customWidth="1"/>
    <col min="11267" max="11267" width="11.140625" style="622" customWidth="1"/>
    <col min="11268" max="11519" width="8.7109375" style="622"/>
    <col min="11520" max="11520" width="50.42578125" style="622" customWidth="1"/>
    <col min="11521" max="11521" width="12.28515625" style="622" customWidth="1"/>
    <col min="11522" max="11522" width="12.5703125" style="622" customWidth="1"/>
    <col min="11523" max="11523" width="11.140625" style="622" customWidth="1"/>
    <col min="11524" max="11775" width="8.7109375" style="622"/>
    <col min="11776" max="11776" width="50.42578125" style="622" customWidth="1"/>
    <col min="11777" max="11777" width="12.28515625" style="622" customWidth="1"/>
    <col min="11778" max="11778" width="12.5703125" style="622" customWidth="1"/>
    <col min="11779" max="11779" width="11.140625" style="622" customWidth="1"/>
    <col min="11780" max="12031" width="8.7109375" style="622"/>
    <col min="12032" max="12032" width="50.42578125" style="622" customWidth="1"/>
    <col min="12033" max="12033" width="12.28515625" style="622" customWidth="1"/>
    <col min="12034" max="12034" width="12.5703125" style="622" customWidth="1"/>
    <col min="12035" max="12035" width="11.140625" style="622" customWidth="1"/>
    <col min="12036" max="12287" width="8.7109375" style="622"/>
    <col min="12288" max="12288" width="50.42578125" style="622" customWidth="1"/>
    <col min="12289" max="12289" width="12.28515625" style="622" customWidth="1"/>
    <col min="12290" max="12290" width="12.5703125" style="622" customWidth="1"/>
    <col min="12291" max="12291" width="11.140625" style="622" customWidth="1"/>
    <col min="12292" max="12543" width="8.7109375" style="622"/>
    <col min="12544" max="12544" width="50.42578125" style="622" customWidth="1"/>
    <col min="12545" max="12545" width="12.28515625" style="622" customWidth="1"/>
    <col min="12546" max="12546" width="12.5703125" style="622" customWidth="1"/>
    <col min="12547" max="12547" width="11.140625" style="622" customWidth="1"/>
    <col min="12548" max="12799" width="8.7109375" style="622"/>
    <col min="12800" max="12800" width="50.42578125" style="622" customWidth="1"/>
    <col min="12801" max="12801" width="12.28515625" style="622" customWidth="1"/>
    <col min="12802" max="12802" width="12.5703125" style="622" customWidth="1"/>
    <col min="12803" max="12803" width="11.140625" style="622" customWidth="1"/>
    <col min="12804" max="13055" width="8.7109375" style="622"/>
    <col min="13056" max="13056" width="50.42578125" style="622" customWidth="1"/>
    <col min="13057" max="13057" width="12.28515625" style="622" customWidth="1"/>
    <col min="13058" max="13058" width="12.5703125" style="622" customWidth="1"/>
    <col min="13059" max="13059" width="11.140625" style="622" customWidth="1"/>
    <col min="13060" max="13311" width="8.7109375" style="622"/>
    <col min="13312" max="13312" width="50.42578125" style="622" customWidth="1"/>
    <col min="13313" max="13313" width="12.28515625" style="622" customWidth="1"/>
    <col min="13314" max="13314" width="12.5703125" style="622" customWidth="1"/>
    <col min="13315" max="13315" width="11.140625" style="622" customWidth="1"/>
    <col min="13316" max="13567" width="8.7109375" style="622"/>
    <col min="13568" max="13568" width="50.42578125" style="622" customWidth="1"/>
    <col min="13569" max="13569" width="12.28515625" style="622" customWidth="1"/>
    <col min="13570" max="13570" width="12.5703125" style="622" customWidth="1"/>
    <col min="13571" max="13571" width="11.140625" style="622" customWidth="1"/>
    <col min="13572" max="13823" width="8.7109375" style="622"/>
    <col min="13824" max="13824" width="50.42578125" style="622" customWidth="1"/>
    <col min="13825" max="13825" width="12.28515625" style="622" customWidth="1"/>
    <col min="13826" max="13826" width="12.5703125" style="622" customWidth="1"/>
    <col min="13827" max="13827" width="11.140625" style="622" customWidth="1"/>
    <col min="13828" max="14079" width="8.7109375" style="622"/>
    <col min="14080" max="14080" width="50.42578125" style="622" customWidth="1"/>
    <col min="14081" max="14081" width="12.28515625" style="622" customWidth="1"/>
    <col min="14082" max="14082" width="12.5703125" style="622" customWidth="1"/>
    <col min="14083" max="14083" width="11.140625" style="622" customWidth="1"/>
    <col min="14084" max="14335" width="8.7109375" style="622"/>
    <col min="14336" max="14336" width="50.42578125" style="622" customWidth="1"/>
    <col min="14337" max="14337" width="12.28515625" style="622" customWidth="1"/>
    <col min="14338" max="14338" width="12.5703125" style="622" customWidth="1"/>
    <col min="14339" max="14339" width="11.140625" style="622" customWidth="1"/>
    <col min="14340" max="14591" width="8.7109375" style="622"/>
    <col min="14592" max="14592" width="50.42578125" style="622" customWidth="1"/>
    <col min="14593" max="14593" width="12.28515625" style="622" customWidth="1"/>
    <col min="14594" max="14594" width="12.5703125" style="622" customWidth="1"/>
    <col min="14595" max="14595" width="11.140625" style="622" customWidth="1"/>
    <col min="14596" max="14847" width="8.7109375" style="622"/>
    <col min="14848" max="14848" width="50.42578125" style="622" customWidth="1"/>
    <col min="14849" max="14849" width="12.28515625" style="622" customWidth="1"/>
    <col min="14850" max="14850" width="12.5703125" style="622" customWidth="1"/>
    <col min="14851" max="14851" width="11.140625" style="622" customWidth="1"/>
    <col min="14852" max="15103" width="8.7109375" style="622"/>
    <col min="15104" max="15104" width="50.42578125" style="622" customWidth="1"/>
    <col min="15105" max="15105" width="12.28515625" style="622" customWidth="1"/>
    <col min="15106" max="15106" width="12.5703125" style="622" customWidth="1"/>
    <col min="15107" max="15107" width="11.140625" style="622" customWidth="1"/>
    <col min="15108" max="15359" width="8.7109375" style="622"/>
    <col min="15360" max="15360" width="50.42578125" style="622" customWidth="1"/>
    <col min="15361" max="15361" width="12.28515625" style="622" customWidth="1"/>
    <col min="15362" max="15362" width="12.5703125" style="622" customWidth="1"/>
    <col min="15363" max="15363" width="11.140625" style="622" customWidth="1"/>
    <col min="15364" max="15615" width="8.7109375" style="622"/>
    <col min="15616" max="15616" width="50.42578125" style="622" customWidth="1"/>
    <col min="15617" max="15617" width="12.28515625" style="622" customWidth="1"/>
    <col min="15618" max="15618" width="12.5703125" style="622" customWidth="1"/>
    <col min="15619" max="15619" width="11.140625" style="622" customWidth="1"/>
    <col min="15620" max="15871" width="8.7109375" style="622"/>
    <col min="15872" max="15872" width="50.42578125" style="622" customWidth="1"/>
    <col min="15873" max="15873" width="12.28515625" style="622" customWidth="1"/>
    <col min="15874" max="15874" width="12.5703125" style="622" customWidth="1"/>
    <col min="15875" max="15875" width="11.140625" style="622" customWidth="1"/>
    <col min="15876" max="16127" width="8.7109375" style="622"/>
    <col min="16128" max="16128" width="50.42578125" style="622" customWidth="1"/>
    <col min="16129" max="16129" width="12.28515625" style="622" customWidth="1"/>
    <col min="16130" max="16130" width="12.5703125" style="622" customWidth="1"/>
    <col min="16131" max="16131" width="11.140625" style="622" customWidth="1"/>
    <col min="16132" max="16384" width="8.7109375" style="622"/>
  </cols>
  <sheetData>
    <row r="1" spans="1:8" ht="20.100000000000001" customHeight="1">
      <c r="A1" s="587" t="s">
        <v>499</v>
      </c>
      <c r="B1" s="621"/>
      <c r="C1" s="622"/>
      <c r="F1" s="589"/>
      <c r="G1" s="621"/>
      <c r="H1" s="621"/>
    </row>
    <row r="2" spans="1:8" ht="20.100000000000001" customHeight="1">
      <c r="A2" s="623"/>
      <c r="B2" s="623"/>
      <c r="C2" s="624"/>
      <c r="F2" s="589"/>
      <c r="G2" s="621"/>
      <c r="H2" s="621"/>
    </row>
    <row r="3" spans="1:8" ht="20.100000000000001" customHeight="1">
      <c r="A3" s="625"/>
      <c r="B3" s="626"/>
      <c r="C3" s="627"/>
      <c r="D3" s="628" t="s">
        <v>82</v>
      </c>
      <c r="F3" s="589"/>
    </row>
    <row r="4" spans="1:8" ht="20.100000000000001" customHeight="1">
      <c r="A4" s="595"/>
      <c r="B4" s="964" t="s">
        <v>482</v>
      </c>
      <c r="C4" s="964"/>
      <c r="D4" s="596" t="s">
        <v>86</v>
      </c>
      <c r="F4" s="589"/>
    </row>
    <row r="5" spans="1:8" ht="20.100000000000001" customHeight="1">
      <c r="A5" s="597"/>
      <c r="B5" s="598" t="s">
        <v>43</v>
      </c>
      <c r="C5" s="598" t="s">
        <v>42</v>
      </c>
      <c r="D5" s="599" t="s">
        <v>483</v>
      </c>
      <c r="F5" s="600"/>
    </row>
    <row r="6" spans="1:8" ht="20.100000000000001" customHeight="1">
      <c r="A6" s="597"/>
      <c r="B6" s="601" t="s">
        <v>88</v>
      </c>
      <c r="C6" s="601" t="s">
        <v>87</v>
      </c>
      <c r="D6" s="602" t="s">
        <v>88</v>
      </c>
      <c r="F6" s="600"/>
    </row>
    <row r="7" spans="1:8" ht="20.100000000000001" customHeight="1">
      <c r="A7" s="597"/>
      <c r="B7" s="629"/>
      <c r="C7" s="629"/>
      <c r="F7" s="603"/>
    </row>
    <row r="8" spans="1:8" s="633" customFormat="1" ht="20.100000000000001" customHeight="1">
      <c r="A8" s="630" t="s">
        <v>500</v>
      </c>
      <c r="B8" s="631">
        <v>105.93733624201636</v>
      </c>
      <c r="C8" s="631">
        <v>99.747709223046002</v>
      </c>
      <c r="D8" s="632">
        <v>106.39771052119129</v>
      </c>
      <c r="F8" s="603"/>
    </row>
    <row r="9" spans="1:8" ht="20.100000000000001" customHeight="1">
      <c r="A9" s="634" t="s">
        <v>501</v>
      </c>
      <c r="B9" s="631">
        <v>103.47629670668992</v>
      </c>
      <c r="C9" s="631">
        <v>100.28692227095044</v>
      </c>
      <c r="D9" s="632">
        <v>102.93454541690369</v>
      </c>
      <c r="F9" s="603"/>
    </row>
    <row r="10" spans="1:8" ht="20.100000000000001" customHeight="1">
      <c r="A10" s="607" t="s">
        <v>502</v>
      </c>
      <c r="B10" s="635">
        <v>100.78234426330054</v>
      </c>
      <c r="C10" s="635">
        <v>89.953754264482754</v>
      </c>
      <c r="D10" s="636">
        <v>100.94445630972862</v>
      </c>
      <c r="F10" s="603"/>
    </row>
    <row r="11" spans="1:8" ht="20.100000000000001" customHeight="1">
      <c r="A11" s="607" t="s">
        <v>503</v>
      </c>
      <c r="B11" s="635">
        <v>103.46463753665238</v>
      </c>
      <c r="C11" s="635">
        <v>100.43855013648601</v>
      </c>
      <c r="D11" s="636">
        <v>102.74666540879026</v>
      </c>
      <c r="F11" s="603"/>
    </row>
    <row r="12" spans="1:8" ht="20.100000000000001" customHeight="1">
      <c r="A12" s="634" t="s">
        <v>504</v>
      </c>
      <c r="B12" s="631">
        <v>103.51076776234187</v>
      </c>
      <c r="C12" s="631">
        <v>100.55471863327479</v>
      </c>
      <c r="D12" s="632">
        <v>102.92503634815216</v>
      </c>
      <c r="F12" s="603"/>
    </row>
    <row r="13" spans="1:8" ht="20.100000000000001" customHeight="1">
      <c r="A13" s="607" t="s">
        <v>505</v>
      </c>
      <c r="B13" s="635">
        <v>104.12221829579755</v>
      </c>
      <c r="C13" s="635">
        <v>100.71760162345636</v>
      </c>
      <c r="D13" s="636">
        <v>103.41133632215453</v>
      </c>
      <c r="F13" s="603"/>
    </row>
    <row r="14" spans="1:8" ht="20.100000000000001" customHeight="1">
      <c r="A14" s="607" t="s">
        <v>506</v>
      </c>
      <c r="B14" s="635">
        <v>102.23195056997372</v>
      </c>
      <c r="C14" s="635">
        <v>100.23148845230783</v>
      </c>
      <c r="D14" s="636">
        <v>101.90619592173377</v>
      </c>
      <c r="F14" s="603"/>
    </row>
    <row r="15" spans="1:8" ht="20.100000000000001" customHeight="1">
      <c r="A15" s="604" t="s">
        <v>507</v>
      </c>
      <c r="B15" s="631">
        <v>145.17462413500297</v>
      </c>
      <c r="C15" s="631">
        <v>93.306896206064792</v>
      </c>
      <c r="D15" s="632">
        <v>162.78596127783442</v>
      </c>
      <c r="F15" s="603"/>
      <c r="G15" s="637"/>
    </row>
    <row r="16" spans="1:8" ht="30" customHeight="1">
      <c r="A16" s="638" t="s">
        <v>508</v>
      </c>
      <c r="B16" s="631">
        <v>101.51871329491459</v>
      </c>
      <c r="C16" s="631">
        <v>100.93588955673434</v>
      </c>
      <c r="D16" s="632">
        <v>101.90151901344636</v>
      </c>
      <c r="F16" s="612"/>
      <c r="G16" s="639"/>
    </row>
    <row r="17" spans="1:6" ht="20.100000000000001" customHeight="1">
      <c r="A17" s="640" t="s">
        <v>509</v>
      </c>
      <c r="B17" s="635"/>
      <c r="C17" s="635"/>
      <c r="D17" s="636"/>
      <c r="F17" s="615"/>
    </row>
    <row r="18" spans="1:6" ht="20.100000000000001" customHeight="1">
      <c r="A18" s="607" t="s">
        <v>510</v>
      </c>
      <c r="B18" s="635">
        <v>101.75064781928268</v>
      </c>
      <c r="C18" s="635">
        <v>100.99485491499922</v>
      </c>
      <c r="D18" s="636">
        <v>102.1096946127185</v>
      </c>
      <c r="F18" s="615"/>
    </row>
    <row r="19" spans="1:6" ht="20.100000000000001" customHeight="1">
      <c r="A19" s="607" t="s">
        <v>511</v>
      </c>
      <c r="B19" s="635">
        <v>100.9207905706717</v>
      </c>
      <c r="C19" s="635">
        <v>99.958873486593674</v>
      </c>
      <c r="D19" s="636">
        <v>100.66608300193718</v>
      </c>
      <c r="F19" s="615"/>
    </row>
    <row r="20" spans="1:6" ht="20.100000000000001" customHeight="1">
      <c r="A20" s="641" t="s">
        <v>512</v>
      </c>
      <c r="B20" s="631">
        <v>100.54830004928125</v>
      </c>
      <c r="C20" s="631">
        <v>100.2911115026661</v>
      </c>
      <c r="D20" s="632">
        <v>100.60436341849349</v>
      </c>
      <c r="F20" s="615"/>
    </row>
    <row r="21" spans="1:6" s="619" customFormat="1" ht="6" customHeight="1">
      <c r="A21" s="618"/>
      <c r="B21" s="618"/>
      <c r="C21" s="618"/>
      <c r="D21" s="618"/>
    </row>
    <row r="22" spans="1:6" s="619" customFormat="1" ht="21.75" customHeight="1">
      <c r="A22" s="620" t="s">
        <v>498</v>
      </c>
    </row>
    <row r="23" spans="1:6" ht="20.100000000000001" customHeight="1">
      <c r="A23" s="642"/>
      <c r="B23" s="635"/>
      <c r="C23" s="635"/>
      <c r="F23" s="615"/>
    </row>
    <row r="24" spans="1:6" ht="20.100000000000001" customHeight="1">
      <c r="A24" s="642"/>
      <c r="B24" s="635"/>
      <c r="C24" s="635"/>
      <c r="F24" s="603"/>
    </row>
    <row r="25" spans="1:6" ht="20.100000000000001" customHeight="1">
      <c r="A25" s="642"/>
      <c r="B25" s="635"/>
      <c r="C25" s="635"/>
      <c r="F25" s="603"/>
    </row>
    <row r="26" spans="1:6" ht="20.100000000000001" customHeight="1">
      <c r="A26" s="643"/>
      <c r="B26" s="644"/>
      <c r="C26" s="644"/>
      <c r="F26" s="603"/>
    </row>
    <row r="27" spans="1:6" ht="20.100000000000001" customHeight="1">
      <c r="A27" s="643"/>
      <c r="B27" s="644"/>
      <c r="C27" s="644"/>
      <c r="F27" s="603"/>
    </row>
    <row r="28" spans="1:6" ht="20.100000000000001" customHeight="1">
      <c r="A28" s="643"/>
      <c r="B28" s="644"/>
      <c r="C28" s="644"/>
      <c r="F28" s="603"/>
    </row>
    <row r="29" spans="1:6" ht="20.100000000000001" customHeight="1">
      <c r="A29" s="643"/>
      <c r="B29" s="644"/>
      <c r="C29" s="644"/>
      <c r="F29" s="603"/>
    </row>
    <row r="30" spans="1:6" ht="20.100000000000001" customHeight="1">
      <c r="A30" s="643"/>
      <c r="B30" s="644"/>
      <c r="C30" s="644"/>
      <c r="F30" s="603"/>
    </row>
    <row r="31" spans="1:6" ht="20.100000000000001" customHeight="1">
      <c r="A31" s="645"/>
      <c r="B31" s="627"/>
      <c r="C31" s="627"/>
      <c r="F31" s="603"/>
    </row>
    <row r="32" spans="1:6" ht="20.100000000000001" customHeight="1">
      <c r="A32" s="645"/>
      <c r="B32" s="627"/>
      <c r="C32" s="627"/>
      <c r="F32" s="603"/>
    </row>
    <row r="33" spans="1:6" ht="20.100000000000001" customHeight="1">
      <c r="A33" s="645"/>
      <c r="B33" s="627"/>
      <c r="C33" s="627"/>
      <c r="F33" s="603"/>
    </row>
    <row r="34" spans="1:6" ht="20.100000000000001" customHeight="1">
      <c r="A34" s="645"/>
      <c r="B34" s="627"/>
      <c r="C34" s="627"/>
      <c r="F34" s="603"/>
    </row>
    <row r="35" spans="1:6" ht="20.100000000000001" customHeight="1">
      <c r="A35" s="645"/>
      <c r="B35" s="627"/>
      <c r="C35" s="627"/>
      <c r="F35" s="603"/>
    </row>
    <row r="36" spans="1:6" ht="20.100000000000001" customHeight="1">
      <c r="A36" s="645"/>
      <c r="B36" s="627"/>
      <c r="C36" s="627"/>
      <c r="F36" s="603"/>
    </row>
    <row r="37" spans="1:6" ht="20.100000000000001" customHeight="1">
      <c r="A37" s="645"/>
      <c r="B37" s="627"/>
      <c r="C37" s="627"/>
      <c r="F37" s="603"/>
    </row>
    <row r="38" spans="1:6" ht="20.100000000000001" customHeight="1">
      <c r="A38" s="645"/>
      <c r="B38" s="627"/>
      <c r="C38" s="627"/>
      <c r="F38" s="603"/>
    </row>
    <row r="39" spans="1:6" ht="20.100000000000001" customHeight="1">
      <c r="A39" s="645"/>
      <c r="B39" s="627"/>
      <c r="C39" s="627"/>
      <c r="F39" s="603"/>
    </row>
    <row r="40" spans="1:6" ht="20.100000000000001" customHeight="1">
      <c r="A40" s="645"/>
      <c r="B40" s="627"/>
      <c r="C40" s="627"/>
      <c r="F40" s="603"/>
    </row>
    <row r="41" spans="1:6" ht="20.100000000000001" customHeight="1">
      <c r="A41" s="645"/>
      <c r="B41" s="627"/>
      <c r="C41" s="627"/>
      <c r="F41" s="603"/>
    </row>
    <row r="42" spans="1:6" ht="20.100000000000001" customHeight="1">
      <c r="A42" s="645"/>
      <c r="B42" s="627"/>
      <c r="C42" s="627"/>
      <c r="F42" s="603"/>
    </row>
    <row r="43" spans="1:6" ht="20.100000000000001" customHeight="1">
      <c r="A43" s="645"/>
      <c r="F43" s="603"/>
    </row>
    <row r="44" spans="1:6" ht="20.100000000000001" customHeight="1">
      <c r="A44" s="645"/>
      <c r="F44" s="603"/>
    </row>
    <row r="45" spans="1:6" ht="20.100000000000001" customHeight="1">
      <c r="A45" s="645"/>
      <c r="F45" s="603"/>
    </row>
    <row r="46" spans="1:6" ht="20.100000000000001" customHeight="1">
      <c r="A46" s="645"/>
      <c r="F46" s="603"/>
    </row>
    <row r="47" spans="1:6" ht="20.100000000000001" customHeight="1">
      <c r="A47" s="645"/>
      <c r="F47" s="603"/>
    </row>
    <row r="48" spans="1:6" ht="20.100000000000001" customHeight="1">
      <c r="A48" s="645"/>
      <c r="F48" s="603"/>
    </row>
    <row r="49" spans="1:6" ht="20.100000000000001" customHeight="1">
      <c r="A49" s="603"/>
      <c r="D49" s="603"/>
      <c r="E49" s="603"/>
      <c r="F49" s="603"/>
    </row>
    <row r="50" spans="1:6" ht="20.100000000000001" customHeight="1">
      <c r="A50" s="603"/>
      <c r="D50" s="603"/>
      <c r="E50" s="603"/>
      <c r="F50" s="603"/>
    </row>
    <row r="51" spans="1:6" ht="20.100000000000001" customHeight="1">
      <c r="A51" s="603"/>
      <c r="D51" s="603"/>
      <c r="E51" s="603"/>
      <c r="F51" s="603"/>
    </row>
    <row r="52" spans="1:6" ht="20.100000000000001" customHeight="1">
      <c r="A52" s="603"/>
      <c r="D52" s="603"/>
      <c r="E52" s="603"/>
      <c r="F52" s="603"/>
    </row>
    <row r="53" spans="1:6" ht="20.100000000000001" customHeight="1">
      <c r="A53" s="603"/>
      <c r="D53" s="603"/>
      <c r="E53" s="603"/>
      <c r="F53" s="603"/>
    </row>
    <row r="54" spans="1:6" ht="20.100000000000001" customHeight="1">
      <c r="A54" s="603"/>
      <c r="D54" s="603"/>
      <c r="E54" s="603"/>
      <c r="F54" s="603"/>
    </row>
    <row r="55" spans="1:6" ht="20.100000000000001" customHeight="1">
      <c r="A55" s="603"/>
      <c r="D55" s="603"/>
      <c r="E55" s="603"/>
      <c r="F55" s="603"/>
    </row>
    <row r="56" spans="1:6" ht="20.100000000000001" customHeight="1">
      <c r="A56" s="603"/>
      <c r="D56" s="603"/>
      <c r="E56" s="603"/>
      <c r="F56" s="603"/>
    </row>
    <row r="57" spans="1:6" ht="20.100000000000001" customHeight="1">
      <c r="A57" s="603"/>
      <c r="D57" s="603"/>
      <c r="E57" s="603"/>
      <c r="F57" s="603"/>
    </row>
    <row r="58" spans="1:6" ht="20.100000000000001" customHeight="1">
      <c r="A58" s="603"/>
      <c r="D58" s="603"/>
      <c r="E58" s="603"/>
      <c r="F58" s="603"/>
    </row>
    <row r="59" spans="1:6" ht="25.15" customHeight="1">
      <c r="A59" s="603"/>
      <c r="D59" s="603"/>
      <c r="E59" s="603"/>
      <c r="F59" s="603"/>
    </row>
    <row r="60" spans="1:6" ht="25.15" customHeight="1">
      <c r="A60" s="603"/>
      <c r="D60" s="603"/>
      <c r="E60" s="603"/>
      <c r="F60" s="603"/>
    </row>
    <row r="61" spans="1:6" ht="25.15" customHeight="1">
      <c r="A61" s="603"/>
      <c r="D61" s="603"/>
      <c r="E61" s="603"/>
      <c r="F61" s="603"/>
    </row>
    <row r="62" spans="1:6" ht="25.15" customHeight="1">
      <c r="A62" s="603"/>
      <c r="D62" s="603"/>
      <c r="E62" s="603"/>
      <c r="F62" s="603"/>
    </row>
    <row r="63" spans="1:6" ht="25.15" customHeight="1">
      <c r="A63" s="603"/>
      <c r="D63" s="603"/>
      <c r="E63" s="603"/>
      <c r="F63" s="603"/>
    </row>
    <row r="64" spans="1:6" ht="25.15" customHeight="1">
      <c r="A64" s="603"/>
      <c r="D64" s="603"/>
      <c r="E64" s="603"/>
      <c r="F64" s="603"/>
    </row>
    <row r="65" spans="1:6" ht="25.15" customHeight="1">
      <c r="A65" s="603"/>
      <c r="D65" s="603"/>
      <c r="E65" s="603"/>
      <c r="F65" s="603"/>
    </row>
    <row r="66" spans="1:6" ht="25.15" customHeight="1">
      <c r="A66" s="603"/>
      <c r="D66" s="603"/>
      <c r="E66" s="603"/>
      <c r="F66" s="603"/>
    </row>
    <row r="67" spans="1:6" ht="25.15" customHeight="1">
      <c r="A67" s="603"/>
      <c r="D67" s="603"/>
      <c r="E67" s="603"/>
      <c r="F67" s="603"/>
    </row>
    <row r="68" spans="1:6" ht="25.15" customHeight="1">
      <c r="A68" s="603"/>
      <c r="D68" s="603"/>
      <c r="E68" s="603"/>
      <c r="F68" s="603"/>
    </row>
    <row r="69" spans="1:6" ht="25.15" customHeight="1">
      <c r="A69" s="603"/>
      <c r="D69" s="603"/>
      <c r="E69" s="603"/>
      <c r="F69" s="603"/>
    </row>
    <row r="70" spans="1:6" ht="25.15" customHeight="1">
      <c r="A70" s="603"/>
      <c r="D70" s="603"/>
      <c r="E70" s="603"/>
      <c r="F70" s="603"/>
    </row>
    <row r="71" spans="1:6" ht="25.15" customHeight="1">
      <c r="A71" s="603"/>
      <c r="D71" s="603"/>
      <c r="E71" s="603"/>
      <c r="F71" s="603"/>
    </row>
    <row r="72" spans="1:6" ht="25.15" customHeight="1">
      <c r="A72" s="603"/>
      <c r="D72" s="603"/>
      <c r="E72" s="603"/>
      <c r="F72" s="603"/>
    </row>
    <row r="73" spans="1:6" ht="25.15" customHeight="1">
      <c r="A73" s="603"/>
      <c r="D73" s="603"/>
      <c r="E73" s="603"/>
      <c r="F73" s="603"/>
    </row>
    <row r="74" spans="1:6" ht="25.15" customHeight="1">
      <c r="A74" s="603"/>
      <c r="D74" s="603"/>
      <c r="E74" s="603"/>
      <c r="F74" s="603"/>
    </row>
    <row r="75" spans="1:6" ht="25.15" customHeight="1">
      <c r="A75" s="603"/>
      <c r="D75" s="603"/>
      <c r="E75" s="603"/>
      <c r="F75" s="603"/>
    </row>
    <row r="76" spans="1:6" ht="25.15" customHeight="1">
      <c r="A76" s="603"/>
      <c r="D76" s="603"/>
      <c r="E76" s="603"/>
      <c r="F76" s="603"/>
    </row>
    <row r="77" spans="1:6" ht="25.15" customHeight="1">
      <c r="A77" s="603"/>
      <c r="D77" s="603"/>
      <c r="E77" s="603"/>
      <c r="F77" s="603"/>
    </row>
    <row r="78" spans="1:6" ht="25.15" customHeight="1">
      <c r="A78" s="603"/>
      <c r="D78" s="603"/>
      <c r="E78" s="603"/>
      <c r="F78" s="603"/>
    </row>
    <row r="79" spans="1:6" ht="25.15" customHeight="1">
      <c r="A79" s="603"/>
      <c r="D79" s="603"/>
      <c r="E79" s="603"/>
      <c r="F79" s="603"/>
    </row>
    <row r="80" spans="1:6" ht="25.15" customHeight="1">
      <c r="A80" s="603"/>
      <c r="D80" s="603"/>
      <c r="E80" s="603"/>
      <c r="F80" s="603"/>
    </row>
    <row r="81" spans="1:6" ht="25.15" customHeight="1">
      <c r="A81" s="603"/>
      <c r="D81" s="603"/>
      <c r="E81" s="603"/>
      <c r="F81" s="603"/>
    </row>
    <row r="82" spans="1:6" ht="25.15" customHeight="1">
      <c r="A82" s="603"/>
      <c r="D82" s="603"/>
      <c r="E82" s="603"/>
      <c r="F82" s="603"/>
    </row>
    <row r="83" spans="1:6" ht="25.15" customHeight="1">
      <c r="A83" s="603"/>
      <c r="D83" s="603"/>
      <c r="E83" s="603"/>
      <c r="F83" s="603"/>
    </row>
    <row r="84" spans="1:6" ht="25.15" customHeight="1">
      <c r="A84" s="603"/>
      <c r="D84" s="603"/>
      <c r="E84" s="603"/>
      <c r="F84" s="603"/>
    </row>
    <row r="85" spans="1:6" ht="25.15" customHeight="1">
      <c r="A85" s="603"/>
      <c r="D85" s="603"/>
      <c r="E85" s="603"/>
      <c r="F85" s="603"/>
    </row>
    <row r="86" spans="1:6" ht="25.15" customHeight="1">
      <c r="A86" s="603"/>
      <c r="D86" s="603"/>
      <c r="E86" s="603"/>
      <c r="F86" s="603"/>
    </row>
    <row r="87" spans="1:6" ht="25.15" customHeight="1">
      <c r="A87" s="603"/>
      <c r="D87" s="603"/>
      <c r="E87" s="603"/>
      <c r="F87" s="603"/>
    </row>
    <row r="88" spans="1:6" ht="25.15" customHeight="1">
      <c r="A88" s="603"/>
      <c r="D88" s="603"/>
      <c r="E88" s="603"/>
      <c r="F88" s="603"/>
    </row>
    <row r="89" spans="1:6" ht="25.15" customHeight="1">
      <c r="A89" s="603"/>
      <c r="D89" s="603"/>
      <c r="E89" s="603"/>
      <c r="F89" s="603"/>
    </row>
    <row r="90" spans="1:6" ht="25.15" customHeight="1">
      <c r="A90" s="603"/>
      <c r="D90" s="603"/>
      <c r="E90" s="603"/>
      <c r="F90" s="603"/>
    </row>
    <row r="91" spans="1:6" ht="25.15" customHeight="1">
      <c r="A91" s="603"/>
      <c r="D91" s="603"/>
      <c r="E91" s="603"/>
      <c r="F91" s="603"/>
    </row>
    <row r="92" spans="1:6" ht="25.15" customHeight="1">
      <c r="A92" s="603"/>
      <c r="D92" s="603"/>
      <c r="E92" s="603"/>
      <c r="F92" s="603"/>
    </row>
    <row r="93" spans="1:6" ht="25.15" customHeight="1">
      <c r="A93" s="603"/>
      <c r="D93" s="603"/>
      <c r="E93" s="603"/>
      <c r="F93" s="603"/>
    </row>
    <row r="94" spans="1:6" ht="25.15" customHeight="1">
      <c r="A94" s="603"/>
      <c r="D94" s="603"/>
      <c r="E94" s="603"/>
      <c r="F94" s="603"/>
    </row>
    <row r="95" spans="1:6" ht="25.15" customHeight="1">
      <c r="A95" s="603"/>
      <c r="D95" s="603"/>
      <c r="E95" s="603"/>
      <c r="F95" s="603"/>
    </row>
    <row r="96" spans="1:6" ht="25.15" customHeight="1">
      <c r="A96" s="603"/>
      <c r="D96" s="603"/>
      <c r="E96" s="603"/>
      <c r="F96" s="603"/>
    </row>
    <row r="97" spans="1:6" ht="25.15" customHeight="1">
      <c r="A97" s="603"/>
      <c r="D97" s="603"/>
      <c r="E97" s="603"/>
      <c r="F97" s="603"/>
    </row>
    <row r="98" spans="1:6" ht="25.15" customHeight="1">
      <c r="A98" s="603"/>
      <c r="D98" s="603"/>
      <c r="E98" s="603"/>
      <c r="F98" s="603"/>
    </row>
    <row r="99" spans="1:6" ht="25.15" customHeight="1">
      <c r="A99" s="603"/>
      <c r="D99" s="603"/>
      <c r="E99" s="603"/>
      <c r="F99" s="603"/>
    </row>
    <row r="100" spans="1:6" ht="25.15" customHeight="1">
      <c r="A100" s="603"/>
      <c r="D100" s="603"/>
      <c r="E100" s="603"/>
      <c r="F100" s="603"/>
    </row>
    <row r="101" spans="1:6" ht="25.15" customHeight="1">
      <c r="A101" s="603"/>
      <c r="D101" s="603"/>
      <c r="E101" s="603"/>
      <c r="F101" s="603"/>
    </row>
    <row r="102" spans="1:6" ht="25.15" customHeight="1">
      <c r="A102" s="603"/>
      <c r="D102" s="603"/>
      <c r="E102" s="603"/>
      <c r="F102" s="603"/>
    </row>
    <row r="103" spans="1:6" ht="25.15" customHeight="1">
      <c r="A103" s="603"/>
      <c r="D103" s="603"/>
      <c r="E103" s="603"/>
      <c r="F103" s="603"/>
    </row>
    <row r="104" spans="1:6" ht="25.15" customHeight="1">
      <c r="A104" s="603"/>
      <c r="D104" s="603"/>
      <c r="E104" s="603"/>
      <c r="F104" s="603"/>
    </row>
    <row r="105" spans="1:6" ht="25.15" customHeight="1">
      <c r="A105" s="603"/>
      <c r="D105" s="603"/>
      <c r="E105" s="603"/>
      <c r="F105" s="603"/>
    </row>
    <row r="106" spans="1:6" ht="25.15" customHeight="1">
      <c r="A106" s="603"/>
      <c r="D106" s="603"/>
      <c r="E106" s="603"/>
      <c r="F106" s="603"/>
    </row>
    <row r="107" spans="1:6" ht="25.15" customHeight="1">
      <c r="A107" s="603"/>
      <c r="D107" s="603"/>
      <c r="E107" s="603"/>
      <c r="F107" s="603"/>
    </row>
    <row r="108" spans="1:6" ht="25.15" customHeight="1">
      <c r="A108" s="603"/>
      <c r="D108" s="603"/>
      <c r="E108" s="603"/>
      <c r="F108" s="603"/>
    </row>
    <row r="109" spans="1:6" ht="25.15" customHeight="1">
      <c r="A109" s="603"/>
      <c r="D109" s="603"/>
      <c r="E109" s="603"/>
      <c r="F109" s="603"/>
    </row>
    <row r="110" spans="1:6" ht="25.15" customHeight="1">
      <c r="A110" s="603"/>
      <c r="D110" s="603"/>
      <c r="E110" s="603"/>
      <c r="F110" s="603"/>
    </row>
    <row r="111" spans="1:6" ht="25.15" customHeight="1">
      <c r="A111" s="603"/>
      <c r="D111" s="603"/>
      <c r="E111" s="603"/>
      <c r="F111" s="603"/>
    </row>
    <row r="112" spans="1:6" ht="25.15" customHeight="1">
      <c r="A112" s="603"/>
      <c r="D112" s="603"/>
      <c r="E112" s="603"/>
      <c r="F112" s="603"/>
    </row>
  </sheetData>
  <mergeCells count="1">
    <mergeCell ref="B4:C4"/>
  </mergeCells>
  <pageMargins left="0.74803149606299202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2"/>
  <sheetViews>
    <sheetView workbookViewId="0">
      <selection activeCell="L15" sqref="L15"/>
    </sheetView>
  </sheetViews>
  <sheetFormatPr defaultColWidth="9.140625" defaultRowHeight="25.15" customHeight="1"/>
  <cols>
    <col min="1" max="1" width="51.85546875" style="622" customWidth="1"/>
    <col min="2" max="2" width="10.85546875" style="603" customWidth="1"/>
    <col min="3" max="3" width="11.140625" style="603" customWidth="1"/>
    <col min="4" max="4" width="15.140625" style="622" customWidth="1"/>
    <col min="5" max="16384" width="9.140625" style="622"/>
  </cols>
  <sheetData>
    <row r="1" spans="1:8" ht="20.100000000000001" customHeight="1">
      <c r="A1" s="587" t="s">
        <v>513</v>
      </c>
      <c r="B1" s="621"/>
      <c r="C1" s="622"/>
      <c r="F1" s="589"/>
      <c r="G1" s="621"/>
      <c r="H1" s="621"/>
    </row>
    <row r="2" spans="1:8" ht="20.100000000000001" customHeight="1">
      <c r="A2" s="623"/>
      <c r="B2" s="623"/>
      <c r="C2" s="624"/>
      <c r="F2" s="589"/>
      <c r="G2" s="621"/>
      <c r="H2" s="621"/>
    </row>
    <row r="3" spans="1:8" ht="20.100000000000001" customHeight="1">
      <c r="A3" s="625"/>
      <c r="B3" s="626"/>
      <c r="C3" s="627"/>
      <c r="D3" s="628" t="s">
        <v>82</v>
      </c>
      <c r="F3" s="589"/>
    </row>
    <row r="4" spans="1:8" ht="20.100000000000001" customHeight="1">
      <c r="A4" s="595"/>
      <c r="B4" s="964" t="s">
        <v>482</v>
      </c>
      <c r="C4" s="964"/>
      <c r="D4" s="596" t="s">
        <v>86</v>
      </c>
      <c r="F4" s="589"/>
    </row>
    <row r="5" spans="1:8" ht="20.100000000000001" customHeight="1">
      <c r="A5" s="597"/>
      <c r="B5" s="598" t="s">
        <v>43</v>
      </c>
      <c r="C5" s="598" t="s">
        <v>42</v>
      </c>
      <c r="D5" s="599" t="s">
        <v>483</v>
      </c>
      <c r="F5" s="600"/>
    </row>
    <row r="6" spans="1:8" ht="20.100000000000001" customHeight="1">
      <c r="A6" s="597"/>
      <c r="B6" s="601" t="s">
        <v>88</v>
      </c>
      <c r="C6" s="601" t="s">
        <v>87</v>
      </c>
      <c r="D6" s="602" t="s">
        <v>88</v>
      </c>
      <c r="F6" s="600"/>
    </row>
    <row r="7" spans="1:8" ht="20.100000000000001" customHeight="1">
      <c r="A7" s="597"/>
      <c r="B7" s="629"/>
      <c r="C7" s="629"/>
      <c r="F7" s="603"/>
    </row>
    <row r="8" spans="1:8" s="633" customFormat="1" ht="20.100000000000001" customHeight="1">
      <c r="A8" s="630" t="s">
        <v>500</v>
      </c>
      <c r="B8" s="631">
        <v>105.15738339519534</v>
      </c>
      <c r="C8" s="631">
        <v>101.27454787569926</v>
      </c>
      <c r="D8" s="632">
        <v>104.35685584818272</v>
      </c>
      <c r="F8" s="603"/>
    </row>
    <row r="9" spans="1:8" ht="20.100000000000001" customHeight="1">
      <c r="A9" s="630" t="s">
        <v>514</v>
      </c>
      <c r="B9" s="635"/>
      <c r="C9" s="635"/>
      <c r="F9" s="603"/>
    </row>
    <row r="10" spans="1:8" ht="20.100000000000001" customHeight="1">
      <c r="A10" s="642" t="s">
        <v>515</v>
      </c>
      <c r="B10" s="635">
        <v>103.09657894183357</v>
      </c>
      <c r="C10" s="635">
        <v>100.42126497030084</v>
      </c>
      <c r="D10" s="636">
        <v>102.32857328172024</v>
      </c>
      <c r="F10" s="603"/>
    </row>
    <row r="11" spans="1:8" ht="20.100000000000001" customHeight="1">
      <c r="A11" s="642" t="s">
        <v>516</v>
      </c>
      <c r="B11" s="635">
        <v>105.25558791005513</v>
      </c>
      <c r="C11" s="635">
        <v>101.30333046333379</v>
      </c>
      <c r="D11" s="636">
        <v>104.383920340749</v>
      </c>
      <c r="F11" s="603"/>
    </row>
    <row r="12" spans="1:8" ht="20.100000000000001" customHeight="1">
      <c r="A12" s="642" t="s">
        <v>517</v>
      </c>
      <c r="B12" s="635">
        <v>105.41365790362609</v>
      </c>
      <c r="C12" s="635">
        <v>100.76937517822748</v>
      </c>
      <c r="D12" s="636">
        <v>103.09547344609604</v>
      </c>
      <c r="F12" s="603"/>
    </row>
    <row r="13" spans="1:8" ht="20.100000000000001" customHeight="1">
      <c r="A13" s="630" t="s">
        <v>518</v>
      </c>
      <c r="B13" s="635"/>
      <c r="C13" s="635"/>
      <c r="F13" s="603"/>
    </row>
    <row r="14" spans="1:8" ht="20.100000000000001" customHeight="1">
      <c r="A14" s="642" t="s">
        <v>519</v>
      </c>
      <c r="B14" s="635">
        <v>104.77617872428209</v>
      </c>
      <c r="C14" s="635">
        <v>101.72718473364888</v>
      </c>
      <c r="D14" s="636">
        <v>104.86556546803411</v>
      </c>
      <c r="F14" s="603"/>
    </row>
    <row r="15" spans="1:8" ht="20.100000000000001" customHeight="1">
      <c r="A15" s="642" t="s">
        <v>520</v>
      </c>
      <c r="B15" s="635">
        <v>111.72405769932288</v>
      </c>
      <c r="C15" s="635">
        <v>101.77725974146006</v>
      </c>
      <c r="D15" s="636">
        <v>107.71343223115714</v>
      </c>
      <c r="F15" s="603"/>
    </row>
    <row r="16" spans="1:8" ht="20.100000000000001" customHeight="1">
      <c r="A16" s="642" t="s">
        <v>521</v>
      </c>
      <c r="B16" s="635">
        <v>104.92945831568713</v>
      </c>
      <c r="C16" s="635">
        <v>101.22560868022916</v>
      </c>
      <c r="D16" s="636">
        <v>104.10964575237506</v>
      </c>
      <c r="F16" s="612"/>
    </row>
    <row r="17" spans="1:6" ht="20.100000000000001" customHeight="1">
      <c r="A17" s="642" t="s">
        <v>522</v>
      </c>
      <c r="B17" s="635">
        <v>105.79337642095878</v>
      </c>
      <c r="C17" s="635">
        <v>100.47496434217835</v>
      </c>
      <c r="D17" s="636">
        <v>105.17585134190399</v>
      </c>
      <c r="F17" s="615"/>
    </row>
    <row r="18" spans="1:6" ht="20.100000000000001" customHeight="1">
      <c r="A18" s="642" t="s">
        <v>523</v>
      </c>
      <c r="B18" s="635">
        <v>103.6241138037328</v>
      </c>
      <c r="C18" s="635">
        <v>100.56275817914775</v>
      </c>
      <c r="D18" s="636">
        <v>103.66769423425536</v>
      </c>
      <c r="F18" s="615"/>
    </row>
    <row r="19" spans="1:6" ht="20.100000000000001" customHeight="1">
      <c r="A19" s="642" t="s">
        <v>524</v>
      </c>
      <c r="B19" s="635">
        <v>102.59718947586228</v>
      </c>
      <c r="C19" s="635">
        <v>100.74340409769896</v>
      </c>
      <c r="D19" s="636">
        <v>102.54799935028437</v>
      </c>
      <c r="F19" s="615"/>
    </row>
    <row r="20" spans="1:6" ht="20.100000000000001" customHeight="1">
      <c r="A20" s="642" t="s">
        <v>525</v>
      </c>
      <c r="B20" s="635">
        <v>102.64124964379445</v>
      </c>
      <c r="C20" s="635">
        <v>100.25754189814707</v>
      </c>
      <c r="D20" s="636">
        <v>103.17513774976671</v>
      </c>
      <c r="F20" s="615"/>
    </row>
    <row r="21" spans="1:6" s="619" customFormat="1" ht="6" customHeight="1">
      <c r="A21" s="618"/>
      <c r="B21" s="618"/>
      <c r="C21" s="618"/>
      <c r="D21" s="618"/>
    </row>
    <row r="22" spans="1:6" s="619" customFormat="1" ht="21.75" customHeight="1">
      <c r="A22" s="620" t="s">
        <v>498</v>
      </c>
    </row>
    <row r="23" spans="1:6" ht="20.100000000000001" customHeight="1">
      <c r="A23" s="642"/>
      <c r="B23" s="635"/>
      <c r="C23" s="635"/>
      <c r="F23" s="615"/>
    </row>
    <row r="24" spans="1:6" ht="20.100000000000001" customHeight="1">
      <c r="A24" s="642"/>
      <c r="B24" s="635"/>
      <c r="C24" s="635"/>
      <c r="F24" s="603"/>
    </row>
    <row r="25" spans="1:6" ht="20.100000000000001" customHeight="1">
      <c r="A25" s="642"/>
      <c r="B25" s="635"/>
      <c r="C25" s="635"/>
      <c r="F25" s="603"/>
    </row>
    <row r="26" spans="1:6" ht="20.100000000000001" customHeight="1">
      <c r="A26" s="643"/>
      <c r="B26" s="644"/>
      <c r="C26" s="644"/>
      <c r="F26" s="603"/>
    </row>
    <row r="27" spans="1:6" ht="20.100000000000001" customHeight="1">
      <c r="A27" s="643"/>
      <c r="B27" s="644"/>
      <c r="C27" s="644"/>
      <c r="F27" s="603"/>
    </row>
    <row r="28" spans="1:6" ht="20.100000000000001" customHeight="1">
      <c r="A28" s="643"/>
      <c r="B28" s="644"/>
      <c r="C28" s="644"/>
      <c r="F28" s="603"/>
    </row>
    <row r="29" spans="1:6" ht="20.100000000000001" customHeight="1">
      <c r="A29" s="643"/>
      <c r="B29" s="644"/>
      <c r="C29" s="644"/>
      <c r="F29" s="603"/>
    </row>
    <row r="30" spans="1:6" ht="20.100000000000001" customHeight="1">
      <c r="A30" s="643"/>
      <c r="B30" s="644"/>
      <c r="C30" s="644"/>
      <c r="F30" s="603"/>
    </row>
    <row r="31" spans="1:6" ht="20.100000000000001" customHeight="1">
      <c r="A31" s="645"/>
      <c r="B31" s="627"/>
      <c r="C31" s="627"/>
      <c r="F31" s="603"/>
    </row>
    <row r="32" spans="1:6" ht="20.100000000000001" customHeight="1">
      <c r="A32" s="645"/>
      <c r="B32" s="627"/>
      <c r="C32" s="627"/>
      <c r="F32" s="603"/>
    </row>
    <row r="33" spans="1:6" ht="20.100000000000001" customHeight="1">
      <c r="A33" s="645"/>
      <c r="B33" s="627"/>
      <c r="C33" s="627"/>
      <c r="F33" s="603"/>
    </row>
    <row r="34" spans="1:6" ht="20.100000000000001" customHeight="1">
      <c r="A34" s="645"/>
      <c r="B34" s="627"/>
      <c r="C34" s="627"/>
      <c r="F34" s="603"/>
    </row>
    <row r="35" spans="1:6" ht="20.100000000000001" customHeight="1">
      <c r="A35" s="645"/>
      <c r="B35" s="627"/>
      <c r="C35" s="627"/>
      <c r="F35" s="603"/>
    </row>
    <row r="36" spans="1:6" ht="20.100000000000001" customHeight="1">
      <c r="A36" s="645"/>
      <c r="B36" s="627"/>
      <c r="C36" s="627"/>
      <c r="F36" s="603"/>
    </row>
    <row r="37" spans="1:6" ht="20.100000000000001" customHeight="1">
      <c r="A37" s="645"/>
      <c r="B37" s="627"/>
      <c r="C37" s="627"/>
      <c r="F37" s="603"/>
    </row>
    <row r="38" spans="1:6" ht="20.100000000000001" customHeight="1">
      <c r="A38" s="645"/>
      <c r="B38" s="627"/>
      <c r="C38" s="627"/>
      <c r="F38" s="603"/>
    </row>
    <row r="39" spans="1:6" ht="20.100000000000001" customHeight="1">
      <c r="A39" s="645"/>
      <c r="B39" s="627"/>
      <c r="C39" s="627"/>
      <c r="F39" s="603"/>
    </row>
    <row r="40" spans="1:6" ht="20.100000000000001" customHeight="1">
      <c r="A40" s="645"/>
      <c r="B40" s="627"/>
      <c r="C40" s="627"/>
      <c r="F40" s="603"/>
    </row>
    <row r="41" spans="1:6" ht="20.100000000000001" customHeight="1">
      <c r="A41" s="645"/>
      <c r="B41" s="627"/>
      <c r="C41" s="627"/>
      <c r="F41" s="603"/>
    </row>
    <row r="42" spans="1:6" ht="20.100000000000001" customHeight="1">
      <c r="A42" s="645"/>
      <c r="B42" s="627"/>
      <c r="C42" s="627"/>
      <c r="F42" s="603"/>
    </row>
    <row r="43" spans="1:6" ht="20.100000000000001" customHeight="1">
      <c r="A43" s="645"/>
      <c r="B43" s="627"/>
      <c r="C43" s="627"/>
      <c r="F43" s="603"/>
    </row>
    <row r="44" spans="1:6" ht="20.100000000000001" customHeight="1">
      <c r="A44" s="645"/>
      <c r="B44" s="627"/>
      <c r="C44" s="627"/>
      <c r="F44" s="603"/>
    </row>
    <row r="45" spans="1:6" ht="20.100000000000001" customHeight="1">
      <c r="A45" s="645"/>
      <c r="F45" s="603"/>
    </row>
    <row r="46" spans="1:6" ht="20.100000000000001" customHeight="1">
      <c r="A46" s="645"/>
      <c r="F46" s="603"/>
    </row>
    <row r="47" spans="1:6" ht="20.100000000000001" customHeight="1">
      <c r="A47" s="645"/>
      <c r="F47" s="603"/>
    </row>
    <row r="48" spans="1:6" ht="20.100000000000001" customHeight="1">
      <c r="A48" s="645"/>
      <c r="F48" s="603"/>
    </row>
    <row r="49" spans="1:6" ht="20.100000000000001" customHeight="1">
      <c r="A49" s="603"/>
      <c r="D49" s="603"/>
      <c r="E49" s="603"/>
      <c r="F49" s="603"/>
    </row>
    <row r="50" spans="1:6" ht="20.100000000000001" customHeight="1">
      <c r="A50" s="603"/>
      <c r="D50" s="603"/>
      <c r="E50" s="603"/>
      <c r="F50" s="603"/>
    </row>
    <row r="51" spans="1:6" ht="20.100000000000001" customHeight="1">
      <c r="A51" s="603"/>
      <c r="D51" s="603"/>
      <c r="E51" s="603"/>
      <c r="F51" s="603"/>
    </row>
    <row r="52" spans="1:6" ht="20.100000000000001" customHeight="1">
      <c r="A52" s="603"/>
      <c r="D52" s="603"/>
      <c r="E52" s="603"/>
      <c r="F52" s="603"/>
    </row>
    <row r="53" spans="1:6" ht="20.100000000000001" customHeight="1">
      <c r="A53" s="603"/>
      <c r="D53" s="603"/>
      <c r="E53" s="603"/>
      <c r="F53" s="603"/>
    </row>
    <row r="54" spans="1:6" ht="20.100000000000001" customHeight="1">
      <c r="A54" s="603"/>
      <c r="D54" s="603"/>
      <c r="E54" s="603"/>
      <c r="F54" s="603"/>
    </row>
    <row r="55" spans="1:6" ht="20.100000000000001" customHeight="1">
      <c r="A55" s="603"/>
      <c r="D55" s="603"/>
      <c r="E55" s="603"/>
      <c r="F55" s="603"/>
    </row>
    <row r="56" spans="1:6" ht="20.100000000000001" customHeight="1">
      <c r="A56" s="603"/>
      <c r="D56" s="603"/>
      <c r="E56" s="603"/>
      <c r="F56" s="603"/>
    </row>
    <row r="57" spans="1:6" ht="20.100000000000001" customHeight="1">
      <c r="A57" s="603"/>
      <c r="D57" s="603"/>
      <c r="E57" s="603"/>
      <c r="F57" s="603"/>
    </row>
    <row r="58" spans="1:6" ht="20.100000000000001" customHeight="1">
      <c r="A58" s="603"/>
      <c r="D58" s="603"/>
      <c r="E58" s="603"/>
      <c r="F58" s="603"/>
    </row>
    <row r="59" spans="1:6" ht="25.15" customHeight="1">
      <c r="A59" s="603"/>
      <c r="D59" s="603"/>
      <c r="E59" s="603"/>
      <c r="F59" s="603"/>
    </row>
    <row r="60" spans="1:6" ht="25.15" customHeight="1">
      <c r="A60" s="603"/>
      <c r="D60" s="603"/>
      <c r="E60" s="603"/>
      <c r="F60" s="603"/>
    </row>
    <row r="61" spans="1:6" ht="25.15" customHeight="1">
      <c r="A61" s="603"/>
      <c r="D61" s="603"/>
      <c r="E61" s="603"/>
      <c r="F61" s="603"/>
    </row>
    <row r="62" spans="1:6" ht="25.15" customHeight="1">
      <c r="A62" s="603"/>
      <c r="D62" s="603"/>
      <c r="E62" s="603"/>
      <c r="F62" s="603"/>
    </row>
    <row r="63" spans="1:6" ht="25.15" customHeight="1">
      <c r="A63" s="603"/>
      <c r="D63" s="603"/>
      <c r="E63" s="603"/>
      <c r="F63" s="603"/>
    </row>
    <row r="64" spans="1:6" ht="25.15" customHeight="1">
      <c r="A64" s="603"/>
      <c r="D64" s="603"/>
      <c r="E64" s="603"/>
      <c r="F64" s="603"/>
    </row>
    <row r="65" spans="1:6" ht="25.15" customHeight="1">
      <c r="A65" s="603"/>
      <c r="D65" s="603"/>
      <c r="E65" s="603"/>
      <c r="F65" s="603"/>
    </row>
    <row r="66" spans="1:6" ht="25.15" customHeight="1">
      <c r="A66" s="603"/>
      <c r="D66" s="603"/>
      <c r="E66" s="603"/>
      <c r="F66" s="603"/>
    </row>
    <row r="67" spans="1:6" ht="25.15" customHeight="1">
      <c r="A67" s="603"/>
      <c r="D67" s="603"/>
      <c r="E67" s="603"/>
      <c r="F67" s="603"/>
    </row>
    <row r="68" spans="1:6" ht="25.15" customHeight="1">
      <c r="A68" s="603"/>
      <c r="D68" s="603"/>
      <c r="E68" s="603"/>
      <c r="F68" s="603"/>
    </row>
    <row r="69" spans="1:6" ht="25.15" customHeight="1">
      <c r="A69" s="603"/>
      <c r="D69" s="603"/>
      <c r="E69" s="603"/>
      <c r="F69" s="603"/>
    </row>
    <row r="70" spans="1:6" ht="25.15" customHeight="1">
      <c r="A70" s="603"/>
      <c r="D70" s="603"/>
      <c r="E70" s="603"/>
      <c r="F70" s="603"/>
    </row>
    <row r="71" spans="1:6" ht="25.15" customHeight="1">
      <c r="A71" s="603"/>
      <c r="D71" s="603"/>
      <c r="E71" s="603"/>
      <c r="F71" s="603"/>
    </row>
    <row r="72" spans="1:6" ht="25.15" customHeight="1">
      <c r="A72" s="603"/>
      <c r="D72" s="603"/>
      <c r="E72" s="603"/>
      <c r="F72" s="603"/>
    </row>
    <row r="73" spans="1:6" ht="25.15" customHeight="1">
      <c r="A73" s="603"/>
      <c r="D73" s="603"/>
      <c r="E73" s="603"/>
      <c r="F73" s="603"/>
    </row>
    <row r="74" spans="1:6" ht="25.15" customHeight="1">
      <c r="A74" s="603"/>
      <c r="D74" s="603"/>
      <c r="E74" s="603"/>
      <c r="F74" s="603"/>
    </row>
    <row r="75" spans="1:6" ht="25.15" customHeight="1">
      <c r="A75" s="603"/>
      <c r="D75" s="603"/>
      <c r="E75" s="603"/>
      <c r="F75" s="603"/>
    </row>
    <row r="76" spans="1:6" ht="25.15" customHeight="1">
      <c r="A76" s="603"/>
      <c r="D76" s="603"/>
      <c r="E76" s="603"/>
      <c r="F76" s="603"/>
    </row>
    <row r="77" spans="1:6" ht="25.15" customHeight="1">
      <c r="A77" s="603"/>
      <c r="D77" s="603"/>
      <c r="E77" s="603"/>
      <c r="F77" s="603"/>
    </row>
    <row r="78" spans="1:6" ht="25.15" customHeight="1">
      <c r="A78" s="603"/>
      <c r="D78" s="603"/>
      <c r="E78" s="603"/>
      <c r="F78" s="603"/>
    </row>
    <row r="79" spans="1:6" ht="25.15" customHeight="1">
      <c r="A79" s="603"/>
      <c r="D79" s="603"/>
      <c r="E79" s="603"/>
      <c r="F79" s="603"/>
    </row>
    <row r="80" spans="1:6" ht="25.15" customHeight="1">
      <c r="A80" s="603"/>
      <c r="D80" s="603"/>
      <c r="E80" s="603"/>
      <c r="F80" s="603"/>
    </row>
    <row r="81" spans="1:6" ht="25.15" customHeight="1">
      <c r="A81" s="603"/>
      <c r="D81" s="603"/>
      <c r="E81" s="603"/>
      <c r="F81" s="603"/>
    </row>
    <row r="82" spans="1:6" ht="25.15" customHeight="1">
      <c r="A82" s="603"/>
      <c r="D82" s="603"/>
      <c r="E82" s="603"/>
      <c r="F82" s="603"/>
    </row>
    <row r="83" spans="1:6" ht="25.15" customHeight="1">
      <c r="A83" s="603"/>
      <c r="D83" s="603"/>
      <c r="E83" s="603"/>
      <c r="F83" s="603"/>
    </row>
    <row r="84" spans="1:6" ht="25.15" customHeight="1">
      <c r="A84" s="603"/>
      <c r="D84" s="603"/>
      <c r="E84" s="603"/>
      <c r="F84" s="603"/>
    </row>
    <row r="85" spans="1:6" ht="25.15" customHeight="1">
      <c r="A85" s="603"/>
      <c r="D85" s="603"/>
      <c r="E85" s="603"/>
      <c r="F85" s="603"/>
    </row>
    <row r="86" spans="1:6" ht="25.15" customHeight="1">
      <c r="A86" s="603"/>
      <c r="D86" s="603"/>
      <c r="E86" s="603"/>
      <c r="F86" s="603"/>
    </row>
    <row r="87" spans="1:6" ht="25.15" customHeight="1">
      <c r="A87" s="603"/>
      <c r="D87" s="603"/>
      <c r="E87" s="603"/>
      <c r="F87" s="603"/>
    </row>
    <row r="88" spans="1:6" ht="25.15" customHeight="1">
      <c r="A88" s="603"/>
      <c r="D88" s="603"/>
      <c r="E88" s="603"/>
      <c r="F88" s="603"/>
    </row>
    <row r="89" spans="1:6" ht="25.15" customHeight="1">
      <c r="A89" s="603"/>
      <c r="D89" s="603"/>
      <c r="E89" s="603"/>
      <c r="F89" s="603"/>
    </row>
    <row r="90" spans="1:6" ht="25.15" customHeight="1">
      <c r="A90" s="603"/>
      <c r="D90" s="603"/>
      <c r="E90" s="603"/>
      <c r="F90" s="603"/>
    </row>
    <row r="91" spans="1:6" ht="25.15" customHeight="1">
      <c r="A91" s="603"/>
      <c r="D91" s="603"/>
      <c r="E91" s="603"/>
      <c r="F91" s="603"/>
    </row>
    <row r="92" spans="1:6" ht="25.15" customHeight="1">
      <c r="A92" s="603"/>
      <c r="D92" s="603"/>
      <c r="E92" s="603"/>
      <c r="F92" s="603"/>
    </row>
    <row r="93" spans="1:6" ht="25.15" customHeight="1">
      <c r="A93" s="603"/>
      <c r="D93" s="603"/>
      <c r="E93" s="603"/>
      <c r="F93" s="603"/>
    </row>
    <row r="94" spans="1:6" ht="25.15" customHeight="1">
      <c r="A94" s="603"/>
      <c r="D94" s="603"/>
      <c r="E94" s="603"/>
      <c r="F94" s="603"/>
    </row>
    <row r="95" spans="1:6" ht="25.15" customHeight="1">
      <c r="A95" s="603"/>
      <c r="D95" s="603"/>
      <c r="E95" s="603"/>
      <c r="F95" s="603"/>
    </row>
    <row r="96" spans="1:6" ht="25.15" customHeight="1">
      <c r="A96" s="603"/>
      <c r="D96" s="603"/>
      <c r="E96" s="603"/>
      <c r="F96" s="603"/>
    </row>
    <row r="97" spans="1:6" ht="25.15" customHeight="1">
      <c r="A97" s="603"/>
      <c r="D97" s="603"/>
      <c r="E97" s="603"/>
      <c r="F97" s="603"/>
    </row>
    <row r="98" spans="1:6" ht="25.15" customHeight="1">
      <c r="A98" s="603"/>
      <c r="D98" s="603"/>
      <c r="E98" s="603"/>
      <c r="F98" s="603"/>
    </row>
    <row r="99" spans="1:6" ht="25.15" customHeight="1">
      <c r="A99" s="603"/>
      <c r="D99" s="603"/>
      <c r="E99" s="603"/>
      <c r="F99" s="603"/>
    </row>
    <row r="100" spans="1:6" ht="25.15" customHeight="1">
      <c r="A100" s="603"/>
      <c r="D100" s="603"/>
      <c r="E100" s="603"/>
      <c r="F100" s="603"/>
    </row>
    <row r="101" spans="1:6" ht="25.15" customHeight="1">
      <c r="A101" s="603"/>
      <c r="D101" s="603"/>
      <c r="E101" s="603"/>
      <c r="F101" s="603"/>
    </row>
    <row r="102" spans="1:6" ht="25.15" customHeight="1">
      <c r="A102" s="603"/>
      <c r="D102" s="603"/>
      <c r="E102" s="603"/>
      <c r="F102" s="603"/>
    </row>
    <row r="103" spans="1:6" ht="25.15" customHeight="1">
      <c r="A103" s="603"/>
      <c r="D103" s="603"/>
      <c r="E103" s="603"/>
      <c r="F103" s="603"/>
    </row>
    <row r="104" spans="1:6" ht="25.15" customHeight="1">
      <c r="A104" s="603"/>
      <c r="D104" s="603"/>
      <c r="E104" s="603"/>
      <c r="F104" s="603"/>
    </row>
    <row r="105" spans="1:6" ht="25.15" customHeight="1">
      <c r="A105" s="603"/>
      <c r="D105" s="603"/>
      <c r="E105" s="603"/>
      <c r="F105" s="603"/>
    </row>
    <row r="106" spans="1:6" ht="25.15" customHeight="1">
      <c r="A106" s="603"/>
      <c r="D106" s="603"/>
      <c r="E106" s="603"/>
      <c r="F106" s="603"/>
    </row>
    <row r="107" spans="1:6" ht="25.15" customHeight="1">
      <c r="A107" s="603"/>
      <c r="D107" s="603"/>
      <c r="E107" s="603"/>
      <c r="F107" s="603"/>
    </row>
    <row r="108" spans="1:6" ht="25.15" customHeight="1">
      <c r="A108" s="603"/>
      <c r="D108" s="603"/>
      <c r="E108" s="603"/>
      <c r="F108" s="603"/>
    </row>
    <row r="109" spans="1:6" ht="25.15" customHeight="1">
      <c r="A109" s="603"/>
      <c r="D109" s="603"/>
      <c r="E109" s="603"/>
      <c r="F109" s="603"/>
    </row>
    <row r="110" spans="1:6" ht="25.15" customHeight="1">
      <c r="A110" s="603"/>
      <c r="D110" s="603"/>
      <c r="E110" s="603"/>
      <c r="F110" s="603"/>
    </row>
    <row r="111" spans="1:6" ht="25.15" customHeight="1">
      <c r="A111" s="603"/>
      <c r="D111" s="603"/>
      <c r="E111" s="603"/>
      <c r="F111" s="603"/>
    </row>
    <row r="112" spans="1:6" ht="25.15" customHeight="1">
      <c r="A112" s="603"/>
      <c r="D112" s="603"/>
      <c r="E112" s="603"/>
      <c r="F112" s="603"/>
    </row>
  </sheetData>
  <mergeCells count="1">
    <mergeCell ref="B4:C4"/>
  </mergeCells>
  <pageMargins left="0.74803149606299202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2"/>
  <sheetViews>
    <sheetView topLeftCell="A25" workbookViewId="0">
      <selection activeCell="L15" sqref="L15"/>
    </sheetView>
  </sheetViews>
  <sheetFormatPr defaultColWidth="9.140625" defaultRowHeight="15"/>
  <cols>
    <col min="1" max="1" width="46.5703125" style="646" customWidth="1"/>
    <col min="2" max="2" width="10.85546875" style="603" customWidth="1"/>
    <col min="3" max="3" width="11.140625" style="603" customWidth="1"/>
    <col min="4" max="4" width="16.140625" style="603" customWidth="1"/>
    <col min="5" max="240" width="9.140625" style="646"/>
    <col min="241" max="241" width="41" style="646" customWidth="1"/>
    <col min="242" max="242" width="8.140625" style="646" customWidth="1"/>
    <col min="243" max="244" width="11.140625" style="646" customWidth="1"/>
    <col min="245" max="245" width="12.140625" style="646" customWidth="1"/>
    <col min="246" max="246" width="9.140625" style="646"/>
    <col min="247" max="247" width="2.28515625" style="646" customWidth="1"/>
    <col min="248" max="16384" width="9.140625" style="646"/>
  </cols>
  <sheetData>
    <row r="1" spans="1:8" ht="20.100000000000001" customHeight="1">
      <c r="A1" s="587" t="s">
        <v>526</v>
      </c>
      <c r="B1" s="621"/>
      <c r="C1" s="622"/>
      <c r="D1" s="646"/>
      <c r="F1" s="589"/>
      <c r="G1" s="647"/>
      <c r="H1" s="647"/>
    </row>
    <row r="2" spans="1:8" ht="16.149999999999999" customHeight="1">
      <c r="A2" s="623"/>
      <c r="B2" s="623"/>
      <c r="C2" s="624"/>
      <c r="D2" s="646"/>
      <c r="F2" s="589"/>
      <c r="G2" s="647"/>
      <c r="H2" s="647"/>
    </row>
    <row r="3" spans="1:8" ht="16.149999999999999" customHeight="1">
      <c r="A3" s="625"/>
      <c r="B3" s="626"/>
      <c r="C3" s="646"/>
      <c r="D3" s="628" t="s">
        <v>82</v>
      </c>
      <c r="F3" s="589"/>
    </row>
    <row r="4" spans="1:8" ht="16.149999999999999" customHeight="1">
      <c r="A4" s="595"/>
      <c r="B4" s="964" t="s">
        <v>482</v>
      </c>
      <c r="C4" s="964"/>
      <c r="D4" s="596" t="s">
        <v>86</v>
      </c>
      <c r="F4" s="589"/>
    </row>
    <row r="5" spans="1:8" ht="16.149999999999999" customHeight="1">
      <c r="A5" s="597"/>
      <c r="B5" s="598" t="s">
        <v>43</v>
      </c>
      <c r="C5" s="598" t="s">
        <v>42</v>
      </c>
      <c r="D5" s="599" t="s">
        <v>483</v>
      </c>
      <c r="F5" s="600"/>
    </row>
    <row r="6" spans="1:8" ht="16.149999999999999" customHeight="1">
      <c r="A6" s="597"/>
      <c r="B6" s="601" t="s">
        <v>88</v>
      </c>
      <c r="C6" s="601" t="s">
        <v>87</v>
      </c>
      <c r="D6" s="602" t="s">
        <v>88</v>
      </c>
      <c r="F6" s="600"/>
    </row>
    <row r="7" spans="1:8" ht="16.149999999999999" customHeight="1">
      <c r="A7" s="597"/>
      <c r="B7" s="629"/>
      <c r="C7" s="629"/>
      <c r="D7" s="646"/>
      <c r="F7" s="603"/>
    </row>
    <row r="8" spans="1:8" s="650" customFormat="1" ht="18" customHeight="1">
      <c r="A8" s="634" t="s">
        <v>500</v>
      </c>
      <c r="B8" s="648">
        <v>100.74550036659329</v>
      </c>
      <c r="C8" s="648">
        <v>99.402007213043959</v>
      </c>
      <c r="D8" s="649">
        <v>103.62466709631778</v>
      </c>
      <c r="F8" s="603"/>
    </row>
    <row r="9" spans="1:8" s="650" customFormat="1" ht="18" customHeight="1">
      <c r="A9" s="634" t="s">
        <v>527</v>
      </c>
      <c r="B9" s="648">
        <v>102.10246404567222</v>
      </c>
      <c r="C9" s="648">
        <v>101.64645244540264</v>
      </c>
      <c r="D9" s="649">
        <v>112.92612519265077</v>
      </c>
      <c r="F9" s="603"/>
    </row>
    <row r="10" spans="1:8" s="650" customFormat="1" ht="18" customHeight="1">
      <c r="A10" s="616" t="s">
        <v>278</v>
      </c>
      <c r="B10" s="651"/>
      <c r="C10" s="651"/>
      <c r="D10" s="649"/>
      <c r="F10" s="603"/>
    </row>
    <row r="11" spans="1:8" ht="18" customHeight="1">
      <c r="A11" s="652" t="s">
        <v>528</v>
      </c>
      <c r="B11" s="651">
        <v>104.78107646110453</v>
      </c>
      <c r="C11" s="651">
        <v>101.17472235935119</v>
      </c>
      <c r="D11" s="653">
        <v>105.27743087425743</v>
      </c>
      <c r="F11" s="603"/>
    </row>
    <row r="12" spans="1:8" ht="18" customHeight="1">
      <c r="A12" s="652" t="s">
        <v>529</v>
      </c>
      <c r="B12" s="651">
        <v>112.8248412859374</v>
      </c>
      <c r="C12" s="651">
        <v>103.32186855758505</v>
      </c>
      <c r="D12" s="653">
        <v>118.88472325043251</v>
      </c>
      <c r="F12" s="603"/>
    </row>
    <row r="13" spans="1:8" ht="18" customHeight="1">
      <c r="A13" s="652" t="s">
        <v>393</v>
      </c>
      <c r="B13" s="651">
        <v>103.36596788934978</v>
      </c>
      <c r="C13" s="651">
        <v>100.37029287343738</v>
      </c>
      <c r="D13" s="653">
        <v>111.87261810680131</v>
      </c>
      <c r="F13" s="603"/>
    </row>
    <row r="14" spans="1:8" ht="18" customHeight="1">
      <c r="A14" s="652" t="s">
        <v>394</v>
      </c>
      <c r="B14" s="651">
        <v>98.304912923282089</v>
      </c>
      <c r="C14" s="651">
        <v>104.08548241485509</v>
      </c>
      <c r="D14" s="653">
        <v>126.66184448917777</v>
      </c>
      <c r="F14" s="603"/>
    </row>
    <row r="15" spans="1:8" ht="18" customHeight="1">
      <c r="A15" s="652" t="s">
        <v>395</v>
      </c>
      <c r="B15" s="651">
        <v>101.26845569090108</v>
      </c>
      <c r="C15" s="651">
        <v>102.71315867115001</v>
      </c>
      <c r="D15" s="653">
        <v>100.25678656789006</v>
      </c>
      <c r="F15" s="603"/>
    </row>
    <row r="16" spans="1:8" ht="18" customHeight="1">
      <c r="A16" s="652" t="s">
        <v>396</v>
      </c>
      <c r="B16" s="651">
        <v>101.31528325618501</v>
      </c>
      <c r="C16" s="651">
        <v>98.899639464249177</v>
      </c>
      <c r="D16" s="653">
        <v>129.04242075805573</v>
      </c>
      <c r="F16" s="612"/>
    </row>
    <row r="17" spans="1:6" ht="18" customHeight="1">
      <c r="A17" s="652" t="s">
        <v>397</v>
      </c>
      <c r="B17" s="651">
        <v>87.342335937942849</v>
      </c>
      <c r="C17" s="651">
        <v>97.662876262219115</v>
      </c>
      <c r="D17" s="653">
        <v>90.547972489370608</v>
      </c>
      <c r="F17" s="615"/>
    </row>
    <row r="18" spans="1:6" s="650" customFormat="1" ht="18" customHeight="1">
      <c r="A18" s="652" t="s">
        <v>530</v>
      </c>
      <c r="B18" s="651">
        <v>83.830862643729148</v>
      </c>
      <c r="C18" s="651">
        <v>100.98600442351227</v>
      </c>
      <c r="D18" s="653">
        <v>79.85248798996443</v>
      </c>
      <c r="F18" s="615"/>
    </row>
    <row r="19" spans="1:6" s="650" customFormat="1" ht="18" customHeight="1">
      <c r="A19" s="652" t="s">
        <v>408</v>
      </c>
      <c r="B19" s="651">
        <v>92.52810143462608</v>
      </c>
      <c r="C19" s="651">
        <v>102.32092876194146</v>
      </c>
      <c r="D19" s="653">
        <v>110.76117564514598</v>
      </c>
      <c r="F19" s="615"/>
    </row>
    <row r="20" spans="1:6" ht="18" customHeight="1">
      <c r="A20" s="634" t="s">
        <v>531</v>
      </c>
      <c r="B20" s="648">
        <v>80.778184891619034</v>
      </c>
      <c r="C20" s="648">
        <v>95.933264092696518</v>
      </c>
      <c r="D20" s="649">
        <v>82.053358395435424</v>
      </c>
      <c r="E20" s="650"/>
      <c r="F20" s="615"/>
    </row>
    <row r="21" spans="1:6" ht="18" customHeight="1">
      <c r="A21" s="654" t="s">
        <v>436</v>
      </c>
      <c r="B21" s="651">
        <v>81.107700118738151</v>
      </c>
      <c r="C21" s="651">
        <v>94.713582509999995</v>
      </c>
      <c r="D21" s="653">
        <v>84.073803324533856</v>
      </c>
      <c r="F21" s="615"/>
    </row>
    <row r="22" spans="1:6" ht="18" customHeight="1">
      <c r="A22" s="654" t="s">
        <v>388</v>
      </c>
      <c r="B22" s="651">
        <v>77.878175705137437</v>
      </c>
      <c r="C22" s="651">
        <v>93.419110610000004</v>
      </c>
      <c r="D22" s="653">
        <v>82.014426288734157</v>
      </c>
      <c r="F22" s="615"/>
    </row>
    <row r="23" spans="1:6" ht="18" customHeight="1">
      <c r="A23" s="654" t="s">
        <v>532</v>
      </c>
      <c r="B23" s="651">
        <v>91.077324768942219</v>
      </c>
      <c r="C23" s="651">
        <v>99.480059974761957</v>
      </c>
      <c r="D23" s="653">
        <v>88.232816259803599</v>
      </c>
      <c r="F23" s="615"/>
    </row>
    <row r="24" spans="1:6" ht="18" customHeight="1">
      <c r="A24" s="634" t="s">
        <v>533</v>
      </c>
      <c r="B24" s="648">
        <v>100.92063333794383</v>
      </c>
      <c r="C24" s="648">
        <v>99.130405897654072</v>
      </c>
      <c r="D24" s="649">
        <v>102.87206795151535</v>
      </c>
      <c r="F24" s="603"/>
    </row>
    <row r="25" spans="1:6" ht="18" customHeight="1">
      <c r="A25" s="616" t="s">
        <v>278</v>
      </c>
      <c r="B25" s="651"/>
      <c r="C25" s="651"/>
      <c r="D25" s="649"/>
      <c r="F25" s="603"/>
    </row>
    <row r="26" spans="1:6" s="650" customFormat="1" ht="18" customHeight="1">
      <c r="A26" s="654" t="s">
        <v>400</v>
      </c>
      <c r="B26" s="651">
        <v>101.15331807021406</v>
      </c>
      <c r="C26" s="651">
        <v>101.27942639465229</v>
      </c>
      <c r="D26" s="653">
        <v>95.567346137502966</v>
      </c>
      <c r="E26" s="646"/>
      <c r="F26" s="603"/>
    </row>
    <row r="27" spans="1:6" s="650" customFormat="1" ht="18" customHeight="1">
      <c r="A27" s="654" t="s">
        <v>534</v>
      </c>
      <c r="B27" s="651">
        <v>95.80812021775607</v>
      </c>
      <c r="C27" s="651">
        <v>99.549942505771597</v>
      </c>
      <c r="D27" s="653">
        <v>97.325351646763991</v>
      </c>
      <c r="E27" s="646"/>
      <c r="F27" s="603"/>
    </row>
    <row r="28" spans="1:6" s="650" customFormat="1" ht="18" customHeight="1">
      <c r="A28" s="654" t="s">
        <v>443</v>
      </c>
      <c r="B28" s="651">
        <v>117.70471180035311</v>
      </c>
      <c r="C28" s="651">
        <v>100.88304313978264</v>
      </c>
      <c r="D28" s="653">
        <v>109.63604081582555</v>
      </c>
      <c r="E28" s="646"/>
      <c r="F28" s="603"/>
    </row>
    <row r="29" spans="1:6" s="650" customFormat="1" ht="18" customHeight="1">
      <c r="A29" s="654" t="s">
        <v>463</v>
      </c>
      <c r="B29" s="651">
        <v>96.612201175949252</v>
      </c>
      <c r="C29" s="651">
        <v>99.436302277496765</v>
      </c>
      <c r="D29" s="653">
        <v>95.203909923724126</v>
      </c>
      <c r="E29" s="646"/>
      <c r="F29" s="603"/>
    </row>
    <row r="30" spans="1:6" s="650" customFormat="1" ht="18" customHeight="1">
      <c r="A30" s="654" t="s">
        <v>535</v>
      </c>
      <c r="B30" s="651">
        <v>106.59806749104517</v>
      </c>
      <c r="C30" s="651">
        <v>101.58767428927914</v>
      </c>
      <c r="D30" s="653">
        <v>109.17984831759287</v>
      </c>
      <c r="E30" s="646"/>
      <c r="F30" s="603"/>
    </row>
    <row r="31" spans="1:6" s="650" customFormat="1" ht="18" customHeight="1">
      <c r="A31" s="654" t="s">
        <v>536</v>
      </c>
      <c r="B31" s="651">
        <v>97.211055450360902</v>
      </c>
      <c r="C31" s="651">
        <v>96.918221487996419</v>
      </c>
      <c r="D31" s="653">
        <v>94.346841873818761</v>
      </c>
      <c r="E31" s="646"/>
      <c r="F31" s="603"/>
    </row>
    <row r="32" spans="1:6" s="650" customFormat="1" ht="18" customHeight="1">
      <c r="A32" s="654" t="s">
        <v>537</v>
      </c>
      <c r="B32" s="651">
        <v>99.057845591581668</v>
      </c>
      <c r="C32" s="651">
        <v>101.31305999638923</v>
      </c>
      <c r="D32" s="653">
        <v>99.512510562875107</v>
      </c>
      <c r="E32" s="646"/>
      <c r="F32" s="603"/>
    </row>
    <row r="33" spans="1:6" s="650" customFormat="1" ht="18" customHeight="1">
      <c r="A33" s="654" t="s">
        <v>538</v>
      </c>
      <c r="B33" s="651">
        <v>98.359304799905743</v>
      </c>
      <c r="C33" s="651">
        <v>99.706080819597531</v>
      </c>
      <c r="D33" s="653">
        <v>98.427514798511069</v>
      </c>
      <c r="E33" s="646"/>
      <c r="F33" s="603"/>
    </row>
    <row r="34" spans="1:6" s="650" customFormat="1" ht="18" customHeight="1">
      <c r="A34" s="654" t="s">
        <v>539</v>
      </c>
      <c r="B34" s="651">
        <v>102.43154117082322</v>
      </c>
      <c r="C34" s="651">
        <v>101.27646985130619</v>
      </c>
      <c r="D34" s="653">
        <v>102.29479817775409</v>
      </c>
      <c r="E34" s="646"/>
      <c r="F34" s="603"/>
    </row>
    <row r="35" spans="1:6" s="650" customFormat="1" ht="18" customHeight="1">
      <c r="A35" s="654" t="s">
        <v>540</v>
      </c>
      <c r="B35" s="651">
        <v>102.22889925482401</v>
      </c>
      <c r="C35" s="651">
        <v>99.90156701375426</v>
      </c>
      <c r="D35" s="653">
        <v>101.7307991662566</v>
      </c>
      <c r="E35" s="646"/>
      <c r="F35" s="603"/>
    </row>
    <row r="36" spans="1:6" s="650" customFormat="1" ht="18" customHeight="1">
      <c r="A36" s="654" t="s">
        <v>418</v>
      </c>
      <c r="B36" s="651">
        <v>92.612612940558066</v>
      </c>
      <c r="C36" s="651">
        <v>97.817846314372787</v>
      </c>
      <c r="D36" s="653">
        <v>90.645841014993806</v>
      </c>
      <c r="E36" s="646"/>
      <c r="F36" s="603"/>
    </row>
    <row r="37" spans="1:6" s="650" customFormat="1" ht="18" customHeight="1">
      <c r="A37" s="654" t="s">
        <v>541</v>
      </c>
      <c r="B37" s="651">
        <v>95.690383017934224</v>
      </c>
      <c r="C37" s="651">
        <v>100.00258314369846</v>
      </c>
      <c r="D37" s="653">
        <v>99.213573122420911</v>
      </c>
      <c r="E37" s="646"/>
      <c r="F37" s="603"/>
    </row>
    <row r="38" spans="1:6" s="650" customFormat="1" ht="18" customHeight="1">
      <c r="A38" s="654" t="s">
        <v>542</v>
      </c>
      <c r="B38" s="651">
        <v>93.831351684828547</v>
      </c>
      <c r="C38" s="651">
        <v>93.692009734479484</v>
      </c>
      <c r="D38" s="653">
        <v>99.419778137460128</v>
      </c>
      <c r="E38" s="646"/>
      <c r="F38" s="603"/>
    </row>
    <row r="39" spans="1:6" s="650" customFormat="1" ht="18" customHeight="1">
      <c r="A39" s="654" t="s">
        <v>543</v>
      </c>
      <c r="B39" s="651">
        <v>104.98791372894705</v>
      </c>
      <c r="C39" s="651">
        <v>99.664015689592333</v>
      </c>
      <c r="D39" s="653">
        <v>105.62632710396562</v>
      </c>
      <c r="E39" s="646"/>
      <c r="F39" s="603"/>
    </row>
    <row r="40" spans="1:6" s="650" customFormat="1" ht="18" customHeight="1">
      <c r="A40" s="654" t="s">
        <v>544</v>
      </c>
      <c r="B40" s="651">
        <v>101.48682334948838</v>
      </c>
      <c r="C40" s="651">
        <v>99.217564150152171</v>
      </c>
      <c r="D40" s="653">
        <v>100.55596488633259</v>
      </c>
      <c r="E40" s="646"/>
      <c r="F40" s="603"/>
    </row>
    <row r="41" spans="1:6" s="619" customFormat="1" ht="6" customHeight="1">
      <c r="A41" s="618"/>
      <c r="B41" s="618"/>
      <c r="C41" s="618"/>
      <c r="D41" s="618"/>
    </row>
    <row r="42" spans="1:6" s="619" customFormat="1" ht="21.75" customHeight="1">
      <c r="A42" s="620" t="s">
        <v>498</v>
      </c>
    </row>
    <row r="43" spans="1:6" ht="16.149999999999999" customHeight="1">
      <c r="A43" s="654"/>
      <c r="B43" s="651"/>
      <c r="C43" s="651"/>
      <c r="D43" s="653"/>
      <c r="F43" s="603"/>
    </row>
    <row r="44" spans="1:6" ht="16.149999999999999" customHeight="1">
      <c r="B44" s="646"/>
      <c r="C44" s="646"/>
      <c r="D44" s="646"/>
      <c r="F44" s="603"/>
    </row>
    <row r="45" spans="1:6" ht="16.149999999999999" customHeight="1">
      <c r="B45" s="646"/>
      <c r="C45" s="646"/>
      <c r="D45" s="646"/>
      <c r="F45" s="603"/>
    </row>
    <row r="46" spans="1:6" ht="16.149999999999999" customHeight="1">
      <c r="A46" s="616"/>
      <c r="B46" s="653"/>
      <c r="C46" s="653"/>
      <c r="D46" s="655"/>
      <c r="F46" s="603"/>
    </row>
    <row r="47" spans="1:6" ht="16.149999999999999" customHeight="1">
      <c r="A47" s="607"/>
      <c r="B47" s="653"/>
      <c r="C47" s="653"/>
      <c r="D47" s="655"/>
      <c r="F47" s="603"/>
    </row>
    <row r="48" spans="1:6" ht="16.149999999999999" customHeight="1">
      <c r="A48" s="607"/>
      <c r="B48" s="653"/>
      <c r="C48" s="653"/>
      <c r="D48" s="655"/>
      <c r="F48" s="603"/>
    </row>
    <row r="49" spans="1:6">
      <c r="A49" s="603"/>
      <c r="E49" s="603"/>
      <c r="F49" s="603"/>
    </row>
    <row r="50" spans="1:6">
      <c r="A50" s="603"/>
      <c r="E50" s="603"/>
      <c r="F50" s="603"/>
    </row>
    <row r="51" spans="1:6">
      <c r="A51" s="603"/>
      <c r="E51" s="603"/>
      <c r="F51" s="603"/>
    </row>
    <row r="52" spans="1:6">
      <c r="A52" s="603"/>
      <c r="E52" s="603"/>
      <c r="F52" s="603"/>
    </row>
    <row r="53" spans="1:6">
      <c r="A53" s="603"/>
      <c r="E53" s="603"/>
      <c r="F53" s="603"/>
    </row>
    <row r="54" spans="1:6">
      <c r="A54" s="603"/>
      <c r="E54" s="603"/>
      <c r="F54" s="603"/>
    </row>
    <row r="55" spans="1:6">
      <c r="A55" s="603"/>
      <c r="E55" s="603"/>
      <c r="F55" s="603"/>
    </row>
    <row r="56" spans="1:6">
      <c r="A56" s="603"/>
      <c r="E56" s="603"/>
      <c r="F56" s="603"/>
    </row>
    <row r="57" spans="1:6">
      <c r="A57" s="603"/>
      <c r="E57" s="603"/>
      <c r="F57" s="603"/>
    </row>
    <row r="58" spans="1:6">
      <c r="A58" s="603"/>
      <c r="E58" s="603"/>
      <c r="F58" s="603"/>
    </row>
    <row r="59" spans="1:6">
      <c r="A59" s="603"/>
      <c r="E59" s="603"/>
      <c r="F59" s="603"/>
    </row>
    <row r="60" spans="1:6">
      <c r="A60" s="603"/>
      <c r="E60" s="603"/>
      <c r="F60" s="603"/>
    </row>
    <row r="61" spans="1:6">
      <c r="A61" s="603"/>
      <c r="E61" s="603"/>
      <c r="F61" s="603"/>
    </row>
    <row r="62" spans="1:6">
      <c r="A62" s="603"/>
      <c r="E62" s="603"/>
      <c r="F62" s="603"/>
    </row>
    <row r="63" spans="1:6">
      <c r="A63" s="603"/>
      <c r="E63" s="603"/>
      <c r="F63" s="603"/>
    </row>
    <row r="64" spans="1:6">
      <c r="A64" s="603"/>
      <c r="E64" s="603"/>
      <c r="F64" s="603"/>
    </row>
    <row r="65" spans="1:6">
      <c r="A65" s="603"/>
      <c r="E65" s="603"/>
      <c r="F65" s="603"/>
    </row>
    <row r="66" spans="1:6">
      <c r="A66" s="603"/>
      <c r="E66" s="603"/>
      <c r="F66" s="603"/>
    </row>
    <row r="67" spans="1:6">
      <c r="A67" s="603"/>
      <c r="E67" s="603"/>
      <c r="F67" s="603"/>
    </row>
    <row r="68" spans="1:6">
      <c r="A68" s="603"/>
      <c r="E68" s="603"/>
      <c r="F68" s="603"/>
    </row>
    <row r="69" spans="1:6">
      <c r="A69" s="603"/>
      <c r="E69" s="603"/>
      <c r="F69" s="603"/>
    </row>
    <row r="70" spans="1:6">
      <c r="A70" s="603"/>
      <c r="E70" s="603"/>
      <c r="F70" s="603"/>
    </row>
    <row r="71" spans="1:6">
      <c r="A71" s="603"/>
      <c r="E71" s="603"/>
      <c r="F71" s="603"/>
    </row>
    <row r="72" spans="1:6">
      <c r="A72" s="603"/>
      <c r="E72" s="603"/>
      <c r="F72" s="603"/>
    </row>
    <row r="73" spans="1:6">
      <c r="A73" s="603"/>
      <c r="E73" s="603"/>
      <c r="F73" s="603"/>
    </row>
    <row r="74" spans="1:6">
      <c r="A74" s="603"/>
      <c r="E74" s="603"/>
      <c r="F74" s="603"/>
    </row>
    <row r="75" spans="1:6">
      <c r="A75" s="603"/>
      <c r="E75" s="603"/>
      <c r="F75" s="603"/>
    </row>
    <row r="76" spans="1:6">
      <c r="A76" s="603"/>
      <c r="E76" s="603"/>
      <c r="F76" s="603"/>
    </row>
    <row r="77" spans="1:6">
      <c r="A77" s="603"/>
      <c r="E77" s="603"/>
      <c r="F77" s="603"/>
    </row>
    <row r="78" spans="1:6">
      <c r="A78" s="603"/>
      <c r="E78" s="603"/>
      <c r="F78" s="603"/>
    </row>
    <row r="79" spans="1:6">
      <c r="A79" s="603"/>
      <c r="E79" s="603"/>
      <c r="F79" s="603"/>
    </row>
    <row r="80" spans="1:6">
      <c r="A80" s="603"/>
      <c r="E80" s="603"/>
      <c r="F80" s="603"/>
    </row>
    <row r="81" spans="1:6">
      <c r="A81" s="603"/>
      <c r="E81" s="603"/>
      <c r="F81" s="603"/>
    </row>
    <row r="82" spans="1:6">
      <c r="A82" s="603"/>
      <c r="E82" s="603"/>
      <c r="F82" s="603"/>
    </row>
    <row r="83" spans="1:6">
      <c r="A83" s="603"/>
      <c r="E83" s="603"/>
      <c r="F83" s="603"/>
    </row>
    <row r="84" spans="1:6">
      <c r="A84" s="603"/>
      <c r="E84" s="603"/>
      <c r="F84" s="603"/>
    </row>
    <row r="85" spans="1:6">
      <c r="A85" s="603"/>
      <c r="E85" s="603"/>
      <c r="F85" s="603"/>
    </row>
    <row r="86" spans="1:6">
      <c r="A86" s="603"/>
      <c r="E86" s="603"/>
      <c r="F86" s="603"/>
    </row>
    <row r="87" spans="1:6">
      <c r="A87" s="603"/>
      <c r="E87" s="603"/>
      <c r="F87" s="603"/>
    </row>
    <row r="88" spans="1:6">
      <c r="A88" s="603"/>
      <c r="E88" s="603"/>
      <c r="F88" s="603"/>
    </row>
    <row r="89" spans="1:6">
      <c r="A89" s="603"/>
      <c r="E89" s="603"/>
      <c r="F89" s="603"/>
    </row>
    <row r="90" spans="1:6">
      <c r="A90" s="603"/>
      <c r="E90" s="603"/>
      <c r="F90" s="603"/>
    </row>
    <row r="91" spans="1:6">
      <c r="A91" s="603"/>
      <c r="E91" s="603"/>
      <c r="F91" s="603"/>
    </row>
    <row r="92" spans="1:6">
      <c r="A92" s="603"/>
      <c r="E92" s="603"/>
      <c r="F92" s="603"/>
    </row>
    <row r="93" spans="1:6">
      <c r="A93" s="603"/>
      <c r="E93" s="603"/>
      <c r="F93" s="603"/>
    </row>
    <row r="94" spans="1:6">
      <c r="A94" s="603"/>
      <c r="E94" s="603"/>
      <c r="F94" s="603"/>
    </row>
    <row r="95" spans="1:6">
      <c r="A95" s="603"/>
      <c r="E95" s="603"/>
      <c r="F95" s="603"/>
    </row>
    <row r="96" spans="1:6">
      <c r="A96" s="603"/>
      <c r="E96" s="603"/>
      <c r="F96" s="603"/>
    </row>
    <row r="97" spans="1:6">
      <c r="A97" s="603"/>
      <c r="E97" s="603"/>
      <c r="F97" s="603"/>
    </row>
    <row r="98" spans="1:6">
      <c r="A98" s="603"/>
      <c r="E98" s="603"/>
      <c r="F98" s="603"/>
    </row>
    <row r="99" spans="1:6">
      <c r="A99" s="603"/>
      <c r="E99" s="603"/>
      <c r="F99" s="603"/>
    </row>
    <row r="100" spans="1:6">
      <c r="A100" s="603"/>
      <c r="E100" s="603"/>
      <c r="F100" s="603"/>
    </row>
    <row r="101" spans="1:6">
      <c r="A101" s="603"/>
      <c r="E101" s="603"/>
      <c r="F101" s="603"/>
    </row>
    <row r="102" spans="1:6">
      <c r="A102" s="603"/>
      <c r="E102" s="603"/>
      <c r="F102" s="603"/>
    </row>
    <row r="103" spans="1:6">
      <c r="A103" s="603"/>
      <c r="E103" s="603"/>
      <c r="F103" s="603"/>
    </row>
    <row r="104" spans="1:6">
      <c r="A104" s="603"/>
      <c r="E104" s="603"/>
      <c r="F104" s="603"/>
    </row>
    <row r="105" spans="1:6">
      <c r="A105" s="603"/>
      <c r="E105" s="603"/>
      <c r="F105" s="603"/>
    </row>
    <row r="106" spans="1:6">
      <c r="A106" s="603"/>
      <c r="E106" s="603"/>
      <c r="F106" s="603"/>
    </row>
    <row r="107" spans="1:6">
      <c r="A107" s="603"/>
      <c r="E107" s="603"/>
      <c r="F107" s="603"/>
    </row>
    <row r="108" spans="1:6">
      <c r="A108" s="603"/>
      <c r="E108" s="603"/>
      <c r="F108" s="603"/>
    </row>
    <row r="109" spans="1:6">
      <c r="A109" s="603"/>
      <c r="E109" s="603"/>
      <c r="F109" s="603"/>
    </row>
    <row r="110" spans="1:6">
      <c r="A110" s="603"/>
      <c r="E110" s="603"/>
      <c r="F110" s="603"/>
    </row>
    <row r="111" spans="1:6">
      <c r="A111" s="603"/>
      <c r="E111" s="603"/>
      <c r="F111" s="603"/>
    </row>
    <row r="112" spans="1:6">
      <c r="A112" s="603"/>
      <c r="E112" s="603"/>
      <c r="F112" s="603"/>
    </row>
  </sheetData>
  <mergeCells count="1">
    <mergeCell ref="B4:C4"/>
  </mergeCells>
  <pageMargins left="0.74803149606299202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0"/>
  <sheetViews>
    <sheetView workbookViewId="0">
      <selection activeCell="L15" sqref="L15"/>
    </sheetView>
  </sheetViews>
  <sheetFormatPr defaultColWidth="15.28515625" defaultRowHeight="15"/>
  <cols>
    <col min="1" max="1" width="46.28515625" style="656" customWidth="1"/>
    <col min="2" max="2" width="10.85546875" style="603" customWidth="1"/>
    <col min="3" max="3" width="11.140625" style="603" customWidth="1"/>
    <col min="4" max="4" width="16.140625" style="603" customWidth="1"/>
    <col min="5" max="249" width="9.140625" style="656" customWidth="1"/>
    <col min="250" max="250" width="40" style="656" customWidth="1"/>
    <col min="251" max="251" width="8.140625" style="656" customWidth="1"/>
    <col min="252" max="16384" width="15.28515625" style="656"/>
  </cols>
  <sheetData>
    <row r="1" spans="1:8" ht="18" customHeight="1">
      <c r="A1" s="587" t="s">
        <v>545</v>
      </c>
      <c r="B1" s="621"/>
      <c r="C1" s="622"/>
      <c r="D1" s="656"/>
      <c r="F1" s="589"/>
      <c r="G1" s="657"/>
      <c r="H1" s="657"/>
    </row>
    <row r="2" spans="1:8" ht="18" customHeight="1">
      <c r="A2" s="623"/>
      <c r="B2" s="623"/>
      <c r="C2" s="624"/>
      <c r="D2" s="656"/>
      <c r="F2" s="589"/>
      <c r="G2" s="657"/>
      <c r="H2" s="657"/>
    </row>
    <row r="3" spans="1:8" ht="18" customHeight="1">
      <c r="A3" s="625"/>
      <c r="B3" s="626"/>
      <c r="C3" s="656"/>
      <c r="D3" s="628" t="s">
        <v>82</v>
      </c>
      <c r="F3" s="589"/>
    </row>
    <row r="4" spans="1:8" ht="18" customHeight="1">
      <c r="A4" s="595"/>
      <c r="B4" s="964" t="s">
        <v>482</v>
      </c>
      <c r="C4" s="964"/>
      <c r="D4" s="596" t="s">
        <v>86</v>
      </c>
      <c r="F4" s="589"/>
    </row>
    <row r="5" spans="1:8" ht="18" customHeight="1">
      <c r="A5" s="597"/>
      <c r="B5" s="598" t="s">
        <v>43</v>
      </c>
      <c r="C5" s="598" t="s">
        <v>42</v>
      </c>
      <c r="D5" s="599" t="s">
        <v>483</v>
      </c>
      <c r="F5" s="600"/>
    </row>
    <row r="6" spans="1:8" ht="18" customHeight="1">
      <c r="A6" s="597"/>
      <c r="B6" s="601" t="s">
        <v>88</v>
      </c>
      <c r="C6" s="601" t="s">
        <v>87</v>
      </c>
      <c r="D6" s="602" t="s">
        <v>88</v>
      </c>
      <c r="F6" s="600"/>
    </row>
    <row r="7" spans="1:8" ht="18" customHeight="1">
      <c r="A7" s="597"/>
      <c r="B7" s="629"/>
      <c r="C7" s="629"/>
      <c r="D7" s="656"/>
      <c r="F7" s="603"/>
    </row>
    <row r="8" spans="1:8" s="660" customFormat="1" ht="18" customHeight="1">
      <c r="A8" s="634" t="s">
        <v>546</v>
      </c>
      <c r="B8" s="658">
        <v>100.74085637090211</v>
      </c>
      <c r="C8" s="658">
        <v>99.926005888932352</v>
      </c>
      <c r="D8" s="659">
        <v>101.09793440441733</v>
      </c>
      <c r="F8" s="603"/>
    </row>
    <row r="9" spans="1:8" s="660" customFormat="1" ht="18" customHeight="1">
      <c r="A9" s="634" t="s">
        <v>527</v>
      </c>
      <c r="B9" s="658">
        <v>103.28100842983989</v>
      </c>
      <c r="C9" s="658">
        <v>100.25525459482853</v>
      </c>
      <c r="D9" s="659">
        <v>105.53353324070211</v>
      </c>
      <c r="F9" s="603"/>
    </row>
    <row r="10" spans="1:8" s="660" customFormat="1" ht="18" customHeight="1">
      <c r="A10" s="616" t="s">
        <v>278</v>
      </c>
      <c r="B10" s="661"/>
      <c r="C10" s="661"/>
      <c r="D10" s="662"/>
      <c r="F10" s="603"/>
    </row>
    <row r="11" spans="1:8" s="660" customFormat="1" ht="18" customHeight="1">
      <c r="A11" s="654" t="s">
        <v>547</v>
      </c>
      <c r="B11" s="661">
        <v>100.71178502943428</v>
      </c>
      <c r="C11" s="661">
        <v>99.317088949573318</v>
      </c>
      <c r="D11" s="662">
        <v>101.303092363378</v>
      </c>
      <c r="F11" s="603"/>
    </row>
    <row r="12" spans="1:8" s="660" customFormat="1" ht="18" customHeight="1">
      <c r="A12" s="654" t="s">
        <v>548</v>
      </c>
      <c r="B12" s="661">
        <v>107.0916668592095</v>
      </c>
      <c r="C12" s="661">
        <v>99.216616191723688</v>
      </c>
      <c r="D12" s="662">
        <v>114.47473798807566</v>
      </c>
      <c r="F12" s="603"/>
    </row>
    <row r="13" spans="1:8" s="660" customFormat="1" ht="18" customHeight="1">
      <c r="A13" s="654" t="s">
        <v>549</v>
      </c>
      <c r="B13" s="661">
        <v>97.808711116108924</v>
      </c>
      <c r="C13" s="661">
        <v>100.23692440000001</v>
      </c>
      <c r="D13" s="662">
        <v>94.780468017994409</v>
      </c>
      <c r="E13" s="656"/>
      <c r="F13" s="603"/>
    </row>
    <row r="14" spans="1:8" ht="18" customHeight="1">
      <c r="A14" s="654" t="s">
        <v>550</v>
      </c>
      <c r="B14" s="661">
        <v>107.76258015935318</v>
      </c>
      <c r="C14" s="661">
        <v>102.66289504630083</v>
      </c>
      <c r="D14" s="662">
        <v>111.65483673018218</v>
      </c>
      <c r="E14" s="660"/>
      <c r="F14" s="603"/>
    </row>
    <row r="15" spans="1:8" s="660" customFormat="1" ht="18" customHeight="1">
      <c r="A15" s="634" t="s">
        <v>531</v>
      </c>
      <c r="B15" s="658">
        <v>92.711437380818424</v>
      </c>
      <c r="C15" s="658">
        <v>97.105648608618139</v>
      </c>
      <c r="D15" s="659">
        <v>94.399701153455425</v>
      </c>
      <c r="F15" s="615"/>
    </row>
    <row r="16" spans="1:8" s="660" customFormat="1" ht="18" customHeight="1">
      <c r="A16" s="652" t="s">
        <v>532</v>
      </c>
      <c r="B16" s="661">
        <v>99.446244673906676</v>
      </c>
      <c r="C16" s="661">
        <v>99.265512370337277</v>
      </c>
      <c r="D16" s="662">
        <v>100.6971741849094</v>
      </c>
      <c r="F16" s="615"/>
    </row>
    <row r="17" spans="1:6" s="660" customFormat="1" ht="18" customHeight="1">
      <c r="A17" s="652" t="s">
        <v>438</v>
      </c>
      <c r="B17" s="661">
        <v>91.554294213831383</v>
      </c>
      <c r="C17" s="661">
        <v>96.083501492586862</v>
      </c>
      <c r="D17" s="662">
        <v>99.302530828915607</v>
      </c>
      <c r="F17" s="615"/>
    </row>
    <row r="18" spans="1:6" s="660" customFormat="1" ht="18" customHeight="1">
      <c r="A18" s="652" t="s">
        <v>436</v>
      </c>
      <c r="B18" s="661">
        <v>81.052218898230777</v>
      </c>
      <c r="C18" s="661">
        <v>95.21791829325818</v>
      </c>
      <c r="D18" s="662">
        <v>81.483363753010266</v>
      </c>
      <c r="F18" s="615"/>
    </row>
    <row r="19" spans="1:6" s="660" customFormat="1" ht="18" customHeight="1">
      <c r="A19" s="634" t="s">
        <v>533</v>
      </c>
      <c r="B19" s="658">
        <v>101.11740226522681</v>
      </c>
      <c r="C19" s="658">
        <v>100.1352655604793</v>
      </c>
      <c r="D19" s="659">
        <v>101.28303417042571</v>
      </c>
      <c r="F19" s="615"/>
    </row>
    <row r="20" spans="1:6" s="660" customFormat="1" ht="18" customHeight="1">
      <c r="A20" s="616" t="s">
        <v>278</v>
      </c>
      <c r="B20" s="661"/>
      <c r="C20" s="661"/>
      <c r="D20" s="662"/>
      <c r="F20" s="615"/>
    </row>
    <row r="21" spans="1:6" s="660" customFormat="1" ht="18" customHeight="1">
      <c r="A21" s="652" t="s">
        <v>551</v>
      </c>
      <c r="B21" s="661">
        <v>95.70722444062369</v>
      </c>
      <c r="C21" s="661">
        <v>99.234047637688874</v>
      </c>
      <c r="D21" s="662">
        <v>90.386424006719267</v>
      </c>
      <c r="F21" s="615"/>
    </row>
    <row r="22" spans="1:6" s="660" customFormat="1" ht="18" customHeight="1">
      <c r="A22" s="652" t="s">
        <v>404</v>
      </c>
      <c r="B22" s="661">
        <v>113.58911554861197</v>
      </c>
      <c r="C22" s="661">
        <v>103.5027199866102</v>
      </c>
      <c r="D22" s="662">
        <v>109.227032431556</v>
      </c>
      <c r="F22" s="615"/>
    </row>
    <row r="23" spans="1:6" s="660" customFormat="1" ht="18" customHeight="1">
      <c r="A23" s="652" t="s">
        <v>552</v>
      </c>
      <c r="B23" s="661">
        <v>91.023320982449206</v>
      </c>
      <c r="C23" s="661">
        <v>93.771416719077564</v>
      </c>
      <c r="D23" s="662">
        <v>103.91075394177004</v>
      </c>
      <c r="F23" s="615"/>
    </row>
    <row r="24" spans="1:6" s="660" customFormat="1" ht="18" customHeight="1">
      <c r="A24" s="652" t="s">
        <v>553</v>
      </c>
      <c r="B24" s="661">
        <v>101.80114053454852</v>
      </c>
      <c r="C24" s="661">
        <v>99.393333922458822</v>
      </c>
      <c r="D24" s="662">
        <v>102.72768864449144</v>
      </c>
      <c r="F24" s="615"/>
    </row>
    <row r="25" spans="1:6" s="660" customFormat="1" ht="18" customHeight="1">
      <c r="A25" s="652" t="s">
        <v>554</v>
      </c>
      <c r="B25" s="661">
        <v>95.952559380962413</v>
      </c>
      <c r="C25" s="661">
        <v>98.080996193131611</v>
      </c>
      <c r="D25" s="662">
        <v>97.671823572972798</v>
      </c>
      <c r="F25" s="615"/>
    </row>
    <row r="26" spans="1:6" s="660" customFormat="1" ht="18" customHeight="1">
      <c r="A26" s="652" t="s">
        <v>406</v>
      </c>
      <c r="B26" s="661">
        <v>96.765259195753728</v>
      </c>
      <c r="C26" s="661">
        <v>98.826117187903378</v>
      </c>
      <c r="D26" s="662">
        <v>97.783664469912082</v>
      </c>
      <c r="F26" s="615"/>
    </row>
    <row r="27" spans="1:6" s="660" customFormat="1" ht="18" customHeight="1">
      <c r="A27" s="652" t="s">
        <v>555</v>
      </c>
      <c r="B27" s="661">
        <v>99.068848430496274</v>
      </c>
      <c r="C27" s="661">
        <v>98.845738962288237</v>
      </c>
      <c r="D27" s="662">
        <v>108.66505272931383</v>
      </c>
      <c r="F27" s="615"/>
    </row>
    <row r="28" spans="1:6" s="660" customFormat="1" ht="18" customHeight="1">
      <c r="A28" s="652" t="s">
        <v>537</v>
      </c>
      <c r="B28" s="661">
        <v>96.804951521779429</v>
      </c>
      <c r="C28" s="661">
        <v>99.418108663246358</v>
      </c>
      <c r="D28" s="662">
        <v>99.082235508819821</v>
      </c>
      <c r="F28" s="615"/>
    </row>
    <row r="29" spans="1:6" s="660" customFormat="1" ht="18" customHeight="1">
      <c r="A29" s="652" t="s">
        <v>556</v>
      </c>
      <c r="B29" s="661">
        <v>96.793154147456761</v>
      </c>
      <c r="C29" s="661">
        <v>99.039463807395322</v>
      </c>
      <c r="D29" s="662">
        <v>99.19318801047713</v>
      </c>
      <c r="F29" s="615"/>
    </row>
    <row r="30" spans="1:6" s="660" customFormat="1" ht="18" customHeight="1">
      <c r="A30" s="652" t="s">
        <v>557</v>
      </c>
      <c r="B30" s="661">
        <v>96.711538019780775</v>
      </c>
      <c r="C30" s="661">
        <v>99.215006241224629</v>
      </c>
      <c r="D30" s="662">
        <v>99.526992020560812</v>
      </c>
      <c r="F30" s="615"/>
    </row>
    <row r="31" spans="1:6" s="660" customFormat="1" ht="18" customHeight="1">
      <c r="A31" s="652" t="s">
        <v>558</v>
      </c>
      <c r="B31" s="661">
        <v>98.234822688087093</v>
      </c>
      <c r="C31" s="661">
        <v>99.575558950453583</v>
      </c>
      <c r="D31" s="662">
        <v>99.315032983421389</v>
      </c>
      <c r="F31" s="615"/>
    </row>
    <row r="32" spans="1:6" s="660" customFormat="1" ht="18" customHeight="1">
      <c r="A32" s="652" t="s">
        <v>416</v>
      </c>
      <c r="B32" s="661">
        <v>98.899944570385699</v>
      </c>
      <c r="C32" s="661">
        <v>99.295694557407842</v>
      </c>
      <c r="D32" s="662">
        <v>99.588235774330769</v>
      </c>
      <c r="F32" s="615"/>
    </row>
    <row r="33" spans="1:6" s="660" customFormat="1" ht="18" customHeight="1">
      <c r="A33" s="652" t="s">
        <v>418</v>
      </c>
      <c r="B33" s="661">
        <v>99.329096723611059</v>
      </c>
      <c r="C33" s="661">
        <v>101.90564225555974</v>
      </c>
      <c r="D33" s="662">
        <v>95.455425992403221</v>
      </c>
      <c r="F33" s="615"/>
    </row>
    <row r="34" spans="1:6" s="660" customFormat="1" ht="18" customHeight="1">
      <c r="A34" s="652" t="s">
        <v>541</v>
      </c>
      <c r="B34" s="661">
        <v>95.550440048972249</v>
      </c>
      <c r="C34" s="661">
        <v>99.617527051410249</v>
      </c>
      <c r="D34" s="662">
        <v>97.174225948909481</v>
      </c>
      <c r="F34" s="615"/>
    </row>
    <row r="35" spans="1:6" s="660" customFormat="1" ht="18" customHeight="1">
      <c r="A35" s="652" t="s">
        <v>422</v>
      </c>
      <c r="B35" s="661">
        <v>98.621544917179605</v>
      </c>
      <c r="C35" s="661">
        <v>99.306285549396662</v>
      </c>
      <c r="D35" s="662">
        <v>101.70650257259204</v>
      </c>
      <c r="F35" s="615"/>
    </row>
    <row r="36" spans="1:6" s="660" customFormat="1" ht="18" customHeight="1">
      <c r="A36" s="652" t="s">
        <v>559</v>
      </c>
      <c r="B36" s="661">
        <v>101.30852152061887</v>
      </c>
      <c r="C36" s="661">
        <v>99.529851829650113</v>
      </c>
      <c r="D36" s="662">
        <v>101.89361127668664</v>
      </c>
      <c r="F36" s="615"/>
    </row>
    <row r="37" spans="1:6" s="660" customFormat="1" ht="18" customHeight="1">
      <c r="A37" s="652" t="s">
        <v>560</v>
      </c>
      <c r="B37" s="661">
        <v>100.59441008155315</v>
      </c>
      <c r="C37" s="661">
        <v>99.634587470330317</v>
      </c>
      <c r="D37" s="662">
        <v>100.4332476216687</v>
      </c>
      <c r="F37" s="615"/>
    </row>
    <row r="38" spans="1:6" s="660" customFormat="1" ht="18" customHeight="1">
      <c r="A38" s="652" t="s">
        <v>561</v>
      </c>
      <c r="B38" s="661">
        <v>97.236315873736899</v>
      </c>
      <c r="C38" s="661">
        <v>100.93528593112202</v>
      </c>
      <c r="D38" s="662">
        <v>98.563072881727322</v>
      </c>
      <c r="F38" s="615"/>
    </row>
    <row r="39" spans="1:6" s="660" customFormat="1" ht="18" customHeight="1">
      <c r="A39" s="652" t="s">
        <v>562</v>
      </c>
      <c r="B39" s="661">
        <v>102.9987469535681</v>
      </c>
      <c r="C39" s="661">
        <v>102.20782344992416</v>
      </c>
      <c r="D39" s="662">
        <v>102.31545654262396</v>
      </c>
      <c r="F39" s="615"/>
    </row>
    <row r="40" spans="1:6" s="619" customFormat="1" ht="6" customHeight="1">
      <c r="A40" s="618"/>
      <c r="B40" s="618"/>
      <c r="C40" s="618"/>
      <c r="D40" s="618"/>
    </row>
    <row r="41" spans="1:6" s="619" customFormat="1" ht="21.75" customHeight="1">
      <c r="A41" s="620" t="s">
        <v>498</v>
      </c>
    </row>
    <row r="42" spans="1:6" s="660" customFormat="1" ht="14.1" customHeight="1">
      <c r="A42" s="663"/>
      <c r="B42" s="664"/>
      <c r="C42" s="664"/>
      <c r="D42" s="665"/>
      <c r="F42" s="603"/>
    </row>
    <row r="43" spans="1:6" s="660" customFormat="1" ht="14.1" customHeight="1">
      <c r="A43" s="663"/>
      <c r="B43" s="664"/>
      <c r="C43" s="664"/>
      <c r="D43" s="665"/>
      <c r="F43" s="603"/>
    </row>
    <row r="44" spans="1:6" s="660" customFormat="1" ht="14.1" customHeight="1">
      <c r="A44" s="663"/>
      <c r="B44" s="664"/>
      <c r="C44" s="664"/>
      <c r="D44" s="665"/>
      <c r="F44" s="603"/>
    </row>
    <row r="45" spans="1:6" s="660" customFormat="1" ht="14.1" customHeight="1">
      <c r="A45" s="663"/>
      <c r="B45" s="664"/>
      <c r="C45" s="664"/>
      <c r="D45" s="665"/>
      <c r="F45" s="603"/>
    </row>
    <row r="46" spans="1:6" s="660" customFormat="1" ht="14.1" customHeight="1">
      <c r="A46" s="663"/>
      <c r="B46" s="664"/>
      <c r="C46" s="664"/>
      <c r="D46" s="665"/>
      <c r="F46" s="603"/>
    </row>
    <row r="47" spans="1:6" s="660" customFormat="1" ht="14.1" customHeight="1">
      <c r="A47" s="603"/>
      <c r="B47" s="603"/>
      <c r="C47" s="603"/>
      <c r="D47" s="603"/>
      <c r="E47" s="603"/>
      <c r="F47" s="603"/>
    </row>
    <row r="48" spans="1:6" s="660" customFormat="1" ht="14.1" customHeight="1">
      <c r="A48" s="603"/>
      <c r="B48" s="603"/>
      <c r="C48" s="603"/>
      <c r="D48" s="603"/>
      <c r="E48" s="603"/>
      <c r="F48" s="603"/>
    </row>
    <row r="49" spans="1:6" s="660" customFormat="1" ht="14.1" customHeight="1">
      <c r="A49" s="603"/>
      <c r="B49" s="603"/>
      <c r="C49" s="603"/>
      <c r="D49" s="603"/>
      <c r="E49" s="603"/>
      <c r="F49" s="603"/>
    </row>
    <row r="50" spans="1:6" s="660" customFormat="1" ht="14.1" customHeight="1">
      <c r="A50" s="603"/>
      <c r="B50" s="603"/>
      <c r="C50" s="603"/>
      <c r="D50" s="603"/>
      <c r="E50" s="603"/>
      <c r="F50" s="603"/>
    </row>
    <row r="51" spans="1:6" s="660" customFormat="1" ht="14.1" customHeight="1">
      <c r="A51" s="603"/>
      <c r="B51" s="603"/>
      <c r="C51" s="603"/>
      <c r="D51" s="603"/>
      <c r="E51" s="603"/>
      <c r="F51" s="603"/>
    </row>
    <row r="52" spans="1:6" s="660" customFormat="1" ht="14.1" customHeight="1">
      <c r="A52" s="603"/>
      <c r="B52" s="603"/>
      <c r="C52" s="603"/>
      <c r="D52" s="603"/>
      <c r="E52" s="603"/>
      <c r="F52" s="603"/>
    </row>
    <row r="53" spans="1:6">
      <c r="A53" s="603"/>
      <c r="E53" s="603"/>
      <c r="F53" s="603"/>
    </row>
    <row r="54" spans="1:6">
      <c r="A54" s="603"/>
      <c r="E54" s="603"/>
      <c r="F54" s="603"/>
    </row>
    <row r="55" spans="1:6">
      <c r="A55" s="603"/>
      <c r="E55" s="603"/>
      <c r="F55" s="603"/>
    </row>
    <row r="56" spans="1:6">
      <c r="A56" s="603"/>
      <c r="E56" s="603"/>
      <c r="F56" s="603"/>
    </row>
    <row r="57" spans="1:6">
      <c r="A57" s="603"/>
      <c r="E57" s="603"/>
      <c r="F57" s="603"/>
    </row>
    <row r="58" spans="1:6">
      <c r="A58" s="603"/>
      <c r="E58" s="603"/>
      <c r="F58" s="603"/>
    </row>
    <row r="59" spans="1:6">
      <c r="A59" s="603"/>
      <c r="E59" s="603"/>
      <c r="F59" s="603"/>
    </row>
    <row r="60" spans="1:6">
      <c r="A60" s="603"/>
      <c r="E60" s="603"/>
      <c r="F60" s="603"/>
    </row>
    <row r="61" spans="1:6">
      <c r="A61" s="603"/>
      <c r="E61" s="603"/>
      <c r="F61" s="603"/>
    </row>
    <row r="62" spans="1:6">
      <c r="A62" s="603"/>
      <c r="E62" s="603"/>
      <c r="F62" s="603"/>
    </row>
    <row r="63" spans="1:6">
      <c r="A63" s="603"/>
      <c r="E63" s="603"/>
      <c r="F63" s="603"/>
    </row>
    <row r="64" spans="1:6">
      <c r="A64" s="603"/>
      <c r="E64" s="603"/>
      <c r="F64" s="603"/>
    </row>
    <row r="65" spans="1:6">
      <c r="A65" s="603"/>
      <c r="E65" s="603"/>
      <c r="F65" s="603"/>
    </row>
    <row r="66" spans="1:6">
      <c r="A66" s="603"/>
      <c r="E66" s="603"/>
      <c r="F66" s="603"/>
    </row>
    <row r="67" spans="1:6">
      <c r="A67" s="603"/>
      <c r="E67" s="603"/>
      <c r="F67" s="603"/>
    </row>
    <row r="68" spans="1:6">
      <c r="A68" s="603"/>
      <c r="E68" s="603"/>
      <c r="F68" s="603"/>
    </row>
    <row r="69" spans="1:6">
      <c r="A69" s="603"/>
      <c r="E69" s="603"/>
      <c r="F69" s="603"/>
    </row>
    <row r="70" spans="1:6">
      <c r="A70" s="603"/>
      <c r="E70" s="603"/>
      <c r="F70" s="603"/>
    </row>
    <row r="71" spans="1:6">
      <c r="A71" s="603"/>
      <c r="E71" s="603"/>
      <c r="F71" s="603"/>
    </row>
    <row r="72" spans="1:6">
      <c r="A72" s="603"/>
      <c r="E72" s="603"/>
      <c r="F72" s="603"/>
    </row>
    <row r="73" spans="1:6">
      <c r="A73" s="603"/>
      <c r="E73" s="603"/>
      <c r="F73" s="603"/>
    </row>
    <row r="74" spans="1:6">
      <c r="A74" s="603"/>
      <c r="E74" s="603"/>
      <c r="F74" s="603"/>
    </row>
    <row r="75" spans="1:6">
      <c r="A75" s="603"/>
      <c r="E75" s="603"/>
      <c r="F75" s="603"/>
    </row>
    <row r="76" spans="1:6">
      <c r="A76" s="603"/>
      <c r="E76" s="603"/>
      <c r="F76" s="603"/>
    </row>
    <row r="77" spans="1:6">
      <c r="A77" s="603"/>
      <c r="E77" s="603"/>
      <c r="F77" s="603"/>
    </row>
    <row r="78" spans="1:6">
      <c r="A78" s="603"/>
      <c r="E78" s="603"/>
      <c r="F78" s="603"/>
    </row>
    <row r="79" spans="1:6">
      <c r="A79" s="603"/>
      <c r="E79" s="603"/>
      <c r="F79" s="603"/>
    </row>
    <row r="80" spans="1:6">
      <c r="A80" s="603"/>
      <c r="E80" s="603"/>
      <c r="F80" s="603"/>
    </row>
    <row r="81" spans="1:6">
      <c r="A81" s="603"/>
      <c r="E81" s="603"/>
      <c r="F81" s="603"/>
    </row>
    <row r="82" spans="1:6">
      <c r="A82" s="603"/>
      <c r="E82" s="603"/>
      <c r="F82" s="603"/>
    </row>
    <row r="83" spans="1:6">
      <c r="A83" s="603"/>
      <c r="E83" s="603"/>
      <c r="F83" s="603"/>
    </row>
    <row r="84" spans="1:6">
      <c r="A84" s="603"/>
      <c r="E84" s="603"/>
      <c r="F84" s="603"/>
    </row>
    <row r="85" spans="1:6">
      <c r="A85" s="603"/>
      <c r="E85" s="603"/>
      <c r="F85" s="603"/>
    </row>
    <row r="86" spans="1:6">
      <c r="A86" s="603"/>
      <c r="E86" s="603"/>
      <c r="F86" s="603"/>
    </row>
    <row r="87" spans="1:6">
      <c r="A87" s="603"/>
      <c r="E87" s="603"/>
      <c r="F87" s="603"/>
    </row>
    <row r="88" spans="1:6">
      <c r="A88" s="603"/>
      <c r="E88" s="603"/>
      <c r="F88" s="603"/>
    </row>
    <row r="89" spans="1:6">
      <c r="A89" s="603"/>
      <c r="E89" s="603"/>
      <c r="F89" s="603"/>
    </row>
    <row r="90" spans="1:6">
      <c r="A90" s="603"/>
      <c r="E90" s="603"/>
      <c r="F90" s="603"/>
    </row>
    <row r="91" spans="1:6">
      <c r="A91" s="603"/>
      <c r="E91" s="603"/>
      <c r="F91" s="603"/>
    </row>
    <row r="92" spans="1:6">
      <c r="A92" s="603"/>
      <c r="E92" s="603"/>
      <c r="F92" s="603"/>
    </row>
    <row r="93" spans="1:6">
      <c r="A93" s="603"/>
      <c r="E93" s="603"/>
      <c r="F93" s="603"/>
    </row>
    <row r="94" spans="1:6">
      <c r="A94" s="603"/>
      <c r="E94" s="603"/>
      <c r="F94" s="603"/>
    </row>
    <row r="95" spans="1:6">
      <c r="A95" s="603"/>
      <c r="E95" s="603"/>
      <c r="F95" s="603"/>
    </row>
    <row r="96" spans="1:6">
      <c r="A96" s="603"/>
      <c r="E96" s="603"/>
      <c r="F96" s="603"/>
    </row>
    <row r="97" spans="1:6">
      <c r="A97" s="603"/>
      <c r="E97" s="603"/>
      <c r="F97" s="603"/>
    </row>
    <row r="98" spans="1:6">
      <c r="A98" s="603"/>
      <c r="E98" s="603"/>
      <c r="F98" s="603"/>
    </row>
    <row r="99" spans="1:6">
      <c r="A99" s="603"/>
      <c r="E99" s="603"/>
      <c r="F99" s="603"/>
    </row>
    <row r="100" spans="1:6">
      <c r="A100" s="603"/>
      <c r="E100" s="603"/>
      <c r="F100" s="603"/>
    </row>
    <row r="101" spans="1:6">
      <c r="A101" s="603"/>
      <c r="E101" s="603"/>
      <c r="F101" s="603"/>
    </row>
    <row r="102" spans="1:6">
      <c r="A102" s="603"/>
      <c r="E102" s="603"/>
      <c r="F102" s="603"/>
    </row>
    <row r="103" spans="1:6">
      <c r="A103" s="603"/>
      <c r="E103" s="603"/>
      <c r="F103" s="603"/>
    </row>
    <row r="104" spans="1:6">
      <c r="A104" s="603"/>
      <c r="E104" s="603"/>
      <c r="F104" s="603"/>
    </row>
    <row r="105" spans="1:6">
      <c r="A105" s="603"/>
      <c r="E105" s="603"/>
      <c r="F105" s="603"/>
    </row>
    <row r="106" spans="1:6">
      <c r="A106" s="603"/>
      <c r="E106" s="603"/>
      <c r="F106" s="603"/>
    </row>
    <row r="107" spans="1:6">
      <c r="A107" s="603"/>
      <c r="E107" s="603"/>
      <c r="F107" s="603"/>
    </row>
    <row r="108" spans="1:6">
      <c r="A108" s="603"/>
      <c r="E108" s="603"/>
      <c r="F108" s="603"/>
    </row>
    <row r="109" spans="1:6">
      <c r="A109" s="603"/>
      <c r="E109" s="603"/>
      <c r="F109" s="603"/>
    </row>
    <row r="110" spans="1:6">
      <c r="A110" s="603"/>
      <c r="E110" s="603"/>
      <c r="F110" s="603"/>
    </row>
  </sheetData>
  <mergeCells count="1">
    <mergeCell ref="B4:C4"/>
  </mergeCells>
  <pageMargins left="0.74803149606299202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1"/>
  <sheetViews>
    <sheetView workbookViewId="0">
      <selection activeCell="L15" sqref="L15"/>
    </sheetView>
  </sheetViews>
  <sheetFormatPr defaultColWidth="9.140625" defaultRowHeight="15"/>
  <cols>
    <col min="1" max="1" width="45.28515625" style="668" customWidth="1"/>
    <col min="2" max="2" width="10.85546875" style="603" customWidth="1"/>
    <col min="3" max="3" width="11.140625" style="603" customWidth="1"/>
    <col min="4" max="4" width="16.85546875" style="603" customWidth="1"/>
    <col min="5" max="16384" width="9.140625" style="668"/>
  </cols>
  <sheetData>
    <row r="1" spans="1:6" ht="20.100000000000001" customHeight="1">
      <c r="A1" s="666" t="s">
        <v>563</v>
      </c>
      <c r="B1" s="666"/>
      <c r="C1" s="666"/>
      <c r="D1" s="667"/>
      <c r="E1" s="667"/>
      <c r="F1" s="589"/>
    </row>
    <row r="2" spans="1:6" ht="20.100000000000001" customHeight="1">
      <c r="A2" s="669"/>
      <c r="B2" s="669"/>
      <c r="C2" s="670"/>
      <c r="D2" s="668"/>
      <c r="F2" s="589"/>
    </row>
    <row r="3" spans="1:6" ht="20.100000000000001" customHeight="1">
      <c r="A3" s="670"/>
      <c r="B3" s="670"/>
      <c r="C3" s="668"/>
      <c r="D3" s="628" t="s">
        <v>82</v>
      </c>
      <c r="F3" s="589"/>
    </row>
    <row r="4" spans="1:6" ht="20.100000000000001" customHeight="1">
      <c r="A4" s="671"/>
      <c r="B4" s="964" t="s">
        <v>482</v>
      </c>
      <c r="C4" s="964"/>
      <c r="D4" s="596" t="s">
        <v>86</v>
      </c>
      <c r="F4" s="589"/>
    </row>
    <row r="5" spans="1:6" ht="20.100000000000001" customHeight="1">
      <c r="A5" s="670"/>
      <c r="B5" s="598" t="s">
        <v>43</v>
      </c>
      <c r="C5" s="598" t="s">
        <v>42</v>
      </c>
      <c r="D5" s="599" t="s">
        <v>483</v>
      </c>
      <c r="F5" s="600"/>
    </row>
    <row r="6" spans="1:6" ht="20.100000000000001" customHeight="1">
      <c r="A6" s="670"/>
      <c r="B6" s="601" t="s">
        <v>88</v>
      </c>
      <c r="C6" s="601" t="s">
        <v>87</v>
      </c>
      <c r="D6" s="602" t="s">
        <v>88</v>
      </c>
      <c r="F6" s="600"/>
    </row>
    <row r="7" spans="1:6" ht="20.100000000000001" customHeight="1">
      <c r="A7" s="670"/>
      <c r="B7" s="629"/>
      <c r="C7" s="629"/>
      <c r="D7" s="668"/>
      <c r="F7" s="603"/>
    </row>
    <row r="8" spans="1:6" ht="20.100000000000001" customHeight="1">
      <c r="A8" s="672" t="s">
        <v>500</v>
      </c>
      <c r="B8" s="658">
        <v>100.00460984337288</v>
      </c>
      <c r="C8" s="658">
        <v>99.47561330884092</v>
      </c>
      <c r="D8" s="673">
        <v>102.4992921040235</v>
      </c>
      <c r="E8" s="665"/>
      <c r="F8" s="603"/>
    </row>
    <row r="9" spans="1:6" ht="20.100000000000001" customHeight="1">
      <c r="A9" s="674" t="s">
        <v>278</v>
      </c>
      <c r="B9" s="661"/>
      <c r="C9" s="661"/>
      <c r="D9" s="675"/>
      <c r="E9" s="665"/>
      <c r="F9" s="603"/>
    </row>
    <row r="10" spans="1:6" s="667" customFormat="1" ht="20.100000000000001" customHeight="1">
      <c r="A10" s="676" t="s">
        <v>528</v>
      </c>
      <c r="B10" s="661">
        <v>104.04053153310801</v>
      </c>
      <c r="C10" s="661">
        <v>101.87040662329628</v>
      </c>
      <c r="D10" s="675">
        <v>103.92321539072402</v>
      </c>
      <c r="E10" s="665"/>
      <c r="F10" s="603"/>
    </row>
    <row r="11" spans="1:6" s="667" customFormat="1" ht="20.100000000000001" customHeight="1">
      <c r="A11" s="676" t="s">
        <v>529</v>
      </c>
      <c r="B11" s="661">
        <v>105.35352058182561</v>
      </c>
      <c r="C11" s="661">
        <v>104.13766617269881</v>
      </c>
      <c r="D11" s="675">
        <v>103.85236545622513</v>
      </c>
      <c r="E11" s="665"/>
      <c r="F11" s="603"/>
    </row>
    <row r="12" spans="1:6" ht="20.100000000000001" customHeight="1">
      <c r="A12" s="676" t="s">
        <v>532</v>
      </c>
      <c r="B12" s="661">
        <v>91.584478697605007</v>
      </c>
      <c r="C12" s="661">
        <v>100.21613508992353</v>
      </c>
      <c r="D12" s="675">
        <v>87.621938722711704</v>
      </c>
      <c r="E12" s="665"/>
      <c r="F12" s="603"/>
    </row>
    <row r="13" spans="1:6" s="667" customFormat="1" ht="20.100000000000001" customHeight="1">
      <c r="A13" s="676" t="s">
        <v>408</v>
      </c>
      <c r="B13" s="661">
        <v>93.397776294473658</v>
      </c>
      <c r="C13" s="661">
        <v>103.51577097418341</v>
      </c>
      <c r="D13" s="675">
        <v>101.92897611806588</v>
      </c>
      <c r="E13" s="665"/>
      <c r="F13" s="603"/>
    </row>
    <row r="14" spans="1:6" ht="20.100000000000001" customHeight="1">
      <c r="A14" s="676" t="s">
        <v>411</v>
      </c>
      <c r="B14" s="661">
        <v>102.3272508630877</v>
      </c>
      <c r="C14" s="661">
        <v>101.90604242891155</v>
      </c>
      <c r="D14" s="675">
        <v>100.43426054311924</v>
      </c>
      <c r="E14" s="665"/>
      <c r="F14" s="603"/>
    </row>
    <row r="15" spans="1:6" ht="20.100000000000001" customHeight="1">
      <c r="A15" s="676" t="s">
        <v>418</v>
      </c>
      <c r="B15" s="661">
        <v>93.238150748776064</v>
      </c>
      <c r="C15" s="661">
        <v>95.98864611349434</v>
      </c>
      <c r="D15" s="675">
        <v>94.96143364569744</v>
      </c>
      <c r="E15" s="665"/>
      <c r="F15" s="603"/>
    </row>
    <row r="16" spans="1:6" s="667" customFormat="1" ht="20.100000000000001" customHeight="1">
      <c r="A16" s="676" t="s">
        <v>541</v>
      </c>
      <c r="B16" s="661">
        <v>100.14645978489503</v>
      </c>
      <c r="C16" s="661">
        <v>100.38653448211929</v>
      </c>
      <c r="D16" s="675">
        <v>102.09865028879534</v>
      </c>
      <c r="E16" s="665"/>
      <c r="F16" s="612"/>
    </row>
    <row r="17" spans="1:6" s="619" customFormat="1" ht="6" customHeight="1">
      <c r="A17" s="618"/>
      <c r="B17" s="618"/>
      <c r="C17" s="618"/>
      <c r="D17" s="618"/>
    </row>
    <row r="18" spans="1:6" s="619" customFormat="1" ht="21.75" customHeight="1">
      <c r="A18" s="620" t="s">
        <v>498</v>
      </c>
    </row>
    <row r="19" spans="1:6" ht="20.100000000000001" customHeight="1">
      <c r="A19" s="670"/>
      <c r="B19" s="677"/>
      <c r="C19" s="677"/>
      <c r="D19" s="668"/>
      <c r="E19" s="665"/>
      <c r="F19" s="615"/>
    </row>
    <row r="20" spans="1:6" ht="20.100000000000001" customHeight="1">
      <c r="A20" s="670"/>
      <c r="B20" s="677"/>
      <c r="C20" s="677"/>
      <c r="D20" s="668"/>
      <c r="E20" s="665"/>
      <c r="F20" s="615"/>
    </row>
    <row r="21" spans="1:6" ht="20.100000000000001" customHeight="1">
      <c r="A21" s="670"/>
      <c r="B21" s="677"/>
      <c r="C21" s="677"/>
      <c r="D21" s="668"/>
      <c r="E21" s="665"/>
      <c r="F21" s="615"/>
    </row>
    <row r="22" spans="1:6" ht="20.100000000000001" customHeight="1">
      <c r="A22" s="670"/>
      <c r="B22" s="678"/>
      <c r="C22" s="678"/>
      <c r="D22" s="668"/>
      <c r="E22" s="665"/>
      <c r="F22" s="615"/>
    </row>
    <row r="23" spans="1:6" ht="20.100000000000001" customHeight="1">
      <c r="A23" s="670"/>
      <c r="B23" s="678"/>
      <c r="C23" s="678"/>
      <c r="D23" s="668"/>
      <c r="E23" s="665"/>
      <c r="F23" s="603"/>
    </row>
    <row r="24" spans="1:6" ht="20.100000000000001" customHeight="1">
      <c r="A24" s="670"/>
      <c r="B24" s="678"/>
      <c r="C24" s="678"/>
      <c r="D24" s="668"/>
      <c r="E24" s="665"/>
      <c r="F24" s="603"/>
    </row>
    <row r="25" spans="1:6" ht="20.100000000000001" customHeight="1">
      <c r="A25" s="679"/>
      <c r="B25" s="680"/>
      <c r="C25" s="680"/>
      <c r="D25" s="668"/>
      <c r="E25" s="665"/>
      <c r="F25" s="603"/>
    </row>
    <row r="26" spans="1:6" ht="20.100000000000001" customHeight="1">
      <c r="A26" s="679"/>
      <c r="B26" s="680"/>
      <c r="C26" s="680"/>
      <c r="D26" s="668"/>
      <c r="E26" s="665"/>
      <c r="F26" s="603"/>
    </row>
    <row r="27" spans="1:6" ht="20.100000000000001" customHeight="1">
      <c r="A27" s="679"/>
      <c r="B27" s="680"/>
      <c r="C27" s="680"/>
      <c r="D27" s="668"/>
      <c r="E27" s="665"/>
      <c r="F27" s="603"/>
    </row>
    <row r="28" spans="1:6" ht="20.100000000000001" customHeight="1">
      <c r="A28" s="679"/>
      <c r="B28" s="680"/>
      <c r="C28" s="680"/>
      <c r="D28" s="668"/>
      <c r="E28" s="665"/>
      <c r="F28" s="603"/>
    </row>
    <row r="29" spans="1:6" ht="20.100000000000001" customHeight="1">
      <c r="A29" s="679"/>
      <c r="B29" s="680"/>
      <c r="C29" s="680"/>
      <c r="D29" s="668"/>
      <c r="E29" s="681"/>
      <c r="F29" s="603"/>
    </row>
    <row r="30" spans="1:6" ht="20.100000000000001" customHeight="1">
      <c r="A30" s="679"/>
      <c r="B30" s="680"/>
      <c r="C30" s="680"/>
      <c r="D30" s="668"/>
      <c r="F30" s="603"/>
    </row>
    <row r="31" spans="1:6" ht="20.100000000000001" customHeight="1">
      <c r="A31" s="679"/>
      <c r="B31" s="668"/>
      <c r="C31" s="668"/>
      <c r="D31" s="668"/>
      <c r="F31" s="603"/>
    </row>
    <row r="32" spans="1:6" ht="20.100000000000001" customHeight="1">
      <c r="A32" s="682"/>
      <c r="B32" s="683"/>
      <c r="C32" s="683"/>
      <c r="D32" s="668"/>
      <c r="F32" s="603"/>
    </row>
    <row r="33" spans="1:6" ht="20.100000000000001" customHeight="1">
      <c r="A33" s="682"/>
      <c r="B33" s="683"/>
      <c r="C33" s="683"/>
      <c r="D33" s="668"/>
      <c r="F33" s="603"/>
    </row>
    <row r="34" spans="1:6" ht="20.100000000000001" customHeight="1">
      <c r="A34" s="684"/>
      <c r="B34" s="684"/>
      <c r="C34" s="684"/>
      <c r="D34" s="668"/>
      <c r="F34" s="603"/>
    </row>
    <row r="35" spans="1:6" ht="20.100000000000001" customHeight="1">
      <c r="A35" s="684"/>
      <c r="B35" s="684"/>
      <c r="C35" s="684"/>
      <c r="D35" s="668"/>
      <c r="F35" s="603"/>
    </row>
    <row r="36" spans="1:6" ht="20.100000000000001" customHeight="1">
      <c r="A36" s="684"/>
      <c r="B36" s="684"/>
      <c r="C36" s="684"/>
      <c r="D36" s="668"/>
      <c r="F36" s="603"/>
    </row>
    <row r="37" spans="1:6" ht="20.100000000000001" customHeight="1">
      <c r="A37" s="684"/>
      <c r="B37" s="684"/>
      <c r="C37" s="684"/>
      <c r="D37" s="668"/>
      <c r="F37" s="603"/>
    </row>
    <row r="38" spans="1:6" ht="20.100000000000001" customHeight="1">
      <c r="A38" s="684"/>
      <c r="B38" s="684"/>
      <c r="C38" s="684"/>
      <c r="D38" s="668"/>
      <c r="F38" s="603"/>
    </row>
    <row r="39" spans="1:6" ht="20.100000000000001" customHeight="1">
      <c r="A39" s="684"/>
      <c r="B39" s="684"/>
      <c r="C39" s="684"/>
      <c r="D39" s="668"/>
      <c r="F39" s="603"/>
    </row>
    <row r="40" spans="1:6" ht="20.100000000000001" customHeight="1">
      <c r="A40" s="684"/>
      <c r="B40" s="684"/>
      <c r="C40" s="684"/>
      <c r="D40" s="668"/>
      <c r="F40" s="603"/>
    </row>
    <row r="41" spans="1:6">
      <c r="A41" s="684"/>
      <c r="B41" s="684"/>
      <c r="C41" s="684"/>
      <c r="D41" s="668"/>
      <c r="F41" s="603"/>
    </row>
    <row r="42" spans="1:6">
      <c r="A42" s="684"/>
      <c r="F42" s="603"/>
    </row>
    <row r="43" spans="1:6">
      <c r="A43" s="684"/>
      <c r="F43" s="603"/>
    </row>
    <row r="44" spans="1:6">
      <c r="A44" s="684"/>
      <c r="F44" s="603"/>
    </row>
    <row r="45" spans="1:6">
      <c r="A45" s="684"/>
      <c r="F45" s="603"/>
    </row>
    <row r="46" spans="1:6">
      <c r="A46" s="684"/>
      <c r="F46" s="603"/>
    </row>
    <row r="47" spans="1:6">
      <c r="A47" s="684"/>
      <c r="F47" s="603"/>
    </row>
    <row r="48" spans="1:6">
      <c r="A48" s="603"/>
      <c r="E48" s="603"/>
      <c r="F48" s="603"/>
    </row>
    <row r="49" spans="1:6">
      <c r="A49" s="603"/>
      <c r="E49" s="603"/>
      <c r="F49" s="603"/>
    </row>
    <row r="50" spans="1:6">
      <c r="A50" s="603"/>
      <c r="E50" s="603"/>
      <c r="F50" s="603"/>
    </row>
    <row r="51" spans="1:6">
      <c r="A51" s="603"/>
      <c r="E51" s="603"/>
      <c r="F51" s="603"/>
    </row>
    <row r="52" spans="1:6">
      <c r="A52" s="603"/>
      <c r="E52" s="603"/>
      <c r="F52" s="603"/>
    </row>
    <row r="53" spans="1:6">
      <c r="A53" s="603"/>
      <c r="E53" s="603"/>
      <c r="F53" s="603"/>
    </row>
    <row r="54" spans="1:6">
      <c r="A54" s="603"/>
      <c r="E54" s="603"/>
      <c r="F54" s="603"/>
    </row>
    <row r="55" spans="1:6">
      <c r="A55" s="603"/>
      <c r="E55" s="603"/>
      <c r="F55" s="603"/>
    </row>
    <row r="56" spans="1:6">
      <c r="A56" s="603"/>
      <c r="E56" s="603"/>
      <c r="F56" s="603"/>
    </row>
    <row r="57" spans="1:6">
      <c r="A57" s="603"/>
      <c r="E57" s="603"/>
      <c r="F57" s="603"/>
    </row>
    <row r="58" spans="1:6">
      <c r="A58" s="603"/>
      <c r="E58" s="603"/>
      <c r="F58" s="603"/>
    </row>
    <row r="59" spans="1:6">
      <c r="A59" s="603"/>
      <c r="E59" s="603"/>
      <c r="F59" s="603"/>
    </row>
    <row r="60" spans="1:6">
      <c r="A60" s="603"/>
      <c r="E60" s="603"/>
      <c r="F60" s="603"/>
    </row>
    <row r="61" spans="1:6">
      <c r="A61" s="603"/>
      <c r="E61" s="603"/>
      <c r="F61" s="603"/>
    </row>
    <row r="62" spans="1:6">
      <c r="A62" s="603"/>
      <c r="E62" s="603"/>
      <c r="F62" s="603"/>
    </row>
    <row r="63" spans="1:6">
      <c r="A63" s="603"/>
      <c r="E63" s="603"/>
      <c r="F63" s="603"/>
    </row>
    <row r="64" spans="1:6">
      <c r="A64" s="603"/>
      <c r="E64" s="603"/>
      <c r="F64" s="603"/>
    </row>
    <row r="65" spans="1:6">
      <c r="A65" s="603"/>
      <c r="E65" s="603"/>
      <c r="F65" s="603"/>
    </row>
    <row r="66" spans="1:6">
      <c r="A66" s="603"/>
      <c r="E66" s="603"/>
      <c r="F66" s="603"/>
    </row>
    <row r="67" spans="1:6">
      <c r="A67" s="603"/>
      <c r="E67" s="603"/>
      <c r="F67" s="603"/>
    </row>
    <row r="68" spans="1:6">
      <c r="A68" s="603"/>
      <c r="E68" s="603"/>
      <c r="F68" s="603"/>
    </row>
    <row r="69" spans="1:6">
      <c r="A69" s="603"/>
      <c r="E69" s="603"/>
      <c r="F69" s="603"/>
    </row>
    <row r="70" spans="1:6">
      <c r="A70" s="603"/>
      <c r="E70" s="603"/>
      <c r="F70" s="603"/>
    </row>
    <row r="71" spans="1:6">
      <c r="A71" s="603"/>
      <c r="E71" s="603"/>
      <c r="F71" s="603"/>
    </row>
    <row r="72" spans="1:6">
      <c r="A72" s="603"/>
      <c r="E72" s="603"/>
      <c r="F72" s="603"/>
    </row>
    <row r="73" spans="1:6">
      <c r="A73" s="603"/>
      <c r="E73" s="603"/>
      <c r="F73" s="603"/>
    </row>
    <row r="74" spans="1:6">
      <c r="A74" s="603"/>
      <c r="E74" s="603"/>
      <c r="F74" s="603"/>
    </row>
    <row r="75" spans="1:6">
      <c r="A75" s="603"/>
      <c r="E75" s="603"/>
      <c r="F75" s="603"/>
    </row>
    <row r="76" spans="1:6">
      <c r="A76" s="603"/>
      <c r="E76" s="603"/>
      <c r="F76" s="603"/>
    </row>
    <row r="77" spans="1:6">
      <c r="A77" s="603"/>
      <c r="E77" s="603"/>
      <c r="F77" s="603"/>
    </row>
    <row r="78" spans="1:6">
      <c r="A78" s="603"/>
      <c r="E78" s="603"/>
      <c r="F78" s="603"/>
    </row>
    <row r="79" spans="1:6">
      <c r="A79" s="603"/>
      <c r="E79" s="603"/>
      <c r="F79" s="603"/>
    </row>
    <row r="80" spans="1:6">
      <c r="A80" s="603"/>
      <c r="E80" s="603"/>
      <c r="F80" s="603"/>
    </row>
    <row r="81" spans="1:6">
      <c r="A81" s="603"/>
      <c r="E81" s="603"/>
      <c r="F81" s="603"/>
    </row>
    <row r="82" spans="1:6">
      <c r="A82" s="603"/>
      <c r="E82" s="603"/>
      <c r="F82" s="603"/>
    </row>
    <row r="83" spans="1:6">
      <c r="A83" s="603"/>
      <c r="E83" s="603"/>
      <c r="F83" s="603"/>
    </row>
    <row r="84" spans="1:6">
      <c r="A84" s="603"/>
      <c r="E84" s="603"/>
      <c r="F84" s="603"/>
    </row>
    <row r="85" spans="1:6">
      <c r="A85" s="603"/>
      <c r="E85" s="603"/>
      <c r="F85" s="603"/>
    </row>
    <row r="86" spans="1:6">
      <c r="A86" s="603"/>
      <c r="E86" s="603"/>
      <c r="F86" s="603"/>
    </row>
    <row r="87" spans="1:6">
      <c r="A87" s="603"/>
      <c r="E87" s="603"/>
      <c r="F87" s="603"/>
    </row>
    <row r="88" spans="1:6">
      <c r="A88" s="603"/>
      <c r="E88" s="603"/>
      <c r="F88" s="603"/>
    </row>
    <row r="89" spans="1:6">
      <c r="A89" s="603"/>
      <c r="E89" s="603"/>
      <c r="F89" s="603"/>
    </row>
    <row r="90" spans="1:6">
      <c r="A90" s="603"/>
      <c r="E90" s="603"/>
      <c r="F90" s="603"/>
    </row>
    <row r="91" spans="1:6">
      <c r="A91" s="603"/>
      <c r="E91" s="603"/>
      <c r="F91" s="603"/>
    </row>
    <row r="92" spans="1:6">
      <c r="A92" s="603"/>
      <c r="E92" s="603"/>
      <c r="F92" s="603"/>
    </row>
    <row r="93" spans="1:6">
      <c r="A93" s="603"/>
      <c r="E93" s="603"/>
      <c r="F93" s="603"/>
    </row>
    <row r="94" spans="1:6">
      <c r="A94" s="603"/>
      <c r="E94" s="603"/>
      <c r="F94" s="603"/>
    </row>
    <row r="95" spans="1:6">
      <c r="A95" s="603"/>
      <c r="E95" s="603"/>
      <c r="F95" s="603"/>
    </row>
    <row r="96" spans="1:6">
      <c r="A96" s="603"/>
      <c r="E96" s="603"/>
      <c r="F96" s="603"/>
    </row>
    <row r="97" spans="1:6">
      <c r="A97" s="603"/>
      <c r="E97" s="603"/>
      <c r="F97" s="603"/>
    </row>
    <row r="98" spans="1:6">
      <c r="A98" s="603"/>
      <c r="E98" s="603"/>
      <c r="F98" s="603"/>
    </row>
    <row r="99" spans="1:6">
      <c r="A99" s="603"/>
      <c r="E99" s="603"/>
      <c r="F99" s="603"/>
    </row>
    <row r="100" spans="1:6">
      <c r="A100" s="603"/>
      <c r="E100" s="603"/>
      <c r="F100" s="603"/>
    </row>
    <row r="101" spans="1:6">
      <c r="A101" s="603"/>
      <c r="E101" s="603"/>
      <c r="F101" s="603"/>
    </row>
    <row r="102" spans="1:6">
      <c r="A102" s="603"/>
      <c r="E102" s="603"/>
      <c r="F102" s="603"/>
    </row>
    <row r="103" spans="1:6">
      <c r="A103" s="603"/>
      <c r="E103" s="603"/>
      <c r="F103" s="603"/>
    </row>
    <row r="104" spans="1:6">
      <c r="A104" s="603"/>
      <c r="E104" s="603"/>
      <c r="F104" s="603"/>
    </row>
    <row r="105" spans="1:6">
      <c r="A105" s="603"/>
      <c r="E105" s="603"/>
      <c r="F105" s="603"/>
    </row>
    <row r="106" spans="1:6">
      <c r="A106" s="603"/>
      <c r="E106" s="603"/>
      <c r="F106" s="603"/>
    </row>
    <row r="107" spans="1:6">
      <c r="A107" s="603"/>
      <c r="E107" s="603"/>
      <c r="F107" s="603"/>
    </row>
    <row r="108" spans="1:6">
      <c r="A108" s="603"/>
      <c r="E108" s="603"/>
      <c r="F108" s="603"/>
    </row>
    <row r="109" spans="1:6">
      <c r="A109" s="603"/>
      <c r="E109" s="603"/>
      <c r="F109" s="603"/>
    </row>
    <row r="110" spans="1:6">
      <c r="A110" s="603"/>
      <c r="E110" s="603"/>
      <c r="F110" s="603"/>
    </row>
    <row r="111" spans="1:6">
      <c r="A111" s="603"/>
      <c r="E111" s="603"/>
      <c r="F111" s="603"/>
    </row>
  </sheetData>
  <mergeCells count="1">
    <mergeCell ref="B4:C4"/>
  </mergeCells>
  <pageMargins left="0.74803149606299202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8"/>
  <sheetViews>
    <sheetView workbookViewId="0">
      <selection activeCell="L15" sqref="L15"/>
    </sheetView>
  </sheetViews>
  <sheetFormatPr defaultColWidth="10.7109375" defaultRowHeight="15"/>
  <cols>
    <col min="1" max="1" width="1.7109375" style="386" customWidth="1"/>
    <col min="2" max="2" width="27.28515625" style="386" customWidth="1"/>
    <col min="3" max="3" width="9.28515625" style="386" customWidth="1"/>
    <col min="4" max="4" width="10.28515625" style="386" customWidth="1"/>
    <col min="5" max="5" width="11.5703125" style="386" customWidth="1"/>
    <col min="6" max="6" width="12.42578125" style="386" customWidth="1"/>
    <col min="7" max="7" width="11.5703125" style="386" customWidth="1"/>
    <col min="8" max="16384" width="10.7109375" style="386"/>
  </cols>
  <sheetData>
    <row r="1" spans="1:7" ht="20.100000000000001" customHeight="1">
      <c r="A1" s="383" t="s">
        <v>312</v>
      </c>
      <c r="B1" s="384"/>
      <c r="C1" s="385"/>
      <c r="D1" s="385"/>
      <c r="E1" s="385"/>
      <c r="F1" s="385"/>
      <c r="G1" s="385"/>
    </row>
    <row r="2" spans="1:7" ht="15" customHeight="1">
      <c r="A2" s="387"/>
      <c r="B2" s="388"/>
      <c r="C2" s="389"/>
      <c r="D2" s="389"/>
      <c r="E2" s="389"/>
      <c r="F2" s="389"/>
      <c r="G2" s="389"/>
    </row>
    <row r="3" spans="1:7" ht="15" customHeight="1">
      <c r="A3" s="390"/>
      <c r="B3" s="391"/>
      <c r="C3" s="391"/>
      <c r="D3" s="391"/>
      <c r="E3" s="391"/>
      <c r="F3" s="391"/>
      <c r="G3" s="392"/>
    </row>
    <row r="4" spans="1:7" ht="15" customHeight="1">
      <c r="A4" s="393"/>
      <c r="B4" s="393"/>
      <c r="C4" s="394" t="s">
        <v>142</v>
      </c>
      <c r="D4" s="394" t="s">
        <v>142</v>
      </c>
      <c r="E4" s="394" t="s">
        <v>84</v>
      </c>
      <c r="F4" s="394" t="s">
        <v>85</v>
      </c>
      <c r="G4" s="394" t="s">
        <v>86</v>
      </c>
    </row>
    <row r="5" spans="1:7" ht="15" customHeight="1">
      <c r="A5" s="395"/>
      <c r="B5" s="395"/>
      <c r="C5" s="396" t="s">
        <v>145</v>
      </c>
      <c r="D5" s="87" t="s">
        <v>41</v>
      </c>
      <c r="E5" s="396" t="s">
        <v>87</v>
      </c>
      <c r="F5" s="396" t="s">
        <v>313</v>
      </c>
      <c r="G5" s="396" t="s">
        <v>314</v>
      </c>
    </row>
    <row r="6" spans="1:7" ht="15" customHeight="1">
      <c r="A6" s="395"/>
      <c r="B6" s="395"/>
      <c r="C6" s="87" t="s">
        <v>87</v>
      </c>
      <c r="D6" s="87">
        <v>2025</v>
      </c>
      <c r="E6" s="87" t="s">
        <v>315</v>
      </c>
      <c r="F6" s="87" t="s">
        <v>316</v>
      </c>
      <c r="G6" s="87" t="s">
        <v>88</v>
      </c>
    </row>
    <row r="7" spans="1:7" ht="15" customHeight="1">
      <c r="A7" s="395"/>
      <c r="B7" s="395"/>
      <c r="C7" s="90"/>
      <c r="D7" s="397"/>
      <c r="E7" s="90" t="s">
        <v>306</v>
      </c>
      <c r="F7" s="90" t="s">
        <v>7</v>
      </c>
      <c r="G7" s="90" t="s">
        <v>147</v>
      </c>
    </row>
    <row r="8" spans="1:7" ht="15" customHeight="1">
      <c r="A8" s="395"/>
      <c r="B8" s="395"/>
      <c r="C8" s="398"/>
      <c r="D8" s="398"/>
      <c r="E8" s="399"/>
      <c r="F8" s="399"/>
      <c r="G8" s="400"/>
    </row>
    <row r="9" spans="1:7" s="404" customFormat="1" ht="20.100000000000001" customHeight="1">
      <c r="A9" s="401" t="s">
        <v>317</v>
      </c>
      <c r="B9" s="402"/>
      <c r="C9" s="403">
        <v>567479.53260642104</v>
      </c>
      <c r="D9" s="403">
        <v>6183589.5865086718</v>
      </c>
      <c r="E9" s="369">
        <v>103.77724194089444</v>
      </c>
      <c r="F9" s="369">
        <v>123.96565048089658</v>
      </c>
      <c r="G9" s="369">
        <v>122.16842080469344</v>
      </c>
    </row>
    <row r="10" spans="1:7" ht="20.100000000000001" customHeight="1">
      <c r="A10" s="405" t="s">
        <v>318</v>
      </c>
      <c r="B10" s="406"/>
      <c r="C10" s="407"/>
      <c r="D10" s="407"/>
      <c r="E10" s="374"/>
      <c r="F10" s="374"/>
      <c r="G10" s="374"/>
    </row>
    <row r="11" spans="1:7" ht="20.100000000000001" customHeight="1">
      <c r="A11" s="406"/>
      <c r="B11" s="406" t="s">
        <v>319</v>
      </c>
      <c r="C11" s="407">
        <v>565751.89158142102</v>
      </c>
      <c r="D11" s="407">
        <v>6164172.5124836713</v>
      </c>
      <c r="E11" s="374">
        <v>103.77505016019551</v>
      </c>
      <c r="F11" s="374">
        <v>124.05532394047422</v>
      </c>
      <c r="G11" s="374">
        <v>122.21958647724382</v>
      </c>
    </row>
    <row r="12" spans="1:7" ht="20.100000000000001" customHeight="1">
      <c r="A12" s="406"/>
      <c r="B12" s="406" t="s">
        <v>320</v>
      </c>
      <c r="C12" s="407">
        <v>1727.6410249999999</v>
      </c>
      <c r="D12" s="407">
        <v>19417.074025000002</v>
      </c>
      <c r="E12" s="374">
        <v>104.5</v>
      </c>
      <c r="F12" s="374">
        <v>100.23805828476075</v>
      </c>
      <c r="G12" s="374">
        <v>107.83678373256356</v>
      </c>
    </row>
    <row r="13" spans="1:7" ht="20.100000000000001" customHeight="1">
      <c r="A13" s="405" t="s">
        <v>321</v>
      </c>
      <c r="B13" s="406"/>
      <c r="C13" s="407"/>
      <c r="D13" s="407"/>
      <c r="E13" s="374"/>
      <c r="F13" s="374"/>
      <c r="G13" s="374"/>
    </row>
    <row r="14" spans="1:7" ht="20.100000000000001" customHeight="1">
      <c r="A14" s="408"/>
      <c r="B14" s="408" t="s">
        <v>322</v>
      </c>
      <c r="C14" s="407">
        <v>3407.2076240157235</v>
      </c>
      <c r="D14" s="407">
        <v>39888.000948171604</v>
      </c>
      <c r="E14" s="374">
        <v>112.80265713791664</v>
      </c>
      <c r="F14" s="374">
        <v>166.19973698510114</v>
      </c>
      <c r="G14" s="374">
        <v>199.77094528882347</v>
      </c>
    </row>
    <row r="15" spans="1:7" ht="20.100000000000001" customHeight="1">
      <c r="A15" s="408"/>
      <c r="B15" s="408" t="s">
        <v>323</v>
      </c>
      <c r="C15" s="407">
        <v>797.19325525561464</v>
      </c>
      <c r="D15" s="407">
        <v>11267.93982109539</v>
      </c>
      <c r="E15" s="374">
        <v>97.60466374038613</v>
      </c>
      <c r="F15" s="374">
        <v>102.82571215002999</v>
      </c>
      <c r="G15" s="374">
        <v>94.933399236454363</v>
      </c>
    </row>
    <row r="16" spans="1:7" ht="20.100000000000001" customHeight="1">
      <c r="A16" s="408"/>
      <c r="B16" s="408" t="s">
        <v>324</v>
      </c>
      <c r="C16" s="407">
        <v>42020.604204047107</v>
      </c>
      <c r="D16" s="407">
        <v>421780.60479382152</v>
      </c>
      <c r="E16" s="374">
        <v>104.74748089349745</v>
      </c>
      <c r="F16" s="374">
        <v>118.97140387756426</v>
      </c>
      <c r="G16" s="374">
        <v>118.00318891575969</v>
      </c>
    </row>
    <row r="17" spans="1:7" ht="20.100000000000001" customHeight="1">
      <c r="A17" s="408"/>
      <c r="B17" s="408" t="s">
        <v>325</v>
      </c>
      <c r="C17" s="407">
        <v>516646.59360610263</v>
      </c>
      <c r="D17" s="407">
        <v>5654711.6590285823</v>
      </c>
      <c r="E17" s="374">
        <v>103.64437346537517</v>
      </c>
      <c r="F17" s="374">
        <v>124.44847053227541</v>
      </c>
      <c r="G17" s="374">
        <v>122.39141434298189</v>
      </c>
    </row>
    <row r="18" spans="1:7" ht="20.100000000000001" customHeight="1">
      <c r="A18" s="408"/>
      <c r="B18" s="408" t="s">
        <v>326</v>
      </c>
      <c r="C18" s="407">
        <v>4607.9339169999994</v>
      </c>
      <c r="D18" s="407">
        <v>55941.381917000006</v>
      </c>
      <c r="E18" s="374">
        <v>104.93645462275849</v>
      </c>
      <c r="F18" s="374">
        <v>102.91748720045901</v>
      </c>
      <c r="G18" s="374">
        <v>107.42594732162161</v>
      </c>
    </row>
    <row r="19" spans="1:7" ht="20.100000000000001" customHeight="1">
      <c r="A19" s="408"/>
      <c r="B19" s="408"/>
      <c r="C19" s="407"/>
      <c r="D19" s="407"/>
      <c r="E19" s="374"/>
      <c r="F19" s="374"/>
      <c r="G19" s="374"/>
    </row>
    <row r="20" spans="1:7" s="404" customFormat="1" ht="20.100000000000001" customHeight="1">
      <c r="A20" s="401" t="s">
        <v>327</v>
      </c>
      <c r="B20" s="402"/>
      <c r="C20" s="403">
        <v>27035.191100179778</v>
      </c>
      <c r="D20" s="403">
        <v>312000.31584470579</v>
      </c>
      <c r="E20" s="369">
        <v>104.59403571186297</v>
      </c>
      <c r="F20" s="369">
        <v>113.12491859017103</v>
      </c>
      <c r="G20" s="369">
        <v>113.58082610190057</v>
      </c>
    </row>
    <row r="21" spans="1:7" ht="20.100000000000001" customHeight="1">
      <c r="A21" s="405" t="s">
        <v>318</v>
      </c>
      <c r="B21" s="406"/>
      <c r="C21" s="407"/>
      <c r="D21" s="407"/>
      <c r="E21" s="374"/>
      <c r="F21" s="374"/>
      <c r="G21" s="374"/>
    </row>
    <row r="22" spans="1:7" ht="20.100000000000001" customHeight="1">
      <c r="A22" s="406"/>
      <c r="B22" s="406" t="s">
        <v>319</v>
      </c>
      <c r="C22" s="407">
        <v>21744.712383524769</v>
      </c>
      <c r="D22" s="407">
        <v>250494.08500420966</v>
      </c>
      <c r="E22" s="374">
        <v>104.61694016060112</v>
      </c>
      <c r="F22" s="374">
        <v>118.05903100512312</v>
      </c>
      <c r="G22" s="374">
        <v>115.49786192437739</v>
      </c>
    </row>
    <row r="23" spans="1:7" ht="20.100000000000001" customHeight="1">
      <c r="A23" s="406"/>
      <c r="B23" s="406" t="s">
        <v>320</v>
      </c>
      <c r="C23" s="407">
        <v>5290.4787166550095</v>
      </c>
      <c r="D23" s="407">
        <v>61506.230840496159</v>
      </c>
      <c r="E23" s="374">
        <v>104.5</v>
      </c>
      <c r="F23" s="374">
        <v>96.541222980826362</v>
      </c>
      <c r="G23" s="374">
        <v>106.38912107826417</v>
      </c>
    </row>
    <row r="24" spans="1:7" ht="20.100000000000001" customHeight="1">
      <c r="A24" s="405" t="s">
        <v>321</v>
      </c>
      <c r="B24" s="406"/>
      <c r="C24" s="407"/>
      <c r="D24" s="407"/>
      <c r="E24" s="374"/>
      <c r="F24" s="374"/>
      <c r="G24" s="374"/>
    </row>
    <row r="25" spans="1:7" ht="20.100000000000001" customHeight="1">
      <c r="A25" s="408"/>
      <c r="B25" s="408" t="s">
        <v>322</v>
      </c>
      <c r="C25" s="407">
        <v>224.85391721201094</v>
      </c>
      <c r="D25" s="407">
        <v>3302.74</v>
      </c>
      <c r="E25" s="374">
        <v>116.21010530132756</v>
      </c>
      <c r="F25" s="374">
        <v>137.61202299430892</v>
      </c>
      <c r="G25" s="374">
        <v>115.67493498692905</v>
      </c>
    </row>
    <row r="26" spans="1:7" ht="20.100000000000001" customHeight="1">
      <c r="A26" s="408"/>
      <c r="B26" s="408" t="s">
        <v>323</v>
      </c>
      <c r="C26" s="407">
        <v>69.442832173226265</v>
      </c>
      <c r="D26" s="407">
        <v>897.75594727662644</v>
      </c>
      <c r="E26" s="374">
        <v>104.01857907174428</v>
      </c>
      <c r="F26" s="374">
        <v>111.73571237434075</v>
      </c>
      <c r="G26" s="374">
        <v>108.72711278028009</v>
      </c>
    </row>
    <row r="27" spans="1:7" ht="20.100000000000001" customHeight="1">
      <c r="A27" s="408"/>
      <c r="B27" s="408" t="s">
        <v>324</v>
      </c>
      <c r="C27" s="407">
        <v>834.16738425733445</v>
      </c>
      <c r="D27" s="407">
        <v>9672.8649070212505</v>
      </c>
      <c r="E27" s="374">
        <v>104.37777454962445</v>
      </c>
      <c r="F27" s="374">
        <v>125.05739519414298</v>
      </c>
      <c r="G27" s="374">
        <v>121.79360937004502</v>
      </c>
    </row>
    <row r="28" spans="1:7" ht="20.100000000000001" customHeight="1">
      <c r="A28" s="408"/>
      <c r="B28" s="408" t="s">
        <v>325</v>
      </c>
      <c r="C28" s="407">
        <v>17836.585773937208</v>
      </c>
      <c r="D28" s="407">
        <v>204424.94742897194</v>
      </c>
      <c r="E28" s="374">
        <v>103.41665938632769</v>
      </c>
      <c r="F28" s="374">
        <v>118.16963465555865</v>
      </c>
      <c r="G28" s="374">
        <v>116.91226520244706</v>
      </c>
    </row>
    <row r="29" spans="1:7" ht="20.100000000000001" customHeight="1">
      <c r="A29" s="408"/>
      <c r="B29" s="408" t="s">
        <v>326</v>
      </c>
      <c r="C29" s="407">
        <v>8070.1411925999992</v>
      </c>
      <c r="D29" s="407">
        <v>93701.993347441166</v>
      </c>
      <c r="E29" s="374">
        <v>107.01682150494993</v>
      </c>
      <c r="F29" s="374">
        <v>102</v>
      </c>
      <c r="G29" s="374">
        <v>106.21602324109591</v>
      </c>
    </row>
    <row r="30" spans="1:7" ht="20.100000000000001" customHeight="1">
      <c r="A30" s="409"/>
      <c r="B30" s="409"/>
      <c r="C30" s="374"/>
      <c r="D30" s="374"/>
      <c r="E30" s="374"/>
      <c r="F30" s="374"/>
      <c r="G30" s="374"/>
    </row>
    <row r="31" spans="1:7" ht="15" customHeight="1">
      <c r="A31" s="410"/>
      <c r="B31" s="410"/>
      <c r="C31" s="374"/>
      <c r="D31" s="374"/>
      <c r="E31" s="374"/>
      <c r="F31" s="374"/>
      <c r="G31" s="374"/>
    </row>
    <row r="32" spans="1:7" ht="15" customHeight="1">
      <c r="A32" s="410"/>
      <c r="B32" s="410"/>
      <c r="C32" s="374"/>
      <c r="D32" s="374"/>
      <c r="E32" s="374"/>
      <c r="F32" s="374"/>
      <c r="G32" s="374"/>
    </row>
    <row r="33" spans="1:7" ht="15" customHeight="1">
      <c r="A33" s="410"/>
      <c r="B33" s="410"/>
      <c r="C33" s="374"/>
      <c r="D33" s="374"/>
      <c r="E33" s="374"/>
      <c r="F33" s="374"/>
      <c r="G33" s="374"/>
    </row>
    <row r="34" spans="1:7" ht="15" customHeight="1">
      <c r="A34" s="410"/>
      <c r="B34" s="410"/>
      <c r="C34" s="374"/>
      <c r="D34" s="374"/>
      <c r="E34" s="374"/>
      <c r="F34" s="374"/>
      <c r="G34" s="374"/>
    </row>
    <row r="35" spans="1:7" ht="15" customHeight="1">
      <c r="A35" s="410"/>
      <c r="B35" s="410"/>
      <c r="C35" s="374"/>
      <c r="D35" s="374"/>
      <c r="E35" s="374"/>
      <c r="F35" s="374"/>
      <c r="G35" s="374"/>
    </row>
    <row r="36" spans="1:7" ht="15" customHeight="1">
      <c r="A36" s="410"/>
      <c r="B36" s="410"/>
      <c r="C36" s="374"/>
      <c r="D36" s="374"/>
      <c r="E36" s="374"/>
      <c r="F36" s="374"/>
      <c r="G36" s="374"/>
    </row>
    <row r="37" spans="1:7" ht="15" customHeight="1">
      <c r="A37" s="410"/>
      <c r="B37" s="410"/>
      <c r="C37" s="374"/>
      <c r="D37" s="374"/>
      <c r="E37" s="374"/>
      <c r="F37" s="374"/>
      <c r="G37" s="374"/>
    </row>
    <row r="38" spans="1:7" ht="15" customHeight="1">
      <c r="A38" s="410"/>
      <c r="B38" s="410"/>
      <c r="C38" s="374"/>
      <c r="D38" s="374"/>
      <c r="E38" s="374"/>
      <c r="F38" s="374"/>
      <c r="G38" s="374"/>
    </row>
    <row r="39" spans="1:7" ht="15" customHeight="1">
      <c r="A39" s="410"/>
      <c r="B39" s="410"/>
      <c r="C39" s="374"/>
      <c r="D39" s="374"/>
      <c r="E39" s="374"/>
      <c r="F39" s="374"/>
      <c r="G39" s="374"/>
    </row>
    <row r="40" spans="1:7" ht="15" customHeight="1">
      <c r="A40" s="410"/>
      <c r="B40" s="410"/>
      <c r="C40" s="374"/>
      <c r="D40" s="374"/>
      <c r="E40" s="374"/>
      <c r="F40" s="374"/>
      <c r="G40" s="374"/>
    </row>
    <row r="41" spans="1:7" ht="15" customHeight="1">
      <c r="A41" s="410"/>
      <c r="B41" s="410"/>
      <c r="C41" s="410"/>
      <c r="D41" s="411"/>
      <c r="E41" s="411"/>
      <c r="F41" s="411"/>
      <c r="G41" s="410"/>
    </row>
    <row r="42" spans="1:7" ht="15" customHeight="1">
      <c r="A42" s="410"/>
      <c r="B42" s="410"/>
      <c r="C42" s="410"/>
      <c r="D42" s="411"/>
      <c r="E42" s="411"/>
      <c r="F42" s="411"/>
      <c r="G42" s="410"/>
    </row>
    <row r="43" spans="1:7" ht="15" customHeight="1">
      <c r="A43" s="410"/>
      <c r="B43" s="410"/>
      <c r="C43" s="410"/>
      <c r="D43" s="411"/>
      <c r="E43" s="411"/>
      <c r="F43" s="411"/>
      <c r="G43" s="410"/>
    </row>
    <row r="44" spans="1:7" ht="15" customHeight="1">
      <c r="A44" s="410"/>
      <c r="B44" s="410"/>
      <c r="C44" s="410"/>
      <c r="D44" s="411"/>
      <c r="E44" s="411"/>
      <c r="F44" s="411"/>
      <c r="G44" s="410"/>
    </row>
    <row r="45" spans="1:7" ht="15" customHeight="1">
      <c r="A45" s="410"/>
      <c r="B45" s="410"/>
      <c r="C45" s="410"/>
      <c r="D45" s="411"/>
      <c r="E45" s="411"/>
      <c r="F45" s="411"/>
      <c r="G45" s="410"/>
    </row>
    <row r="46" spans="1:7" ht="15" customHeight="1">
      <c r="A46" s="410"/>
      <c r="B46" s="410"/>
      <c r="C46" s="410"/>
      <c r="D46" s="411"/>
      <c r="E46" s="411"/>
      <c r="F46" s="411"/>
      <c r="G46" s="410"/>
    </row>
    <row r="47" spans="1:7" ht="15" customHeight="1">
      <c r="A47" s="410"/>
      <c r="B47" s="410"/>
      <c r="C47" s="410"/>
      <c r="D47" s="411"/>
      <c r="E47" s="411"/>
      <c r="F47" s="411"/>
      <c r="G47" s="410"/>
    </row>
    <row r="48" spans="1:7" ht="15" customHeight="1">
      <c r="A48" s="410"/>
      <c r="B48" s="410"/>
      <c r="C48" s="410"/>
      <c r="D48" s="411"/>
      <c r="E48" s="411"/>
      <c r="F48" s="411"/>
      <c r="G48" s="410"/>
    </row>
    <row r="49" spans="1:7" ht="15" customHeight="1">
      <c r="A49" s="410"/>
      <c r="B49" s="410"/>
      <c r="C49" s="410"/>
      <c r="D49" s="411"/>
      <c r="E49" s="411"/>
      <c r="F49" s="411"/>
      <c r="G49" s="410"/>
    </row>
    <row r="50" spans="1:7" ht="15" customHeight="1">
      <c r="A50" s="410"/>
      <c r="B50" s="410"/>
      <c r="C50" s="410"/>
      <c r="D50" s="411"/>
      <c r="E50" s="411"/>
      <c r="F50" s="411"/>
      <c r="G50" s="410"/>
    </row>
    <row r="51" spans="1:7" ht="15" customHeight="1">
      <c r="A51" s="410"/>
      <c r="B51" s="410"/>
      <c r="C51" s="410"/>
      <c r="D51" s="411"/>
      <c r="E51" s="411"/>
      <c r="F51" s="411"/>
      <c r="G51" s="410"/>
    </row>
    <row r="52" spans="1:7" ht="15" customHeight="1">
      <c r="A52" s="410"/>
      <c r="B52" s="410"/>
      <c r="C52" s="410"/>
      <c r="D52" s="411"/>
      <c r="E52" s="411"/>
      <c r="F52" s="411"/>
      <c r="G52" s="410"/>
    </row>
    <row r="53" spans="1:7" ht="15" customHeight="1">
      <c r="A53" s="410"/>
      <c r="B53" s="410"/>
      <c r="C53" s="410"/>
      <c r="D53" s="411"/>
      <c r="E53" s="411"/>
      <c r="F53" s="411"/>
      <c r="G53" s="410"/>
    </row>
    <row r="54" spans="1:7" ht="15" customHeight="1">
      <c r="A54" s="410"/>
      <c r="B54" s="410"/>
      <c r="C54" s="410"/>
      <c r="D54" s="411"/>
      <c r="E54" s="411"/>
      <c r="F54" s="411"/>
      <c r="G54" s="410"/>
    </row>
    <row r="55" spans="1:7" ht="15" customHeight="1">
      <c r="A55" s="410"/>
      <c r="B55" s="410"/>
      <c r="C55" s="410"/>
      <c r="D55" s="411"/>
      <c r="E55" s="411"/>
      <c r="F55" s="411"/>
      <c r="G55" s="410"/>
    </row>
    <row r="56" spans="1:7" ht="15" customHeight="1">
      <c r="A56" s="410"/>
      <c r="B56" s="410"/>
      <c r="C56" s="410"/>
      <c r="D56" s="411"/>
      <c r="E56" s="411"/>
      <c r="F56" s="411"/>
      <c r="G56" s="410"/>
    </row>
    <row r="57" spans="1:7" ht="15" customHeight="1">
      <c r="A57" s="410"/>
      <c r="B57" s="410"/>
      <c r="C57" s="410"/>
      <c r="D57" s="411"/>
      <c r="E57" s="411"/>
      <c r="F57" s="411"/>
      <c r="G57" s="410"/>
    </row>
    <row r="58" spans="1:7" ht="15" customHeight="1">
      <c r="A58" s="410"/>
      <c r="B58" s="410"/>
      <c r="C58" s="410"/>
      <c r="D58" s="411"/>
      <c r="E58" s="411"/>
      <c r="F58" s="411"/>
      <c r="G58" s="410"/>
    </row>
    <row r="59" spans="1:7" ht="15.75">
      <c r="A59" s="410"/>
      <c r="B59" s="410"/>
      <c r="C59" s="410"/>
      <c r="D59" s="411"/>
      <c r="E59" s="411"/>
      <c r="F59" s="411"/>
      <c r="G59" s="410"/>
    </row>
    <row r="60" spans="1:7" ht="15.75">
      <c r="A60" s="410"/>
      <c r="B60" s="410"/>
      <c r="C60" s="410"/>
      <c r="D60" s="411"/>
      <c r="E60" s="411"/>
      <c r="F60" s="411"/>
      <c r="G60" s="410"/>
    </row>
    <row r="61" spans="1:7" ht="15.75">
      <c r="A61" s="410"/>
      <c r="B61" s="410"/>
      <c r="C61" s="410"/>
      <c r="D61" s="411"/>
      <c r="E61" s="411"/>
      <c r="F61" s="411"/>
      <c r="G61" s="410"/>
    </row>
    <row r="62" spans="1:7" ht="15.75">
      <c r="A62" s="410"/>
      <c r="B62" s="410"/>
      <c r="C62" s="410"/>
      <c r="D62" s="411"/>
      <c r="E62" s="411"/>
      <c r="F62" s="411"/>
      <c r="G62" s="410"/>
    </row>
    <row r="63" spans="1:7" ht="15.75">
      <c r="A63" s="410"/>
      <c r="B63" s="410"/>
      <c r="C63" s="410"/>
      <c r="D63" s="411"/>
      <c r="E63" s="411"/>
      <c r="F63" s="411"/>
      <c r="G63" s="410"/>
    </row>
    <row r="64" spans="1:7" ht="15.75">
      <c r="A64" s="410"/>
      <c r="B64" s="410"/>
      <c r="C64" s="410"/>
      <c r="D64" s="411"/>
      <c r="E64" s="411"/>
      <c r="F64" s="411"/>
      <c r="G64" s="410"/>
    </row>
    <row r="65" spans="1:7" ht="15.75">
      <c r="A65" s="410"/>
      <c r="B65" s="410"/>
      <c r="C65" s="410"/>
      <c r="D65" s="411"/>
      <c r="E65" s="411"/>
      <c r="F65" s="411"/>
      <c r="G65" s="410"/>
    </row>
    <row r="66" spans="1:7" ht="15.75">
      <c r="A66" s="410"/>
      <c r="B66" s="410"/>
      <c r="C66" s="410"/>
      <c r="D66" s="411"/>
      <c r="E66" s="411"/>
      <c r="F66" s="411"/>
      <c r="G66" s="410"/>
    </row>
    <row r="67" spans="1:7" ht="15.75">
      <c r="A67" s="410"/>
      <c r="B67" s="410"/>
      <c r="C67" s="410"/>
      <c r="D67" s="411"/>
      <c r="E67" s="411"/>
      <c r="F67" s="411"/>
      <c r="G67" s="410"/>
    </row>
    <row r="68" spans="1:7" ht="15.75">
      <c r="A68" s="410"/>
      <c r="B68" s="410"/>
      <c r="C68" s="410"/>
      <c r="D68" s="411"/>
      <c r="E68" s="411"/>
      <c r="F68" s="411"/>
      <c r="G68" s="410"/>
    </row>
    <row r="69" spans="1:7" ht="15.75">
      <c r="A69" s="410"/>
      <c r="B69" s="410"/>
      <c r="C69" s="410"/>
      <c r="D69" s="411"/>
      <c r="E69" s="411"/>
      <c r="F69" s="411"/>
      <c r="G69" s="410"/>
    </row>
    <row r="70" spans="1:7" ht="15.75">
      <c r="A70" s="410"/>
      <c r="B70" s="410"/>
      <c r="C70" s="410"/>
      <c r="D70" s="411"/>
      <c r="E70" s="411"/>
      <c r="F70" s="411"/>
      <c r="G70" s="410"/>
    </row>
    <row r="71" spans="1:7" ht="15.75">
      <c r="A71" s="410"/>
      <c r="B71" s="410"/>
      <c r="C71" s="410"/>
      <c r="D71" s="411"/>
      <c r="E71" s="411"/>
      <c r="F71" s="411"/>
      <c r="G71" s="410"/>
    </row>
    <row r="72" spans="1:7" ht="15.75">
      <c r="A72" s="410"/>
      <c r="B72" s="410"/>
      <c r="C72" s="410"/>
      <c r="D72" s="411"/>
      <c r="E72" s="411"/>
      <c r="F72" s="411"/>
      <c r="G72" s="410"/>
    </row>
    <row r="73" spans="1:7" ht="15.75">
      <c r="A73" s="410"/>
      <c r="B73" s="410"/>
      <c r="C73" s="410"/>
      <c r="D73" s="411"/>
      <c r="E73" s="411"/>
      <c r="F73" s="411"/>
      <c r="G73" s="410"/>
    </row>
    <row r="74" spans="1:7" ht="15.75">
      <c r="A74" s="410"/>
      <c r="B74" s="410"/>
      <c r="C74" s="410"/>
      <c r="D74" s="411"/>
      <c r="E74" s="411"/>
      <c r="F74" s="411"/>
      <c r="G74" s="410"/>
    </row>
    <row r="75" spans="1:7" ht="15.75">
      <c r="A75" s="410"/>
      <c r="B75" s="410"/>
      <c r="C75" s="410"/>
      <c r="D75" s="411"/>
      <c r="E75" s="411"/>
      <c r="F75" s="411"/>
      <c r="G75" s="410"/>
    </row>
    <row r="76" spans="1:7" ht="15.75">
      <c r="A76" s="410"/>
      <c r="B76" s="410"/>
      <c r="C76" s="410"/>
      <c r="D76" s="411"/>
      <c r="E76" s="411"/>
      <c r="F76" s="411"/>
      <c r="G76" s="410"/>
    </row>
    <row r="77" spans="1:7" ht="15.75">
      <c r="A77" s="410"/>
      <c r="B77" s="410"/>
      <c r="C77" s="410"/>
      <c r="D77" s="411"/>
      <c r="E77" s="411"/>
      <c r="F77" s="411"/>
      <c r="G77" s="410"/>
    </row>
    <row r="78" spans="1:7" ht="15.75">
      <c r="A78" s="410"/>
      <c r="B78" s="410"/>
      <c r="C78" s="410"/>
      <c r="D78" s="411"/>
      <c r="E78" s="411"/>
      <c r="F78" s="411"/>
      <c r="G78" s="410"/>
    </row>
  </sheetData>
  <pageMargins left="0.74803149606299202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7"/>
  <sheetViews>
    <sheetView topLeftCell="A13" workbookViewId="0">
      <selection activeCell="L15" sqref="L15"/>
    </sheetView>
  </sheetViews>
  <sheetFormatPr defaultColWidth="10.7109375" defaultRowHeight="15"/>
  <cols>
    <col min="1" max="1" width="1.7109375" style="386" customWidth="1"/>
    <col min="2" max="2" width="35" style="386" customWidth="1"/>
    <col min="3" max="4" width="10.7109375" style="386" customWidth="1"/>
    <col min="5" max="5" width="13.5703125" style="386" customWidth="1"/>
    <col min="6" max="6" width="13.42578125" style="386" customWidth="1"/>
    <col min="7" max="16384" width="10.7109375" style="386"/>
  </cols>
  <sheetData>
    <row r="1" spans="1:6" ht="20.100000000000001" customHeight="1">
      <c r="A1" s="383" t="s">
        <v>328</v>
      </c>
      <c r="B1" s="384"/>
      <c r="C1" s="385"/>
      <c r="D1" s="385"/>
      <c r="E1" s="385"/>
      <c r="F1" s="385"/>
    </row>
    <row r="2" spans="1:6" ht="20.100000000000001" customHeight="1">
      <c r="A2" s="387"/>
      <c r="B2" s="388"/>
      <c r="C2" s="389"/>
      <c r="D2" s="389"/>
      <c r="E2" s="389"/>
      <c r="F2" s="389"/>
    </row>
    <row r="3" spans="1:6" ht="20.100000000000001" customHeight="1">
      <c r="A3" s="390"/>
      <c r="B3" s="391"/>
      <c r="C3" s="412"/>
      <c r="D3" s="412"/>
      <c r="E3" s="391"/>
      <c r="F3" s="391"/>
    </row>
    <row r="4" spans="1:6" ht="20.100000000000001" customHeight="1">
      <c r="A4" s="393"/>
      <c r="B4" s="393"/>
      <c r="C4" s="363" t="s">
        <v>300</v>
      </c>
      <c r="D4" s="363" t="s">
        <v>142</v>
      </c>
      <c r="E4" s="954" t="s">
        <v>194</v>
      </c>
      <c r="F4" s="954"/>
    </row>
    <row r="5" spans="1:6" ht="20.100000000000001" customHeight="1">
      <c r="A5" s="395"/>
      <c r="B5" s="395"/>
      <c r="C5" s="363" t="s">
        <v>39</v>
      </c>
      <c r="D5" s="363" t="s">
        <v>195</v>
      </c>
      <c r="E5" s="363" t="s">
        <v>42</v>
      </c>
      <c r="F5" s="365" t="s">
        <v>43</v>
      </c>
    </row>
    <row r="6" spans="1:6" ht="20.100000000000001" customHeight="1">
      <c r="A6" s="395"/>
      <c r="B6" s="395"/>
      <c r="C6" s="366" t="s">
        <v>87</v>
      </c>
      <c r="D6" s="366" t="s">
        <v>87</v>
      </c>
      <c r="E6" s="366" t="s">
        <v>87</v>
      </c>
      <c r="F6" s="366" t="s">
        <v>87</v>
      </c>
    </row>
    <row r="7" spans="1:6" ht="20.100000000000001" customHeight="1">
      <c r="A7" s="395"/>
      <c r="B7" s="395"/>
      <c r="C7" s="413"/>
      <c r="D7" s="413"/>
      <c r="E7" s="414"/>
      <c r="F7" s="414"/>
    </row>
    <row r="8" spans="1:6" s="404" customFormat="1" ht="20.100000000000001" customHeight="1">
      <c r="A8" s="401" t="s">
        <v>317</v>
      </c>
      <c r="B8" s="402"/>
      <c r="C8" s="403">
        <v>1650353.2744160646</v>
      </c>
      <c r="D8" s="403">
        <v>1669510.667560854</v>
      </c>
      <c r="E8" s="369">
        <v>124.74152484025652</v>
      </c>
      <c r="F8" s="369">
        <v>121.47348342447913</v>
      </c>
    </row>
    <row r="9" spans="1:6" ht="20.100000000000001" customHeight="1">
      <c r="A9" s="405" t="s">
        <v>318</v>
      </c>
      <c r="B9" s="406"/>
      <c r="C9" s="407"/>
      <c r="D9" s="407"/>
      <c r="E9" s="374"/>
      <c r="F9" s="374"/>
    </row>
    <row r="10" spans="1:6" ht="20.100000000000001" customHeight="1">
      <c r="A10" s="406"/>
      <c r="B10" s="406" t="s">
        <v>319</v>
      </c>
      <c r="C10" s="407">
        <v>1645508.0104160649</v>
      </c>
      <c r="D10" s="407">
        <v>1664523.171535854</v>
      </c>
      <c r="E10" s="374">
        <v>124.78780013224858</v>
      </c>
      <c r="F10" s="374">
        <v>121.53116100290762</v>
      </c>
    </row>
    <row r="11" spans="1:6" ht="20.100000000000001" customHeight="1">
      <c r="A11" s="406"/>
      <c r="B11" s="406" t="s">
        <v>320</v>
      </c>
      <c r="C11" s="407">
        <v>4845.2640000000001</v>
      </c>
      <c r="D11" s="407">
        <v>4987.4960249999995</v>
      </c>
      <c r="E11" s="374">
        <v>110.7889020491972</v>
      </c>
      <c r="F11" s="374">
        <v>104.86410074783143</v>
      </c>
    </row>
    <row r="12" spans="1:6" ht="20.100000000000001" customHeight="1">
      <c r="A12" s="405" t="s">
        <v>321</v>
      </c>
      <c r="B12" s="406"/>
      <c r="C12" s="407"/>
      <c r="D12" s="407"/>
      <c r="E12" s="374"/>
      <c r="F12" s="374"/>
    </row>
    <row r="13" spans="1:6" ht="20.100000000000001" customHeight="1">
      <c r="A13" s="408"/>
      <c r="B13" s="408" t="s">
        <v>322</v>
      </c>
      <c r="C13" s="407">
        <v>9426.780340923895</v>
      </c>
      <c r="D13" s="407">
        <v>10081.951607247713</v>
      </c>
      <c r="E13" s="374">
        <v>190.45062595255604</v>
      </c>
      <c r="F13" s="374">
        <v>175.53204567280986</v>
      </c>
    </row>
    <row r="14" spans="1:6" ht="20.100000000000001" customHeight="1">
      <c r="A14" s="408"/>
      <c r="B14" s="408" t="s">
        <v>323</v>
      </c>
      <c r="C14" s="407">
        <v>2589.1095843002349</v>
      </c>
      <c r="D14" s="407">
        <v>2352.4917004372742</v>
      </c>
      <c r="E14" s="374">
        <v>96.811725579829485</v>
      </c>
      <c r="F14" s="374">
        <v>111.39736105648943</v>
      </c>
    </row>
    <row r="15" spans="1:6" ht="20.100000000000001" customHeight="1">
      <c r="A15" s="408"/>
      <c r="B15" s="408" t="s">
        <v>324</v>
      </c>
      <c r="C15" s="407">
        <v>94397.445162887088</v>
      </c>
      <c r="D15" s="407">
        <v>113490.8382850482</v>
      </c>
      <c r="E15" s="374">
        <v>116.12517620756782</v>
      </c>
      <c r="F15" s="374">
        <v>124.89459537430008</v>
      </c>
    </row>
    <row r="16" spans="1:6" ht="20.100000000000001" customHeight="1">
      <c r="A16" s="408"/>
      <c r="B16" s="408" t="s">
        <v>325</v>
      </c>
      <c r="C16" s="407">
        <v>1529588.1788279533</v>
      </c>
      <c r="D16" s="407">
        <v>1530270.6100511206</v>
      </c>
      <c r="E16" s="374">
        <v>125.31111715531007</v>
      </c>
      <c r="F16" s="374">
        <v>121.14805381907661</v>
      </c>
    </row>
    <row r="17" spans="1:6" ht="20.100000000000001" customHeight="1">
      <c r="A17" s="408"/>
      <c r="B17" s="408" t="s">
        <v>326</v>
      </c>
      <c r="C17" s="407">
        <v>14351.7605</v>
      </c>
      <c r="D17" s="407">
        <v>13314.775916999999</v>
      </c>
      <c r="E17" s="374">
        <v>106.5270862923138</v>
      </c>
      <c r="F17" s="374">
        <v>106.37217960783435</v>
      </c>
    </row>
    <row r="18" spans="1:6" ht="20.100000000000001" customHeight="1">
      <c r="A18" s="408"/>
      <c r="B18" s="408"/>
      <c r="C18" s="407"/>
      <c r="D18" s="407"/>
      <c r="E18" s="374"/>
      <c r="F18" s="374"/>
    </row>
    <row r="19" spans="1:6" s="404" customFormat="1" ht="20.100000000000001" customHeight="1">
      <c r="A19" s="401" t="s">
        <v>327</v>
      </c>
      <c r="B19" s="402"/>
      <c r="C19" s="403">
        <v>81101.635255368703</v>
      </c>
      <c r="D19" s="403">
        <v>78678.035389406752</v>
      </c>
      <c r="E19" s="369">
        <v>115.25698794386096</v>
      </c>
      <c r="F19" s="369">
        <v>111.51583994586321</v>
      </c>
    </row>
    <row r="20" spans="1:6" ht="20.100000000000001" customHeight="1">
      <c r="A20" s="405" t="s">
        <v>318</v>
      </c>
      <c r="B20" s="406"/>
      <c r="C20" s="407"/>
      <c r="D20" s="407"/>
      <c r="E20" s="374"/>
      <c r="F20" s="374"/>
    </row>
    <row r="21" spans="1:6" ht="20.100000000000001" customHeight="1">
      <c r="A21" s="406"/>
      <c r="B21" s="406" t="s">
        <v>319</v>
      </c>
      <c r="C21" s="407">
        <v>65472.748630368704</v>
      </c>
      <c r="D21" s="407">
        <v>63387.323802910592</v>
      </c>
      <c r="E21" s="374">
        <v>116.24217985508156</v>
      </c>
      <c r="F21" s="374">
        <v>114.62750899982778</v>
      </c>
    </row>
    <row r="22" spans="1:6" ht="20.100000000000001" customHeight="1">
      <c r="A22" s="406"/>
      <c r="B22" s="406" t="s">
        <v>320</v>
      </c>
      <c r="C22" s="407">
        <v>15628.886625000003</v>
      </c>
      <c r="D22" s="407">
        <v>15290.711586496156</v>
      </c>
      <c r="E22" s="374">
        <v>111.30509940896833</v>
      </c>
      <c r="F22" s="374">
        <v>100.23599869758051</v>
      </c>
    </row>
    <row r="23" spans="1:6" ht="20.100000000000001" customHeight="1">
      <c r="A23" s="405" t="s">
        <v>321</v>
      </c>
      <c r="B23" s="406"/>
      <c r="C23" s="407"/>
      <c r="D23" s="407"/>
      <c r="E23" s="374"/>
      <c r="F23" s="374"/>
    </row>
    <row r="24" spans="1:6" ht="20.100000000000001" customHeight="1">
      <c r="A24" s="408"/>
      <c r="B24" s="408" t="s">
        <v>322</v>
      </c>
      <c r="C24" s="407">
        <v>962.50788166168195</v>
      </c>
      <c r="D24" s="407">
        <v>603.0484493331644</v>
      </c>
      <c r="E24" s="374">
        <v>108.59610159115194</v>
      </c>
      <c r="F24" s="374">
        <v>130.47150937419042</v>
      </c>
    </row>
    <row r="25" spans="1:6" ht="20.100000000000001" customHeight="1">
      <c r="A25" s="408"/>
      <c r="B25" s="408" t="s">
        <v>323</v>
      </c>
      <c r="C25" s="407">
        <v>245.36432242672532</v>
      </c>
      <c r="D25" s="407">
        <v>199.3828867410999</v>
      </c>
      <c r="E25" s="374">
        <v>107.86449021990036</v>
      </c>
      <c r="F25" s="374">
        <v>111.92887419910767</v>
      </c>
    </row>
    <row r="26" spans="1:6" ht="20.100000000000001" customHeight="1">
      <c r="A26" s="408"/>
      <c r="B26" s="408" t="s">
        <v>324</v>
      </c>
      <c r="C26" s="407">
        <v>2678.44</v>
      </c>
      <c r="D26" s="407">
        <v>2520.9125015290897</v>
      </c>
      <c r="E26" s="374">
        <v>119.10806573255925</v>
      </c>
      <c r="F26" s="374">
        <v>119.22708803052235</v>
      </c>
    </row>
    <row r="27" spans="1:6" ht="20.100000000000001" customHeight="1">
      <c r="A27" s="408"/>
      <c r="B27" s="408" t="s">
        <v>325</v>
      </c>
      <c r="C27" s="407">
        <v>53327.702968124708</v>
      </c>
      <c r="D27" s="407">
        <v>52498.763812362246</v>
      </c>
      <c r="E27" s="374">
        <v>118.63266606007021</v>
      </c>
      <c r="F27" s="374">
        <v>115.59858761193105</v>
      </c>
    </row>
    <row r="28" spans="1:6" ht="20.100000000000001" customHeight="1">
      <c r="A28" s="408"/>
      <c r="B28" s="408" t="s">
        <v>326</v>
      </c>
      <c r="C28" s="407">
        <v>23887.592181000018</v>
      </c>
      <c r="D28" s="407">
        <v>22855.927739441144</v>
      </c>
      <c r="E28" s="374">
        <v>108.32689381883635</v>
      </c>
      <c r="F28" s="374">
        <v>102.10920427244005</v>
      </c>
    </row>
    <row r="29" spans="1:6" ht="20.100000000000001" customHeight="1">
      <c r="A29" s="409"/>
      <c r="B29" s="409"/>
      <c r="C29" s="415"/>
      <c r="D29" s="415"/>
      <c r="E29" s="416"/>
      <c r="F29" s="416"/>
    </row>
    <row r="30" spans="1:6" ht="15" customHeight="1">
      <c r="A30" s="410"/>
      <c r="B30" s="410"/>
      <c r="C30" s="410"/>
      <c r="D30" s="411"/>
      <c r="E30" s="411"/>
      <c r="F30" s="411"/>
    </row>
    <row r="31" spans="1:6" ht="15" customHeight="1">
      <c r="A31" s="410"/>
      <c r="B31" s="410"/>
      <c r="C31" s="410"/>
      <c r="D31" s="411"/>
      <c r="E31" s="411"/>
      <c r="F31" s="411"/>
    </row>
    <row r="32" spans="1:6" ht="15" customHeight="1">
      <c r="A32" s="410"/>
      <c r="B32" s="410"/>
      <c r="C32" s="410"/>
      <c r="D32" s="411"/>
      <c r="E32" s="411"/>
      <c r="F32" s="411"/>
    </row>
    <row r="33" spans="1:6" ht="15" customHeight="1">
      <c r="A33" s="410"/>
      <c r="B33" s="410"/>
      <c r="C33" s="410"/>
      <c r="D33" s="411"/>
      <c r="E33" s="411"/>
      <c r="F33" s="411"/>
    </row>
    <row r="34" spans="1:6" ht="15" customHeight="1">
      <c r="A34" s="410"/>
      <c r="B34" s="410"/>
      <c r="C34" s="410"/>
      <c r="D34" s="411"/>
      <c r="E34" s="411"/>
      <c r="F34" s="411"/>
    </row>
    <row r="35" spans="1:6" ht="15" customHeight="1">
      <c r="A35" s="410"/>
      <c r="B35" s="410"/>
      <c r="C35" s="410"/>
      <c r="D35" s="411"/>
      <c r="E35" s="411"/>
      <c r="F35" s="411"/>
    </row>
    <row r="36" spans="1:6" ht="15" customHeight="1">
      <c r="A36" s="410"/>
      <c r="B36" s="410"/>
      <c r="C36" s="410"/>
      <c r="D36" s="411"/>
      <c r="E36" s="411"/>
      <c r="F36" s="411"/>
    </row>
    <row r="37" spans="1:6" ht="15" customHeight="1">
      <c r="A37" s="410"/>
      <c r="B37" s="410"/>
      <c r="C37" s="410"/>
      <c r="D37" s="411"/>
      <c r="E37" s="411"/>
      <c r="F37" s="411"/>
    </row>
    <row r="38" spans="1:6" ht="15" customHeight="1">
      <c r="A38" s="410"/>
      <c r="B38" s="410"/>
      <c r="C38" s="410"/>
      <c r="D38" s="411"/>
      <c r="E38" s="411"/>
      <c r="F38" s="411"/>
    </row>
    <row r="39" spans="1:6" ht="15" customHeight="1">
      <c r="A39" s="410"/>
      <c r="B39" s="410"/>
      <c r="C39" s="410"/>
      <c r="D39" s="411"/>
      <c r="E39" s="411"/>
      <c r="F39" s="411"/>
    </row>
    <row r="40" spans="1:6" ht="15" customHeight="1">
      <c r="A40" s="410"/>
      <c r="B40" s="410"/>
      <c r="C40" s="410"/>
      <c r="D40" s="411"/>
      <c r="E40" s="411"/>
      <c r="F40" s="411"/>
    </row>
    <row r="41" spans="1:6" ht="15" customHeight="1">
      <c r="A41" s="410"/>
      <c r="B41" s="410"/>
      <c r="C41" s="410"/>
      <c r="D41" s="411"/>
      <c r="E41" s="411"/>
      <c r="F41" s="411"/>
    </row>
    <row r="42" spans="1:6" ht="15" customHeight="1">
      <c r="A42" s="410"/>
      <c r="B42" s="410"/>
      <c r="C42" s="410"/>
      <c r="D42" s="411"/>
      <c r="E42" s="411"/>
      <c r="F42" s="411"/>
    </row>
    <row r="43" spans="1:6" ht="15" customHeight="1">
      <c r="A43" s="410"/>
      <c r="B43" s="410"/>
      <c r="C43" s="410"/>
      <c r="D43" s="411"/>
      <c r="E43" s="411"/>
      <c r="F43" s="411"/>
    </row>
    <row r="44" spans="1:6" ht="15" customHeight="1">
      <c r="A44" s="410"/>
      <c r="B44" s="410"/>
      <c r="C44" s="410"/>
      <c r="D44" s="411"/>
      <c r="E44" s="411"/>
      <c r="F44" s="411"/>
    </row>
    <row r="45" spans="1:6" ht="15" customHeight="1">
      <c r="A45" s="410"/>
      <c r="B45" s="410"/>
      <c r="C45" s="410"/>
      <c r="D45" s="411"/>
      <c r="E45" s="411"/>
      <c r="F45" s="411"/>
    </row>
    <row r="46" spans="1:6" ht="15" customHeight="1">
      <c r="A46" s="410"/>
      <c r="B46" s="410"/>
      <c r="C46" s="410"/>
      <c r="D46" s="411"/>
      <c r="E46" s="411"/>
      <c r="F46" s="411"/>
    </row>
    <row r="47" spans="1:6" ht="15" customHeight="1">
      <c r="A47" s="410"/>
      <c r="B47" s="410"/>
      <c r="C47" s="410"/>
      <c r="D47" s="411"/>
      <c r="E47" s="411"/>
      <c r="F47" s="411"/>
    </row>
    <row r="48" spans="1:6" ht="15" customHeight="1">
      <c r="A48" s="410"/>
      <c r="B48" s="410"/>
      <c r="C48" s="410"/>
      <c r="D48" s="411"/>
      <c r="E48" s="411"/>
      <c r="F48" s="411"/>
    </row>
    <row r="49" spans="1:6" ht="15" customHeight="1">
      <c r="A49" s="410"/>
      <c r="B49" s="410"/>
      <c r="C49" s="410"/>
      <c r="D49" s="411"/>
      <c r="E49" s="411"/>
      <c r="F49" s="411"/>
    </row>
    <row r="50" spans="1:6" ht="15" customHeight="1">
      <c r="A50" s="410"/>
      <c r="B50" s="410"/>
      <c r="C50" s="410"/>
      <c r="D50" s="411"/>
      <c r="E50" s="411"/>
      <c r="F50" s="411"/>
    </row>
    <row r="51" spans="1:6" ht="15" customHeight="1">
      <c r="A51" s="410"/>
      <c r="B51" s="410"/>
      <c r="C51" s="410"/>
      <c r="D51" s="411"/>
      <c r="E51" s="411"/>
      <c r="F51" s="411"/>
    </row>
    <row r="52" spans="1:6" ht="15" customHeight="1">
      <c r="A52" s="410"/>
      <c r="B52" s="410"/>
      <c r="C52" s="410"/>
      <c r="D52" s="411"/>
      <c r="E52" s="411"/>
      <c r="F52" s="411"/>
    </row>
    <row r="53" spans="1:6" ht="15" customHeight="1">
      <c r="A53" s="410"/>
      <c r="B53" s="410"/>
      <c r="C53" s="410"/>
      <c r="D53" s="411"/>
      <c r="E53" s="411"/>
      <c r="F53" s="411"/>
    </row>
    <row r="54" spans="1:6" ht="15" customHeight="1">
      <c r="A54" s="410"/>
      <c r="B54" s="410"/>
      <c r="C54" s="410"/>
      <c r="D54" s="411"/>
      <c r="E54" s="411"/>
      <c r="F54" s="411"/>
    </row>
    <row r="55" spans="1:6" ht="15" customHeight="1">
      <c r="A55" s="410"/>
      <c r="B55" s="410"/>
      <c r="C55" s="410"/>
      <c r="D55" s="411"/>
      <c r="E55" s="411"/>
      <c r="F55" s="411"/>
    </row>
    <row r="56" spans="1:6" ht="15" customHeight="1">
      <c r="A56" s="410"/>
      <c r="B56" s="410"/>
      <c r="C56" s="410"/>
      <c r="D56" s="411"/>
      <c r="E56" s="411"/>
      <c r="F56" s="411"/>
    </row>
    <row r="57" spans="1:6" ht="15" customHeight="1">
      <c r="A57" s="410"/>
      <c r="B57" s="410"/>
      <c r="C57" s="410"/>
      <c r="D57" s="411"/>
      <c r="E57" s="411"/>
      <c r="F57" s="411"/>
    </row>
    <row r="58" spans="1:6" ht="15.75">
      <c r="A58" s="410"/>
      <c r="B58" s="410"/>
      <c r="C58" s="410"/>
      <c r="D58" s="411"/>
      <c r="E58" s="411"/>
      <c r="F58" s="411"/>
    </row>
    <row r="59" spans="1:6" ht="15.75">
      <c r="A59" s="410"/>
      <c r="B59" s="410"/>
      <c r="C59" s="410"/>
      <c r="D59" s="411"/>
      <c r="E59" s="411"/>
      <c r="F59" s="411"/>
    </row>
    <row r="60" spans="1:6" ht="15.75">
      <c r="A60" s="410"/>
      <c r="B60" s="410"/>
      <c r="C60" s="410"/>
      <c r="D60" s="411"/>
      <c r="E60" s="411"/>
      <c r="F60" s="411"/>
    </row>
    <row r="61" spans="1:6" ht="15.75">
      <c r="A61" s="410"/>
      <c r="B61" s="410"/>
      <c r="C61" s="410"/>
      <c r="D61" s="411"/>
      <c r="E61" s="411"/>
      <c r="F61" s="411"/>
    </row>
    <row r="62" spans="1:6" ht="15.75">
      <c r="A62" s="410"/>
      <c r="B62" s="410"/>
      <c r="C62" s="410"/>
      <c r="D62" s="411"/>
      <c r="E62" s="411"/>
      <c r="F62" s="411"/>
    </row>
    <row r="63" spans="1:6" ht="15.75">
      <c r="A63" s="410"/>
      <c r="B63" s="410"/>
      <c r="C63" s="410"/>
      <c r="D63" s="411"/>
      <c r="E63" s="411"/>
      <c r="F63" s="411"/>
    </row>
    <row r="64" spans="1:6" ht="15.75">
      <c r="A64" s="410"/>
      <c r="B64" s="410"/>
      <c r="C64" s="410"/>
      <c r="D64" s="411"/>
      <c r="E64" s="411"/>
      <c r="F64" s="411"/>
    </row>
    <row r="65" spans="1:6" ht="15.75">
      <c r="A65" s="410"/>
      <c r="B65" s="410"/>
      <c r="C65" s="410"/>
      <c r="D65" s="411"/>
      <c r="E65" s="411"/>
      <c r="F65" s="411"/>
    </row>
    <row r="66" spans="1:6" ht="15.75">
      <c r="A66" s="410"/>
      <c r="B66" s="410"/>
      <c r="C66" s="410"/>
      <c r="D66" s="411"/>
      <c r="E66" s="411"/>
      <c r="F66" s="411"/>
    </row>
    <row r="67" spans="1:6" ht="15.75">
      <c r="A67" s="410"/>
      <c r="B67" s="410"/>
      <c r="C67" s="410"/>
      <c r="D67" s="411"/>
      <c r="E67" s="411"/>
      <c r="F67" s="411"/>
    </row>
    <row r="68" spans="1:6" ht="15.75">
      <c r="A68" s="410"/>
      <c r="B68" s="410"/>
      <c r="C68" s="410"/>
      <c r="D68" s="411"/>
      <c r="E68" s="411"/>
      <c r="F68" s="411"/>
    </row>
    <row r="69" spans="1:6" ht="15.75">
      <c r="A69" s="410"/>
      <c r="B69" s="410"/>
      <c r="C69" s="410"/>
      <c r="D69" s="411"/>
      <c r="E69" s="411"/>
      <c r="F69" s="411"/>
    </row>
    <row r="70" spans="1:6" ht="15.75">
      <c r="A70" s="410"/>
      <c r="B70" s="410"/>
      <c r="C70" s="410"/>
      <c r="D70" s="411"/>
      <c r="E70" s="411"/>
      <c r="F70" s="411"/>
    </row>
    <row r="71" spans="1:6" ht="15.75">
      <c r="A71" s="410"/>
      <c r="B71" s="410"/>
      <c r="C71" s="410"/>
      <c r="D71" s="411"/>
      <c r="E71" s="411"/>
      <c r="F71" s="411"/>
    </row>
    <row r="72" spans="1:6" ht="15.75">
      <c r="A72" s="410"/>
      <c r="B72" s="410"/>
      <c r="C72" s="410"/>
      <c r="D72" s="411"/>
      <c r="E72" s="411"/>
      <c r="F72" s="411"/>
    </row>
    <row r="73" spans="1:6" ht="15.75">
      <c r="A73" s="410"/>
      <c r="B73" s="410"/>
      <c r="C73" s="410"/>
      <c r="D73" s="411"/>
      <c r="E73" s="411"/>
      <c r="F73" s="411"/>
    </row>
    <row r="74" spans="1:6" ht="15.75">
      <c r="A74" s="410"/>
      <c r="B74" s="410"/>
      <c r="C74" s="410"/>
      <c r="D74" s="411"/>
      <c r="E74" s="411"/>
      <c r="F74" s="411"/>
    </row>
    <row r="75" spans="1:6" ht="15.75">
      <c r="A75" s="410"/>
      <c r="B75" s="410"/>
      <c r="C75" s="410"/>
      <c r="D75" s="411"/>
      <c r="E75" s="411"/>
      <c r="F75" s="411"/>
    </row>
    <row r="76" spans="1:6" ht="15.75">
      <c r="A76" s="410"/>
      <c r="B76" s="410"/>
      <c r="C76" s="410"/>
      <c r="D76" s="411"/>
      <c r="E76" s="411"/>
      <c r="F76" s="411"/>
    </row>
    <row r="77" spans="1:6" ht="15.75">
      <c r="A77" s="410"/>
      <c r="B77" s="410"/>
      <c r="C77" s="410"/>
      <c r="D77" s="411"/>
      <c r="E77" s="411"/>
      <c r="F77" s="411"/>
    </row>
  </sheetData>
  <mergeCells count="1">
    <mergeCell ref="E4:F4"/>
  </mergeCells>
  <pageMargins left="0.74803149606299202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6"/>
  <sheetViews>
    <sheetView workbookViewId="0">
      <selection activeCell="L15" sqref="L15"/>
    </sheetView>
  </sheetViews>
  <sheetFormatPr defaultColWidth="10.7109375" defaultRowHeight="12.75"/>
  <cols>
    <col min="1" max="1" width="1.7109375" style="105" customWidth="1"/>
    <col min="2" max="2" width="28.28515625" style="105" customWidth="1"/>
    <col min="3" max="3" width="9.28515625" style="105" customWidth="1"/>
    <col min="4" max="4" width="10.28515625" style="105" customWidth="1"/>
    <col min="5" max="5" width="11.5703125" style="105" customWidth="1"/>
    <col min="6" max="6" width="12.7109375" style="105" customWidth="1"/>
    <col min="7" max="7" width="11.5703125" style="105" customWidth="1"/>
    <col min="8" max="16384" width="10.7109375" style="105"/>
  </cols>
  <sheetData>
    <row r="1" spans="1:8" ht="20.100000000000001" customHeight="1">
      <c r="A1" s="383" t="s">
        <v>329</v>
      </c>
      <c r="B1" s="384"/>
      <c r="C1" s="385"/>
      <c r="D1" s="385"/>
      <c r="E1" s="385"/>
      <c r="F1" s="385"/>
      <c r="G1" s="385"/>
    </row>
    <row r="2" spans="1:8" ht="20.100000000000001" customHeight="1">
      <c r="A2" s="387"/>
      <c r="B2" s="388"/>
      <c r="C2" s="389"/>
      <c r="D2" s="389"/>
      <c r="E2" s="389"/>
      <c r="F2" s="389"/>
      <c r="G2" s="389"/>
    </row>
    <row r="3" spans="1:8" ht="20.100000000000001" customHeight="1">
      <c r="A3" s="390"/>
      <c r="B3" s="391"/>
      <c r="C3" s="391"/>
      <c r="D3" s="391"/>
      <c r="E3" s="391"/>
      <c r="F3" s="391"/>
      <c r="G3" s="392"/>
    </row>
    <row r="4" spans="1:8" ht="16.5" customHeight="1">
      <c r="A4" s="393"/>
      <c r="B4" s="393"/>
      <c r="C4" s="394" t="s">
        <v>142</v>
      </c>
      <c r="D4" s="394" t="s">
        <v>142</v>
      </c>
      <c r="E4" s="394" t="s">
        <v>84</v>
      </c>
      <c r="F4" s="394" t="s">
        <v>85</v>
      </c>
      <c r="G4" s="394" t="s">
        <v>86</v>
      </c>
    </row>
    <row r="5" spans="1:8" ht="16.5" customHeight="1">
      <c r="A5" s="395"/>
      <c r="B5" s="395"/>
      <c r="C5" s="396" t="s">
        <v>145</v>
      </c>
      <c r="D5" s="87" t="s">
        <v>41</v>
      </c>
      <c r="E5" s="396" t="s">
        <v>87</v>
      </c>
      <c r="F5" s="396" t="s">
        <v>313</v>
      </c>
      <c r="G5" s="396" t="s">
        <v>314</v>
      </c>
    </row>
    <row r="6" spans="1:8" ht="16.5" customHeight="1">
      <c r="A6" s="395"/>
      <c r="B6" s="395"/>
      <c r="C6" s="87" t="s">
        <v>87</v>
      </c>
      <c r="D6" s="87">
        <v>2025</v>
      </c>
      <c r="E6" s="87" t="s">
        <v>315</v>
      </c>
      <c r="F6" s="87" t="s">
        <v>316</v>
      </c>
      <c r="G6" s="87" t="s">
        <v>88</v>
      </c>
    </row>
    <row r="7" spans="1:8" ht="16.5" customHeight="1">
      <c r="A7" s="395"/>
      <c r="B7" s="395"/>
      <c r="C7" s="90"/>
      <c r="D7" s="397"/>
      <c r="E7" s="90" t="s">
        <v>306</v>
      </c>
      <c r="F7" s="90" t="s">
        <v>7</v>
      </c>
      <c r="G7" s="90" t="s">
        <v>147</v>
      </c>
    </row>
    <row r="8" spans="1:8" ht="20.100000000000001" customHeight="1">
      <c r="A8" s="395"/>
      <c r="B8" s="395"/>
      <c r="C8" s="413"/>
      <c r="D8" s="413"/>
      <c r="E8" s="414"/>
      <c r="F8" s="414"/>
      <c r="G8" s="417"/>
    </row>
    <row r="9" spans="1:8" ht="20.100000000000001" customHeight="1">
      <c r="A9" s="401" t="s">
        <v>330</v>
      </c>
      <c r="B9" s="402"/>
      <c r="C9" s="403">
        <v>272301.50358159095</v>
      </c>
      <c r="D9" s="403">
        <v>3027665.7397045041</v>
      </c>
      <c r="E9" s="369">
        <v>104.6978890740037</v>
      </c>
      <c r="F9" s="369">
        <v>116.20960292540414</v>
      </c>
      <c r="G9" s="369">
        <v>114.1426790335337</v>
      </c>
    </row>
    <row r="10" spans="1:8" ht="20.100000000000001" customHeight="1">
      <c r="A10" s="418" t="s">
        <v>318</v>
      </c>
      <c r="B10" s="406"/>
      <c r="C10" s="407"/>
      <c r="D10" s="407"/>
      <c r="E10" s="374"/>
      <c r="F10" s="374"/>
      <c r="G10" s="374"/>
    </row>
    <row r="11" spans="1:8" ht="20.100000000000001" customHeight="1">
      <c r="A11" s="406"/>
      <c r="B11" s="406" t="s">
        <v>319</v>
      </c>
      <c r="C11" s="407">
        <v>268984.07303671323</v>
      </c>
      <c r="D11" s="407">
        <v>2977435.3833530527</v>
      </c>
      <c r="E11" s="374">
        <v>104.80167457848965</v>
      </c>
      <c r="F11" s="374">
        <v>117.00963909707869</v>
      </c>
      <c r="G11" s="374">
        <v>114.3239661543543</v>
      </c>
    </row>
    <row r="12" spans="1:8" ht="20.100000000000001" customHeight="1">
      <c r="A12" s="406"/>
      <c r="B12" s="406" t="s">
        <v>320</v>
      </c>
      <c r="C12" s="407">
        <v>3317.4305448777409</v>
      </c>
      <c r="D12" s="407">
        <v>50230.3</v>
      </c>
      <c r="E12" s="374">
        <v>96.915939451738524</v>
      </c>
      <c r="F12" s="374">
        <v>74.762355993173571</v>
      </c>
      <c r="G12" s="374">
        <v>104.3356289491249</v>
      </c>
      <c r="H12" s="419"/>
    </row>
    <row r="13" spans="1:8" ht="20.100000000000001" customHeight="1">
      <c r="A13" s="418" t="s">
        <v>321</v>
      </c>
      <c r="B13" s="406"/>
      <c r="C13" s="407"/>
      <c r="D13" s="407"/>
      <c r="E13" s="374"/>
      <c r="F13" s="374"/>
      <c r="G13" s="374"/>
      <c r="H13" s="420"/>
    </row>
    <row r="14" spans="1:8" ht="20.100000000000001" customHeight="1">
      <c r="A14" s="408"/>
      <c r="B14" s="408" t="s">
        <v>322</v>
      </c>
      <c r="C14" s="407">
        <v>467.2</v>
      </c>
      <c r="D14" s="407">
        <v>5459.4800000000005</v>
      </c>
      <c r="E14" s="374">
        <v>118.98940505297473</v>
      </c>
      <c r="F14" s="374">
        <v>94.12523168667903</v>
      </c>
      <c r="G14" s="374">
        <v>107.14947401475902</v>
      </c>
      <c r="H14" s="419"/>
    </row>
    <row r="15" spans="1:8" ht="20.100000000000001" customHeight="1">
      <c r="A15" s="408"/>
      <c r="B15" s="408" t="s">
        <v>323</v>
      </c>
      <c r="C15" s="407">
        <v>11850.32224126994</v>
      </c>
      <c r="D15" s="407">
        <v>148307.0328440509</v>
      </c>
      <c r="E15" s="374">
        <v>103.58371129336351</v>
      </c>
      <c r="F15" s="374">
        <v>111.11561334697294</v>
      </c>
      <c r="G15" s="374">
        <v>112.03575918698023</v>
      </c>
      <c r="H15" s="419"/>
    </row>
    <row r="16" spans="1:8" ht="20.100000000000001" customHeight="1">
      <c r="A16" s="408"/>
      <c r="B16" s="408" t="s">
        <v>324</v>
      </c>
      <c r="C16" s="407">
        <v>56641.279751182235</v>
      </c>
      <c r="D16" s="407">
        <v>598048</v>
      </c>
      <c r="E16" s="374">
        <v>108.18913897105375</v>
      </c>
      <c r="F16" s="374">
        <v>117.08737724333551</v>
      </c>
      <c r="G16" s="374">
        <v>112.7692629048322</v>
      </c>
      <c r="H16" s="419"/>
    </row>
    <row r="17" spans="1:7" ht="20.100000000000001" customHeight="1">
      <c r="A17" s="408"/>
      <c r="B17" s="408" t="s">
        <v>325</v>
      </c>
      <c r="C17" s="407">
        <v>203301.57872907334</v>
      </c>
      <c r="D17" s="407">
        <v>2275387.6992829796</v>
      </c>
      <c r="E17" s="374">
        <v>103.80176454936844</v>
      </c>
      <c r="F17" s="374">
        <v>116.34336212842169</v>
      </c>
      <c r="G17" s="374">
        <v>114.6704288298174</v>
      </c>
    </row>
    <row r="18" spans="1:7" ht="20.100000000000001" customHeight="1">
      <c r="A18" s="408"/>
      <c r="B18" s="408" t="s">
        <v>326</v>
      </c>
      <c r="C18" s="407">
        <v>41.122860065444002</v>
      </c>
      <c r="D18" s="407">
        <v>463.47240229016336</v>
      </c>
      <c r="E18" s="374">
        <v>101.38111819228388</v>
      </c>
      <c r="F18" s="374">
        <v>102.5554943637655</v>
      </c>
      <c r="G18" s="374">
        <v>104.43381871771673</v>
      </c>
    </row>
    <row r="19" spans="1:7" ht="20.100000000000001" customHeight="1">
      <c r="A19" s="408"/>
      <c r="B19" s="408"/>
      <c r="C19" s="407"/>
      <c r="D19" s="407"/>
      <c r="E19" s="374"/>
      <c r="F19" s="374"/>
      <c r="G19" s="374"/>
    </row>
    <row r="20" spans="1:7" ht="20.100000000000001" customHeight="1">
      <c r="A20" s="401" t="s">
        <v>331</v>
      </c>
      <c r="B20" s="402"/>
      <c r="C20" s="403">
        <v>53656.964310090494</v>
      </c>
      <c r="D20" s="403">
        <v>612277.12963027414</v>
      </c>
      <c r="E20" s="369">
        <v>103.43702726118823</v>
      </c>
      <c r="F20" s="369">
        <v>112.47552459315322</v>
      </c>
      <c r="G20" s="369">
        <v>113.11248905138198</v>
      </c>
    </row>
    <row r="21" spans="1:7" ht="20.100000000000001" customHeight="1">
      <c r="A21" s="418" t="s">
        <v>318</v>
      </c>
      <c r="B21" s="406"/>
      <c r="C21" s="407"/>
      <c r="D21" s="407"/>
      <c r="E21" s="374"/>
      <c r="F21" s="374"/>
      <c r="G21" s="374"/>
    </row>
    <row r="22" spans="1:7" ht="20.100000000000001" customHeight="1">
      <c r="A22" s="406"/>
      <c r="B22" s="406" t="s">
        <v>319</v>
      </c>
      <c r="C22" s="407">
        <v>29734.280572279971</v>
      </c>
      <c r="D22" s="407">
        <v>354974.80227827426</v>
      </c>
      <c r="E22" s="374">
        <v>113.4705540420982</v>
      </c>
      <c r="F22" s="374">
        <v>111.12313395365763</v>
      </c>
      <c r="G22" s="374">
        <v>107.30355783955315</v>
      </c>
    </row>
    <row r="23" spans="1:7" ht="20.100000000000001" customHeight="1">
      <c r="A23" s="406"/>
      <c r="B23" s="406" t="s">
        <v>320</v>
      </c>
      <c r="C23" s="407">
        <v>23922.683737810523</v>
      </c>
      <c r="D23" s="407">
        <v>257302.32735199991</v>
      </c>
      <c r="E23" s="374">
        <v>93.194476006587678</v>
      </c>
      <c r="F23" s="374">
        <v>114.20304382333862</v>
      </c>
      <c r="G23" s="374">
        <v>122.24220119684554</v>
      </c>
    </row>
    <row r="24" spans="1:7" ht="20.100000000000001" customHeight="1">
      <c r="A24" s="418" t="s">
        <v>321</v>
      </c>
      <c r="B24" s="406"/>
      <c r="C24" s="407"/>
      <c r="D24" s="407"/>
      <c r="E24" s="374"/>
      <c r="F24" s="374"/>
      <c r="G24" s="374"/>
    </row>
    <row r="25" spans="1:7" ht="20.100000000000001" customHeight="1">
      <c r="A25" s="408"/>
      <c r="B25" s="408" t="s">
        <v>322</v>
      </c>
      <c r="C25" s="407">
        <v>402.23</v>
      </c>
      <c r="D25" s="407">
        <v>4066.1119999999996</v>
      </c>
      <c r="E25" s="374">
        <v>151.91675794085435</v>
      </c>
      <c r="F25" s="374">
        <v>96.485567823911396</v>
      </c>
      <c r="G25" s="374">
        <v>104.87070515224404</v>
      </c>
    </row>
    <row r="26" spans="1:7" ht="20.100000000000001" customHeight="1">
      <c r="A26" s="408"/>
      <c r="B26" s="408" t="s">
        <v>323</v>
      </c>
      <c r="C26" s="407">
        <v>29714.612489359853</v>
      </c>
      <c r="D26" s="407">
        <v>321950.41687378718</v>
      </c>
      <c r="E26" s="374">
        <v>102.5542381952784</v>
      </c>
      <c r="F26" s="374">
        <v>113.5992706576103</v>
      </c>
      <c r="G26" s="374">
        <v>116.63344408540735</v>
      </c>
    </row>
    <row r="27" spans="1:7" ht="20.100000000000001" customHeight="1">
      <c r="A27" s="408"/>
      <c r="B27" s="408" t="s">
        <v>324</v>
      </c>
      <c r="C27" s="407">
        <v>11362.126961178255</v>
      </c>
      <c r="D27" s="407">
        <v>132612.63233009732</v>
      </c>
      <c r="E27" s="374">
        <v>104.28534807943069</v>
      </c>
      <c r="F27" s="374">
        <v>112.47106865677648</v>
      </c>
      <c r="G27" s="374">
        <v>110.91865057957975</v>
      </c>
    </row>
    <row r="28" spans="1:7" ht="20.100000000000001" customHeight="1">
      <c r="A28" s="408"/>
      <c r="B28" s="408" t="s">
        <v>325</v>
      </c>
      <c r="C28" s="407">
        <v>11373.95</v>
      </c>
      <c r="D28" s="407">
        <v>143965.49648815137</v>
      </c>
      <c r="E28" s="374">
        <v>103.91007897852759</v>
      </c>
      <c r="F28" s="374">
        <v>111.43524322659697</v>
      </c>
      <c r="G28" s="374">
        <v>108.89695452081614</v>
      </c>
    </row>
    <row r="29" spans="1:7" ht="20.100000000000001" customHeight="1">
      <c r="A29" s="408"/>
      <c r="B29" s="408" t="s">
        <v>326</v>
      </c>
      <c r="C29" s="407">
        <v>804.05509385517837</v>
      </c>
      <c r="D29" s="407">
        <v>9682.4719382383664</v>
      </c>
      <c r="E29" s="374">
        <v>101.32222982406016</v>
      </c>
      <c r="F29" s="374">
        <v>97.799929993942825</v>
      </c>
      <c r="G29" s="374">
        <v>100.6068493092227</v>
      </c>
    </row>
    <row r="30" spans="1:7" ht="20.100000000000001" customHeight="1">
      <c r="A30" s="421"/>
      <c r="B30" s="421"/>
      <c r="C30" s="422"/>
      <c r="D30" s="422"/>
      <c r="E30" s="422"/>
      <c r="F30" s="422"/>
      <c r="G30" s="422"/>
    </row>
    <row r="31" spans="1:7" ht="20.100000000000001" customHeight="1">
      <c r="A31" s="421"/>
      <c r="B31" s="421"/>
      <c r="C31" s="421"/>
      <c r="D31" s="421"/>
      <c r="E31" s="421"/>
      <c r="F31" s="421"/>
      <c r="G31" s="421"/>
    </row>
    <row r="32" spans="1:7" ht="20.100000000000001" customHeight="1">
      <c r="A32" s="421"/>
      <c r="B32" s="421"/>
      <c r="C32" s="421"/>
      <c r="D32" s="421"/>
      <c r="E32" s="421"/>
      <c r="F32" s="421"/>
      <c r="G32" s="421"/>
    </row>
    <row r="33" spans="1:7" ht="20.100000000000001" customHeight="1">
      <c r="A33" s="421"/>
      <c r="B33" s="421"/>
      <c r="C33" s="421"/>
      <c r="D33" s="421"/>
      <c r="E33" s="421"/>
      <c r="F33" s="421"/>
      <c r="G33" s="421"/>
    </row>
    <row r="34" spans="1:7" ht="20.100000000000001" customHeight="1">
      <c r="A34" s="421"/>
      <c r="B34" s="421"/>
      <c r="C34" s="421"/>
      <c r="D34" s="421"/>
      <c r="E34" s="421"/>
      <c r="F34" s="421"/>
      <c r="G34" s="421"/>
    </row>
    <row r="35" spans="1:7">
      <c r="A35" s="421"/>
      <c r="B35" s="421"/>
      <c r="C35" s="421"/>
      <c r="D35" s="421"/>
      <c r="E35" s="421"/>
      <c r="F35" s="421"/>
      <c r="G35" s="421"/>
    </row>
    <row r="36" spans="1:7">
      <c r="A36" s="421"/>
      <c r="B36" s="421"/>
      <c r="C36" s="421"/>
      <c r="D36" s="421"/>
      <c r="E36" s="421"/>
      <c r="F36" s="421"/>
      <c r="G36" s="421"/>
    </row>
    <row r="37" spans="1:7">
      <c r="A37" s="421"/>
      <c r="B37" s="421"/>
      <c r="C37" s="421"/>
      <c r="D37" s="421"/>
      <c r="E37" s="421"/>
      <c r="F37" s="421"/>
      <c r="G37" s="421"/>
    </row>
    <row r="38" spans="1:7">
      <c r="A38" s="421"/>
      <c r="B38" s="421"/>
      <c r="C38" s="421"/>
      <c r="D38" s="421"/>
      <c r="E38" s="421"/>
      <c r="F38" s="421"/>
      <c r="G38" s="421"/>
    </row>
    <row r="39" spans="1:7">
      <c r="A39" s="421"/>
      <c r="B39" s="421"/>
      <c r="C39" s="421"/>
      <c r="D39" s="421"/>
      <c r="E39" s="421"/>
      <c r="F39" s="421"/>
      <c r="G39" s="421"/>
    </row>
    <row r="40" spans="1:7">
      <c r="A40" s="421"/>
      <c r="B40" s="421"/>
      <c r="C40" s="421"/>
      <c r="D40" s="421"/>
      <c r="E40" s="421"/>
      <c r="F40" s="421"/>
      <c r="G40" s="421"/>
    </row>
    <row r="41" spans="1:7">
      <c r="A41" s="421"/>
      <c r="B41" s="421"/>
      <c r="C41" s="421"/>
      <c r="D41" s="421"/>
      <c r="E41" s="421"/>
      <c r="F41" s="421"/>
      <c r="G41" s="421"/>
    </row>
    <row r="42" spans="1:7">
      <c r="A42" s="421"/>
      <c r="B42" s="421"/>
      <c r="C42" s="421"/>
      <c r="D42" s="421"/>
      <c r="E42" s="421"/>
      <c r="F42" s="421"/>
      <c r="G42" s="421"/>
    </row>
    <row r="43" spans="1:7">
      <c r="A43" s="421"/>
      <c r="B43" s="421"/>
      <c r="C43" s="421"/>
      <c r="D43" s="421"/>
      <c r="E43" s="421"/>
      <c r="F43" s="421"/>
      <c r="G43" s="421"/>
    </row>
    <row r="44" spans="1:7">
      <c r="A44" s="421"/>
      <c r="B44" s="421"/>
      <c r="C44" s="421"/>
      <c r="D44" s="421"/>
      <c r="E44" s="421"/>
      <c r="F44" s="421"/>
      <c r="G44" s="421"/>
    </row>
    <row r="45" spans="1:7">
      <c r="A45" s="421"/>
      <c r="B45" s="421"/>
      <c r="C45" s="421"/>
      <c r="D45" s="421"/>
      <c r="E45" s="421"/>
      <c r="F45" s="421"/>
      <c r="G45" s="421"/>
    </row>
    <row r="46" spans="1:7">
      <c r="A46" s="421"/>
      <c r="B46" s="421"/>
      <c r="C46" s="421"/>
      <c r="D46" s="421"/>
      <c r="E46" s="421"/>
      <c r="F46" s="421"/>
      <c r="G46" s="421"/>
    </row>
    <row r="47" spans="1:7">
      <c r="A47" s="421"/>
      <c r="B47" s="421"/>
      <c r="C47" s="421"/>
      <c r="D47" s="421"/>
      <c r="E47" s="421"/>
      <c r="F47" s="421"/>
      <c r="G47" s="421"/>
    </row>
    <row r="48" spans="1:7" ht="15">
      <c r="A48" s="410"/>
      <c r="B48" s="410"/>
      <c r="C48" s="410"/>
      <c r="D48" s="411"/>
      <c r="E48" s="411"/>
      <c r="F48" s="411"/>
      <c r="G48" s="410"/>
    </row>
    <row r="49" spans="1:7" ht="15">
      <c r="A49" s="410"/>
      <c r="B49" s="410"/>
      <c r="C49" s="410"/>
      <c r="D49" s="411"/>
      <c r="E49" s="411"/>
      <c r="F49" s="411"/>
      <c r="G49" s="410"/>
    </row>
    <row r="50" spans="1:7" ht="15">
      <c r="A50" s="410"/>
      <c r="B50" s="410"/>
      <c r="C50" s="410"/>
      <c r="D50" s="411"/>
      <c r="E50" s="411"/>
      <c r="F50" s="411"/>
      <c r="G50" s="410"/>
    </row>
    <row r="51" spans="1:7" ht="15">
      <c r="A51" s="410"/>
      <c r="B51" s="410"/>
      <c r="C51" s="410"/>
      <c r="D51" s="411"/>
      <c r="E51" s="411"/>
      <c r="F51" s="411"/>
      <c r="G51" s="410"/>
    </row>
    <row r="52" spans="1:7" ht="15">
      <c r="A52" s="410"/>
      <c r="B52" s="410"/>
      <c r="C52" s="410"/>
      <c r="D52" s="411"/>
      <c r="E52" s="411"/>
      <c r="F52" s="411"/>
      <c r="G52" s="410"/>
    </row>
    <row r="53" spans="1:7" ht="15">
      <c r="A53" s="410"/>
      <c r="B53" s="410"/>
      <c r="C53" s="410"/>
      <c r="D53" s="411"/>
      <c r="E53" s="411"/>
      <c r="F53" s="411"/>
      <c r="G53" s="410"/>
    </row>
    <row r="54" spans="1:7" ht="15">
      <c r="A54" s="410"/>
      <c r="B54" s="410"/>
      <c r="C54" s="410"/>
      <c r="D54" s="411"/>
      <c r="E54" s="411"/>
      <c r="F54" s="411"/>
      <c r="G54" s="410"/>
    </row>
    <row r="55" spans="1:7" ht="15">
      <c r="A55" s="410"/>
      <c r="B55" s="410"/>
      <c r="C55" s="410"/>
      <c r="D55" s="411"/>
      <c r="E55" s="411"/>
      <c r="F55" s="411"/>
      <c r="G55" s="410"/>
    </row>
    <row r="56" spans="1:7" ht="15">
      <c r="A56" s="410"/>
      <c r="B56" s="410"/>
      <c r="C56" s="410"/>
      <c r="D56" s="411"/>
      <c r="E56" s="411"/>
      <c r="F56" s="411"/>
      <c r="G56" s="410"/>
    </row>
    <row r="57" spans="1:7" ht="15">
      <c r="A57" s="410"/>
      <c r="B57" s="410"/>
      <c r="C57" s="410"/>
      <c r="D57" s="411"/>
      <c r="E57" s="411"/>
      <c r="F57" s="411"/>
      <c r="G57" s="410"/>
    </row>
    <row r="58" spans="1:7" ht="15">
      <c r="A58" s="410"/>
      <c r="B58" s="410"/>
      <c r="C58" s="410"/>
      <c r="D58" s="411"/>
      <c r="E58" s="411"/>
      <c r="F58" s="411"/>
      <c r="G58" s="410"/>
    </row>
    <row r="59" spans="1:7" ht="15">
      <c r="A59" s="410"/>
      <c r="B59" s="410"/>
      <c r="C59" s="410"/>
      <c r="D59" s="411"/>
      <c r="E59" s="411"/>
      <c r="F59" s="411"/>
      <c r="G59" s="410"/>
    </row>
    <row r="60" spans="1:7" ht="15">
      <c r="A60" s="410"/>
      <c r="B60" s="410"/>
      <c r="C60" s="410"/>
      <c r="D60" s="411"/>
      <c r="E60" s="411"/>
      <c r="F60" s="411"/>
      <c r="G60" s="410"/>
    </row>
    <row r="61" spans="1:7" ht="15">
      <c r="A61" s="410"/>
      <c r="B61" s="410"/>
      <c r="C61" s="410"/>
      <c r="D61" s="411"/>
      <c r="E61" s="411"/>
      <c r="F61" s="411"/>
      <c r="G61" s="410"/>
    </row>
    <row r="62" spans="1:7" ht="15">
      <c r="A62" s="410"/>
      <c r="B62" s="410"/>
      <c r="C62" s="410"/>
      <c r="D62" s="411"/>
      <c r="E62" s="411"/>
      <c r="F62" s="411"/>
      <c r="G62" s="410"/>
    </row>
    <row r="63" spans="1:7" ht="15">
      <c r="A63" s="410"/>
      <c r="B63" s="410"/>
      <c r="C63" s="410"/>
      <c r="D63" s="411"/>
      <c r="E63" s="411"/>
      <c r="F63" s="411"/>
      <c r="G63" s="410"/>
    </row>
    <row r="64" spans="1:7" ht="15">
      <c r="A64" s="410"/>
      <c r="B64" s="410"/>
      <c r="C64" s="410"/>
      <c r="D64" s="411"/>
      <c r="E64" s="411"/>
      <c r="F64" s="411"/>
      <c r="G64" s="410"/>
    </row>
    <row r="65" spans="1:7" ht="15">
      <c r="A65" s="410"/>
      <c r="B65" s="410"/>
      <c r="C65" s="410"/>
      <c r="D65" s="411"/>
      <c r="E65" s="411"/>
      <c r="F65" s="411"/>
      <c r="G65" s="410"/>
    </row>
    <row r="66" spans="1:7" ht="15">
      <c r="A66" s="410"/>
      <c r="B66" s="410"/>
      <c r="C66" s="410"/>
      <c r="D66" s="411"/>
      <c r="E66" s="411"/>
      <c r="F66" s="411"/>
      <c r="G66" s="410"/>
    </row>
    <row r="67" spans="1:7" ht="15">
      <c r="A67" s="410"/>
      <c r="B67" s="410"/>
      <c r="C67" s="410"/>
      <c r="D67" s="411"/>
      <c r="E67" s="411"/>
      <c r="F67" s="411"/>
      <c r="G67" s="410"/>
    </row>
    <row r="68" spans="1:7" ht="15">
      <c r="A68" s="410"/>
      <c r="B68" s="410"/>
      <c r="C68" s="410"/>
      <c r="D68" s="411"/>
      <c r="E68" s="411"/>
      <c r="F68" s="411"/>
      <c r="G68" s="410"/>
    </row>
    <row r="69" spans="1:7" ht="15">
      <c r="A69" s="410"/>
      <c r="B69" s="410"/>
      <c r="C69" s="410"/>
      <c r="D69" s="411"/>
      <c r="E69" s="411"/>
      <c r="F69" s="411"/>
      <c r="G69" s="410"/>
    </row>
    <row r="70" spans="1:7" ht="15">
      <c r="A70" s="410"/>
      <c r="B70" s="410"/>
      <c r="C70" s="410"/>
      <c r="D70" s="411"/>
      <c r="E70" s="411"/>
      <c r="F70" s="411"/>
      <c r="G70" s="410"/>
    </row>
    <row r="71" spans="1:7" ht="15">
      <c r="A71" s="410"/>
      <c r="B71" s="410"/>
      <c r="C71" s="410"/>
      <c r="D71" s="411"/>
      <c r="E71" s="411"/>
      <c r="F71" s="411"/>
      <c r="G71" s="410"/>
    </row>
    <row r="72" spans="1:7" ht="15">
      <c r="A72" s="410"/>
      <c r="B72" s="410"/>
      <c r="C72" s="410"/>
      <c r="D72" s="411"/>
      <c r="E72" s="411"/>
      <c r="F72" s="411"/>
      <c r="G72" s="410"/>
    </row>
    <row r="73" spans="1:7" ht="15">
      <c r="A73" s="410"/>
      <c r="B73" s="410"/>
      <c r="C73" s="410"/>
      <c r="D73" s="411"/>
      <c r="E73" s="411"/>
      <c r="F73" s="411"/>
      <c r="G73" s="410"/>
    </row>
    <row r="74" spans="1:7" ht="15">
      <c r="A74" s="410"/>
      <c r="B74" s="410"/>
      <c r="C74" s="410"/>
      <c r="D74" s="411"/>
      <c r="E74" s="411"/>
      <c r="F74" s="411"/>
      <c r="G74" s="410"/>
    </row>
    <row r="75" spans="1:7" ht="15">
      <c r="A75" s="410"/>
      <c r="B75" s="410"/>
      <c r="C75" s="410"/>
      <c r="D75" s="411"/>
      <c r="E75" s="411"/>
      <c r="F75" s="411"/>
      <c r="G75" s="410"/>
    </row>
    <row r="76" spans="1:7" ht="15">
      <c r="A76" s="410"/>
      <c r="B76" s="410"/>
      <c r="C76" s="410"/>
      <c r="D76" s="411"/>
      <c r="E76" s="411"/>
      <c r="F76" s="411"/>
      <c r="G76" s="410"/>
    </row>
  </sheetData>
  <pageMargins left="0.74803149606299202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5"/>
  <sheetViews>
    <sheetView topLeftCell="A13" workbookViewId="0">
      <selection activeCell="L15" sqref="L15"/>
    </sheetView>
  </sheetViews>
  <sheetFormatPr defaultColWidth="10.7109375" defaultRowHeight="12.75"/>
  <cols>
    <col min="1" max="1" width="1.7109375" style="105" customWidth="1"/>
    <col min="2" max="2" width="31.7109375" style="105" customWidth="1"/>
    <col min="3" max="4" width="10.7109375" style="105" customWidth="1"/>
    <col min="5" max="5" width="14.28515625" style="105" customWidth="1"/>
    <col min="6" max="6" width="13.28515625" style="105" customWidth="1"/>
    <col min="7" max="16384" width="10.7109375" style="105"/>
  </cols>
  <sheetData>
    <row r="1" spans="1:6" ht="20.100000000000001" customHeight="1">
      <c r="A1" s="383" t="s">
        <v>332</v>
      </c>
      <c r="B1" s="384"/>
      <c r="C1" s="385"/>
      <c r="D1" s="385"/>
      <c r="E1" s="385"/>
      <c r="F1" s="385"/>
    </row>
    <row r="2" spans="1:6" ht="20.100000000000001" customHeight="1">
      <c r="A2" s="387"/>
      <c r="B2" s="388"/>
      <c r="C2" s="389"/>
      <c r="D2" s="389"/>
      <c r="E2" s="389"/>
      <c r="F2" s="389"/>
    </row>
    <row r="3" spans="1:6" ht="20.100000000000001" customHeight="1">
      <c r="A3" s="390"/>
      <c r="B3" s="391"/>
      <c r="C3" s="412"/>
      <c r="D3" s="412"/>
      <c r="E3" s="391"/>
      <c r="F3" s="391"/>
    </row>
    <row r="4" spans="1:6" ht="20.100000000000001" customHeight="1">
      <c r="A4" s="393"/>
      <c r="B4" s="393"/>
      <c r="C4" s="363" t="s">
        <v>300</v>
      </c>
      <c r="D4" s="363" t="s">
        <v>142</v>
      </c>
      <c r="E4" s="954" t="s">
        <v>194</v>
      </c>
      <c r="F4" s="954"/>
    </row>
    <row r="5" spans="1:6" ht="20.100000000000001" customHeight="1">
      <c r="A5" s="395"/>
      <c r="B5" s="395"/>
      <c r="C5" s="363" t="s">
        <v>39</v>
      </c>
      <c r="D5" s="363" t="s">
        <v>195</v>
      </c>
      <c r="E5" s="363" t="s">
        <v>42</v>
      </c>
      <c r="F5" s="365" t="s">
        <v>43</v>
      </c>
    </row>
    <row r="6" spans="1:6" ht="20.100000000000001" customHeight="1">
      <c r="A6" s="395"/>
      <c r="B6" s="395"/>
      <c r="C6" s="366" t="s">
        <v>87</v>
      </c>
      <c r="D6" s="366" t="s">
        <v>87</v>
      </c>
      <c r="E6" s="366" t="s">
        <v>87</v>
      </c>
      <c r="F6" s="366" t="s">
        <v>87</v>
      </c>
    </row>
    <row r="7" spans="1:6" ht="20.100000000000001" customHeight="1">
      <c r="A7" s="395"/>
      <c r="B7" s="395"/>
      <c r="C7" s="413"/>
      <c r="D7" s="413"/>
      <c r="E7" s="414"/>
      <c r="F7" s="414"/>
    </row>
    <row r="8" spans="1:6" ht="20.100000000000001" customHeight="1">
      <c r="A8" s="401" t="s">
        <v>330</v>
      </c>
      <c r="B8" s="402"/>
      <c r="C8" s="403">
        <v>796994.03205687739</v>
      </c>
      <c r="D8" s="403">
        <v>799562.79635022383</v>
      </c>
      <c r="E8" s="369">
        <v>118.64082903342792</v>
      </c>
      <c r="F8" s="369">
        <v>110.75631567667263</v>
      </c>
    </row>
    <row r="9" spans="1:6" ht="20.100000000000001" customHeight="1">
      <c r="A9" s="418" t="s">
        <v>318</v>
      </c>
      <c r="B9" s="406"/>
      <c r="C9" s="407"/>
      <c r="D9" s="407"/>
      <c r="E9" s="374"/>
      <c r="F9" s="374"/>
    </row>
    <row r="10" spans="1:6" ht="20.100000000000001" customHeight="1">
      <c r="A10" s="406"/>
      <c r="B10" s="406" t="s">
        <v>319</v>
      </c>
      <c r="C10" s="407">
        <v>782815.01827294799</v>
      </c>
      <c r="D10" s="407">
        <v>788574.11522748531</v>
      </c>
      <c r="E10" s="374">
        <v>118.57087731884006</v>
      </c>
      <c r="F10" s="374">
        <v>111.30405065789577</v>
      </c>
    </row>
    <row r="11" spans="1:6" ht="20.100000000000001" customHeight="1">
      <c r="A11" s="406"/>
      <c r="B11" s="406" t="s">
        <v>320</v>
      </c>
      <c r="C11" s="407">
        <v>14179.013783929397</v>
      </c>
      <c r="D11" s="407">
        <v>10988.681122738555</v>
      </c>
      <c r="E11" s="374">
        <v>122.6352019233195</v>
      </c>
      <c r="F11" s="374">
        <v>81.850865828004842</v>
      </c>
    </row>
    <row r="12" spans="1:6" ht="20.100000000000001" customHeight="1">
      <c r="A12" s="418" t="s">
        <v>321</v>
      </c>
      <c r="B12" s="406"/>
      <c r="C12" s="407"/>
      <c r="D12" s="407"/>
      <c r="E12" s="374"/>
      <c r="F12" s="374"/>
    </row>
    <row r="13" spans="1:6" ht="20.100000000000001" customHeight="1">
      <c r="A13" s="408"/>
      <c r="B13" s="408" t="s">
        <v>322</v>
      </c>
      <c r="C13" s="407">
        <v>1458.98</v>
      </c>
      <c r="D13" s="407">
        <v>1321.94</v>
      </c>
      <c r="E13" s="374">
        <v>119.05764460112285</v>
      </c>
      <c r="F13" s="374">
        <v>97.743371338154191</v>
      </c>
    </row>
    <row r="14" spans="1:6" ht="20.100000000000001" customHeight="1">
      <c r="A14" s="408"/>
      <c r="B14" s="408" t="s">
        <v>323</v>
      </c>
      <c r="C14" s="407">
        <v>38473.218852130871</v>
      </c>
      <c r="D14" s="407">
        <v>35276.232844399136</v>
      </c>
      <c r="E14" s="374">
        <v>111.04995595274349</v>
      </c>
      <c r="F14" s="374">
        <v>108.1174748272586</v>
      </c>
    </row>
    <row r="15" spans="1:6" ht="20.100000000000001" customHeight="1">
      <c r="A15" s="408"/>
      <c r="B15" s="408" t="s">
        <v>324</v>
      </c>
      <c r="C15" s="407">
        <v>139351.38678454666</v>
      </c>
      <c r="D15" s="407">
        <v>156599.67338290851</v>
      </c>
      <c r="E15" s="374">
        <v>107.69457840054227</v>
      </c>
      <c r="F15" s="374">
        <v>118.33114842568216</v>
      </c>
    </row>
    <row r="16" spans="1:6" ht="20.100000000000001" customHeight="1">
      <c r="A16" s="408"/>
      <c r="B16" s="408" t="s">
        <v>325</v>
      </c>
      <c r="C16" s="407">
        <v>617594.30000000005</v>
      </c>
      <c r="D16" s="407">
        <v>606243.25</v>
      </c>
      <c r="E16" s="374">
        <v>121.95970148891189</v>
      </c>
      <c r="F16" s="374">
        <v>109.14040866789225</v>
      </c>
    </row>
    <row r="17" spans="1:6" ht="20.100000000000001" customHeight="1">
      <c r="A17" s="408"/>
      <c r="B17" s="408" t="s">
        <v>326</v>
      </c>
      <c r="C17" s="407">
        <v>116.08945207900001</v>
      </c>
      <c r="D17" s="407">
        <v>121.70622409216338</v>
      </c>
      <c r="E17" s="374">
        <v>102.82012295312957</v>
      </c>
      <c r="F17" s="374">
        <v>101.06765184801532</v>
      </c>
    </row>
    <row r="18" spans="1:6" ht="20.100000000000001" customHeight="1">
      <c r="A18" s="408"/>
      <c r="B18" s="408"/>
      <c r="C18" s="407"/>
      <c r="D18" s="407"/>
      <c r="E18" s="374"/>
      <c r="F18" s="374"/>
    </row>
    <row r="19" spans="1:6" ht="20.100000000000001" customHeight="1">
      <c r="A19" s="401" t="s">
        <v>331</v>
      </c>
      <c r="B19" s="402"/>
      <c r="C19" s="403">
        <v>160007.92013980102</v>
      </c>
      <c r="D19" s="403">
        <v>160212.32033103573</v>
      </c>
      <c r="E19" s="369">
        <v>115.36167967961033</v>
      </c>
      <c r="F19" s="369">
        <v>109.92713423247812</v>
      </c>
    </row>
    <row r="20" spans="1:6" ht="20.100000000000001" customHeight="1">
      <c r="A20" s="418" t="s">
        <v>318</v>
      </c>
      <c r="B20" s="406"/>
      <c r="C20" s="407"/>
      <c r="D20" s="407"/>
      <c r="E20" s="374"/>
      <c r="F20" s="374"/>
    </row>
    <row r="21" spans="1:6" ht="20.100000000000001" customHeight="1">
      <c r="A21" s="406"/>
      <c r="B21" s="406" t="s">
        <v>319</v>
      </c>
      <c r="C21" s="407">
        <v>90543.225016753378</v>
      </c>
      <c r="D21" s="407">
        <v>93717.009010439637</v>
      </c>
      <c r="E21" s="374">
        <v>107.78858082579397</v>
      </c>
      <c r="F21" s="374">
        <v>103.34514268739264</v>
      </c>
    </row>
    <row r="22" spans="1:6" ht="20.100000000000001" customHeight="1">
      <c r="A22" s="406"/>
      <c r="B22" s="406" t="s">
        <v>320</v>
      </c>
      <c r="C22" s="407">
        <v>69464.695123047655</v>
      </c>
      <c r="D22" s="407">
        <v>66495.311320596084</v>
      </c>
      <c r="E22" s="374">
        <v>126.99133331287393</v>
      </c>
      <c r="F22" s="374">
        <v>120.76752157578379</v>
      </c>
    </row>
    <row r="23" spans="1:6" ht="20.100000000000001" customHeight="1">
      <c r="A23" s="418" t="s">
        <v>321</v>
      </c>
      <c r="B23" s="406"/>
      <c r="C23" s="407"/>
      <c r="D23" s="407"/>
      <c r="E23" s="374"/>
      <c r="F23" s="374"/>
    </row>
    <row r="24" spans="1:6" ht="20.100000000000001" customHeight="1">
      <c r="A24" s="408"/>
      <c r="B24" s="408" t="s">
        <v>322</v>
      </c>
      <c r="C24" s="407">
        <v>1107.5609999999999</v>
      </c>
      <c r="D24" s="407">
        <v>1020.754</v>
      </c>
      <c r="E24" s="374">
        <v>114.8724389783502</v>
      </c>
      <c r="F24" s="374">
        <v>94.193912739359561</v>
      </c>
    </row>
    <row r="25" spans="1:6" ht="20.100000000000001" customHeight="1">
      <c r="A25" s="408"/>
      <c r="B25" s="408" t="s">
        <v>323</v>
      </c>
      <c r="C25" s="407">
        <v>79628.997061686401</v>
      </c>
      <c r="D25" s="407">
        <v>85873.952733299142</v>
      </c>
      <c r="E25" s="374">
        <v>116.24964825877085</v>
      </c>
      <c r="F25" s="374">
        <v>116.57707389571421</v>
      </c>
    </row>
    <row r="26" spans="1:6" ht="20.100000000000001" customHeight="1">
      <c r="A26" s="408"/>
      <c r="B26" s="408" t="s">
        <v>324</v>
      </c>
      <c r="C26" s="407">
        <v>33974.153157658002</v>
      </c>
      <c r="D26" s="407">
        <v>33986.022498544873</v>
      </c>
      <c r="E26" s="374">
        <v>107.76736825376456</v>
      </c>
      <c r="F26" s="374">
        <v>108.99094651461299</v>
      </c>
    </row>
    <row r="27" spans="1:6" ht="20.100000000000001" customHeight="1">
      <c r="A27" s="408"/>
      <c r="B27" s="408" t="s">
        <v>325</v>
      </c>
      <c r="C27" s="407">
        <v>42819.1</v>
      </c>
      <c r="D27" s="407">
        <v>36967.599999999999</v>
      </c>
      <c r="E27" s="374">
        <v>120.78025760962723</v>
      </c>
      <c r="F27" s="374">
        <v>98.659393459038284</v>
      </c>
    </row>
    <row r="28" spans="1:6" ht="20.100000000000001" customHeight="1">
      <c r="A28" s="408"/>
      <c r="B28" s="408" t="s">
        <v>326</v>
      </c>
      <c r="C28" s="407">
        <v>2478</v>
      </c>
      <c r="D28" s="407">
        <v>2363.9360412977371</v>
      </c>
      <c r="E28" s="374">
        <v>109.59522098993828</v>
      </c>
      <c r="F28" s="374">
        <v>100.79833911147576</v>
      </c>
    </row>
    <row r="29" spans="1:6" ht="20.100000000000001" customHeight="1">
      <c r="A29" s="421"/>
      <c r="B29" s="421"/>
      <c r="C29" s="422"/>
      <c r="D29" s="422"/>
      <c r="E29" s="422"/>
      <c r="F29" s="422"/>
    </row>
    <row r="30" spans="1:6" ht="20.100000000000001" customHeight="1">
      <c r="A30" s="421"/>
      <c r="B30" s="421"/>
      <c r="C30" s="423"/>
      <c r="D30" s="421"/>
      <c r="E30" s="421"/>
      <c r="F30" s="421"/>
    </row>
    <row r="31" spans="1:6" ht="20.100000000000001" customHeight="1">
      <c r="A31" s="421"/>
      <c r="B31" s="421"/>
      <c r="C31" s="421"/>
      <c r="D31" s="421"/>
      <c r="E31" s="421"/>
      <c r="F31" s="421"/>
    </row>
    <row r="32" spans="1:6" ht="20.100000000000001" customHeight="1">
      <c r="A32" s="421"/>
      <c r="B32" s="421"/>
      <c r="C32" s="421"/>
      <c r="D32" s="421"/>
      <c r="E32" s="421"/>
      <c r="F32" s="421"/>
    </row>
    <row r="33" spans="1:6" ht="20.100000000000001" customHeight="1">
      <c r="A33" s="421"/>
      <c r="B33" s="421"/>
      <c r="C33" s="421"/>
      <c r="D33" s="421"/>
      <c r="E33" s="421"/>
      <c r="F33" s="421"/>
    </row>
    <row r="34" spans="1:6">
      <c r="A34" s="421"/>
      <c r="B34" s="421"/>
      <c r="C34" s="421"/>
      <c r="D34" s="421"/>
      <c r="E34" s="421"/>
      <c r="F34" s="421"/>
    </row>
    <row r="35" spans="1:6">
      <c r="A35" s="421"/>
      <c r="B35" s="421"/>
      <c r="C35" s="421"/>
      <c r="D35" s="421"/>
      <c r="E35" s="421"/>
      <c r="F35" s="421"/>
    </row>
    <row r="36" spans="1:6">
      <c r="A36" s="421"/>
      <c r="B36" s="421"/>
      <c r="C36" s="421"/>
      <c r="D36" s="421"/>
      <c r="E36" s="421"/>
      <c r="F36" s="421"/>
    </row>
    <row r="37" spans="1:6">
      <c r="A37" s="421"/>
      <c r="B37" s="421"/>
      <c r="C37" s="421"/>
      <c r="D37" s="421"/>
      <c r="E37" s="421"/>
      <c r="F37" s="421"/>
    </row>
    <row r="38" spans="1:6">
      <c r="A38" s="421"/>
      <c r="B38" s="421"/>
      <c r="C38" s="421"/>
      <c r="D38" s="421"/>
      <c r="E38" s="421"/>
      <c r="F38" s="421"/>
    </row>
    <row r="39" spans="1:6">
      <c r="A39" s="421"/>
      <c r="B39" s="421"/>
      <c r="C39" s="421"/>
      <c r="D39" s="421"/>
      <c r="E39" s="421"/>
      <c r="F39" s="421"/>
    </row>
    <row r="40" spans="1:6">
      <c r="A40" s="421"/>
      <c r="B40" s="421"/>
      <c r="C40" s="421"/>
      <c r="D40" s="421"/>
      <c r="E40" s="421"/>
      <c r="F40" s="421"/>
    </row>
    <row r="41" spans="1:6">
      <c r="A41" s="421"/>
      <c r="B41" s="421"/>
      <c r="C41" s="421"/>
      <c r="D41" s="421"/>
      <c r="E41" s="421"/>
      <c r="F41" s="421"/>
    </row>
    <row r="42" spans="1:6">
      <c r="A42" s="421"/>
      <c r="B42" s="421"/>
      <c r="C42" s="421"/>
      <c r="D42" s="421"/>
      <c r="E42" s="421"/>
      <c r="F42" s="421"/>
    </row>
    <row r="43" spans="1:6">
      <c r="A43" s="421"/>
      <c r="B43" s="421"/>
      <c r="C43" s="421"/>
      <c r="D43" s="421"/>
      <c r="E43" s="421"/>
      <c r="F43" s="421"/>
    </row>
    <row r="44" spans="1:6">
      <c r="A44" s="421"/>
      <c r="B44" s="421"/>
      <c r="C44" s="421"/>
      <c r="D44" s="421"/>
      <c r="E44" s="421"/>
      <c r="F44" s="421"/>
    </row>
    <row r="45" spans="1:6">
      <c r="A45" s="421"/>
      <c r="B45" s="421"/>
      <c r="C45" s="421"/>
      <c r="D45" s="421"/>
      <c r="E45" s="421"/>
      <c r="F45" s="421"/>
    </row>
    <row r="46" spans="1:6">
      <c r="A46" s="421"/>
      <c r="B46" s="421"/>
      <c r="C46" s="421"/>
      <c r="D46" s="421"/>
      <c r="E46" s="421"/>
      <c r="F46" s="421"/>
    </row>
    <row r="47" spans="1:6" ht="15">
      <c r="A47" s="410"/>
      <c r="B47" s="410"/>
      <c r="C47" s="410"/>
      <c r="D47" s="411"/>
      <c r="E47" s="411"/>
      <c r="F47" s="411"/>
    </row>
    <row r="48" spans="1:6" ht="15">
      <c r="A48" s="410"/>
      <c r="B48" s="410"/>
      <c r="C48" s="410"/>
      <c r="D48" s="411"/>
      <c r="E48" s="411"/>
      <c r="F48" s="411"/>
    </row>
    <row r="49" spans="1:6" ht="15">
      <c r="A49" s="410"/>
      <c r="B49" s="410"/>
      <c r="C49" s="410"/>
      <c r="D49" s="411"/>
      <c r="E49" s="411"/>
      <c r="F49" s="411"/>
    </row>
    <row r="50" spans="1:6" ht="15">
      <c r="A50" s="410"/>
      <c r="B50" s="410"/>
      <c r="C50" s="410"/>
      <c r="D50" s="411"/>
      <c r="E50" s="411"/>
      <c r="F50" s="411"/>
    </row>
    <row r="51" spans="1:6" ht="15">
      <c r="A51" s="410"/>
      <c r="B51" s="410"/>
      <c r="C51" s="410"/>
      <c r="D51" s="411"/>
      <c r="E51" s="411"/>
      <c r="F51" s="411"/>
    </row>
    <row r="52" spans="1:6" ht="15">
      <c r="A52" s="410"/>
      <c r="B52" s="410"/>
      <c r="C52" s="410"/>
      <c r="D52" s="411"/>
      <c r="E52" s="411"/>
      <c r="F52" s="411"/>
    </row>
    <row r="53" spans="1:6" ht="15">
      <c r="A53" s="410"/>
      <c r="B53" s="410"/>
      <c r="C53" s="410"/>
      <c r="D53" s="411"/>
      <c r="E53" s="411"/>
      <c r="F53" s="411"/>
    </row>
    <row r="54" spans="1:6" ht="15">
      <c r="A54" s="410"/>
      <c r="B54" s="410"/>
      <c r="C54" s="410"/>
      <c r="D54" s="411"/>
      <c r="E54" s="411"/>
      <c r="F54" s="411"/>
    </row>
    <row r="55" spans="1:6" ht="15">
      <c r="A55" s="410"/>
      <c r="B55" s="410"/>
      <c r="C55" s="410"/>
      <c r="D55" s="411"/>
      <c r="E55" s="411"/>
      <c r="F55" s="411"/>
    </row>
    <row r="56" spans="1:6" ht="15">
      <c r="A56" s="410"/>
      <c r="B56" s="410"/>
      <c r="C56" s="410"/>
      <c r="D56" s="411"/>
      <c r="E56" s="411"/>
      <c r="F56" s="411"/>
    </row>
    <row r="57" spans="1:6" ht="15">
      <c r="A57" s="410"/>
      <c r="B57" s="410"/>
      <c r="C57" s="410"/>
      <c r="D57" s="411"/>
      <c r="E57" s="411"/>
      <c r="F57" s="411"/>
    </row>
    <row r="58" spans="1:6" ht="15">
      <c r="A58" s="410"/>
      <c r="B58" s="410"/>
      <c r="C58" s="410"/>
      <c r="D58" s="411"/>
      <c r="E58" s="411"/>
      <c r="F58" s="411"/>
    </row>
    <row r="59" spans="1:6" ht="15">
      <c r="A59" s="410"/>
      <c r="B59" s="410"/>
      <c r="C59" s="410"/>
      <c r="D59" s="411"/>
      <c r="E59" s="411"/>
      <c r="F59" s="411"/>
    </row>
    <row r="60" spans="1:6" ht="15">
      <c r="A60" s="410"/>
      <c r="B60" s="410"/>
      <c r="C60" s="410"/>
      <c r="D60" s="411"/>
      <c r="E60" s="411"/>
      <c r="F60" s="411"/>
    </row>
    <row r="61" spans="1:6" ht="15">
      <c r="A61" s="410"/>
      <c r="B61" s="410"/>
      <c r="C61" s="410"/>
      <c r="D61" s="411"/>
      <c r="E61" s="411"/>
      <c r="F61" s="411"/>
    </row>
    <row r="62" spans="1:6" ht="15">
      <c r="A62" s="410"/>
      <c r="B62" s="410"/>
      <c r="C62" s="410"/>
      <c r="D62" s="411"/>
      <c r="E62" s="411"/>
      <c r="F62" s="411"/>
    </row>
    <row r="63" spans="1:6" ht="15">
      <c r="A63" s="410"/>
      <c r="B63" s="410"/>
      <c r="C63" s="410"/>
      <c r="D63" s="411"/>
      <c r="E63" s="411"/>
      <c r="F63" s="411"/>
    </row>
    <row r="64" spans="1:6" ht="15">
      <c r="A64" s="410"/>
      <c r="B64" s="410"/>
      <c r="C64" s="410"/>
      <c r="D64" s="411"/>
      <c r="E64" s="411"/>
      <c r="F64" s="411"/>
    </row>
    <row r="65" spans="1:6" ht="15">
      <c r="A65" s="410"/>
      <c r="B65" s="410"/>
      <c r="C65" s="410"/>
      <c r="D65" s="411"/>
      <c r="E65" s="411"/>
      <c r="F65" s="411"/>
    </row>
    <row r="66" spans="1:6" ht="15">
      <c r="A66" s="410"/>
      <c r="B66" s="410"/>
      <c r="C66" s="410"/>
      <c r="D66" s="411"/>
      <c r="E66" s="411"/>
      <c r="F66" s="411"/>
    </row>
    <row r="67" spans="1:6" ht="15">
      <c r="A67" s="410"/>
      <c r="B67" s="410"/>
      <c r="C67" s="410"/>
      <c r="D67" s="411"/>
      <c r="E67" s="411"/>
      <c r="F67" s="411"/>
    </row>
    <row r="68" spans="1:6" ht="15">
      <c r="A68" s="410"/>
      <c r="B68" s="410"/>
      <c r="C68" s="410"/>
      <c r="D68" s="411"/>
      <c r="E68" s="411"/>
      <c r="F68" s="411"/>
    </row>
    <row r="69" spans="1:6" ht="15">
      <c r="A69" s="410"/>
      <c r="B69" s="410"/>
      <c r="C69" s="410"/>
      <c r="D69" s="411"/>
      <c r="E69" s="411"/>
      <c r="F69" s="411"/>
    </row>
    <row r="70" spans="1:6" ht="15">
      <c r="A70" s="410"/>
      <c r="B70" s="410"/>
      <c r="C70" s="410"/>
      <c r="D70" s="411"/>
      <c r="E70" s="411"/>
      <c r="F70" s="411"/>
    </row>
    <row r="71" spans="1:6" ht="15">
      <c r="A71" s="410"/>
      <c r="B71" s="410"/>
      <c r="C71" s="410"/>
      <c r="D71" s="411"/>
      <c r="E71" s="411"/>
      <c r="F71" s="411"/>
    </row>
    <row r="72" spans="1:6" ht="15">
      <c r="A72" s="410"/>
      <c r="B72" s="410"/>
      <c r="C72" s="410"/>
      <c r="D72" s="411"/>
      <c r="E72" s="411"/>
      <c r="F72" s="411"/>
    </row>
    <row r="73" spans="1:6" ht="15">
      <c r="A73" s="410"/>
      <c r="B73" s="410"/>
      <c r="C73" s="410"/>
      <c r="D73" s="411"/>
      <c r="E73" s="411"/>
      <c r="F73" s="411"/>
    </row>
    <row r="74" spans="1:6" ht="15">
      <c r="A74" s="410"/>
      <c r="B74" s="410"/>
      <c r="C74" s="410"/>
      <c r="D74" s="411"/>
      <c r="E74" s="411"/>
      <c r="F74" s="411"/>
    </row>
    <row r="75" spans="1:6" ht="15">
      <c r="A75" s="410"/>
      <c r="B75" s="410"/>
      <c r="C75" s="410"/>
      <c r="D75" s="411"/>
      <c r="E75" s="411"/>
      <c r="F75" s="411"/>
    </row>
  </sheetData>
  <mergeCells count="1">
    <mergeCell ref="E4:F4"/>
  </mergeCells>
  <pageMargins left="0.74803149606299202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8"/>
  <sheetViews>
    <sheetView topLeftCell="A10" workbookViewId="0">
      <selection activeCell="L15" sqref="L15"/>
    </sheetView>
  </sheetViews>
  <sheetFormatPr defaultColWidth="8.5703125" defaultRowHeight="15"/>
  <cols>
    <col min="1" max="1" width="1.42578125" style="426" customWidth="1"/>
    <col min="2" max="2" width="35" style="426" customWidth="1"/>
    <col min="3" max="5" width="9.28515625" style="426" customWidth="1"/>
    <col min="6" max="6" width="12.7109375" style="426" customWidth="1"/>
    <col min="7" max="7" width="11.5703125" style="426" customWidth="1"/>
    <col min="8" max="16384" width="8.5703125" style="426"/>
  </cols>
  <sheetData>
    <row r="1" spans="1:10" ht="20.25" customHeight="1">
      <c r="A1" s="424" t="s">
        <v>333</v>
      </c>
      <c r="B1" s="425"/>
      <c r="C1" s="425"/>
      <c r="D1" s="425"/>
      <c r="E1" s="425"/>
      <c r="F1" s="425"/>
      <c r="G1" s="425"/>
    </row>
    <row r="2" spans="1:10" ht="15" customHeight="1">
      <c r="A2" s="427"/>
      <c r="B2" s="428"/>
      <c r="C2" s="429"/>
      <c r="D2" s="429"/>
      <c r="E2" s="429"/>
      <c r="F2" s="428"/>
      <c r="G2" s="430" t="s">
        <v>334</v>
      </c>
    </row>
    <row r="3" spans="1:10" ht="14.65" customHeight="1">
      <c r="A3" s="431"/>
      <c r="B3" s="431"/>
      <c r="C3" s="432" t="s">
        <v>83</v>
      </c>
      <c r="D3" s="432" t="s">
        <v>84</v>
      </c>
      <c r="E3" s="432" t="s">
        <v>264</v>
      </c>
      <c r="F3" s="433" t="s">
        <v>335</v>
      </c>
      <c r="G3" s="433" t="s">
        <v>86</v>
      </c>
    </row>
    <row r="4" spans="1:10" ht="14.65" customHeight="1">
      <c r="A4" s="434"/>
      <c r="B4" s="434"/>
      <c r="C4" s="435" t="s">
        <v>41</v>
      </c>
      <c r="D4" s="435" t="s">
        <v>41</v>
      </c>
      <c r="E4" s="435">
        <v>2025</v>
      </c>
      <c r="F4" s="432" t="s">
        <v>336</v>
      </c>
      <c r="G4" s="432" t="s">
        <v>44</v>
      </c>
    </row>
    <row r="5" spans="1:10" ht="14.65" customHeight="1">
      <c r="A5" s="434"/>
      <c r="B5" s="434"/>
      <c r="C5" s="435">
        <v>2025</v>
      </c>
      <c r="D5" s="435">
        <v>2025</v>
      </c>
      <c r="E5" s="435"/>
      <c r="F5" s="435" t="s">
        <v>337</v>
      </c>
      <c r="G5" s="435" t="s">
        <v>6</v>
      </c>
    </row>
    <row r="6" spans="1:10" ht="14.65" customHeight="1">
      <c r="A6" s="434"/>
      <c r="B6" s="434"/>
      <c r="C6" s="436"/>
      <c r="D6" s="436"/>
      <c r="E6" s="397"/>
      <c r="F6" s="436" t="s">
        <v>306</v>
      </c>
      <c r="G6" s="436" t="s">
        <v>147</v>
      </c>
    </row>
    <row r="7" spans="1:10" ht="8.1" customHeight="1">
      <c r="A7" s="434"/>
      <c r="B7" s="434"/>
      <c r="C7" s="437"/>
      <c r="D7" s="437"/>
      <c r="E7" s="437"/>
      <c r="F7" s="438"/>
      <c r="G7" s="439"/>
    </row>
    <row r="8" spans="1:10" ht="15" customHeight="1">
      <c r="A8" s="440" t="s">
        <v>265</v>
      </c>
      <c r="B8" s="427"/>
      <c r="C8" s="441">
        <v>1978174</v>
      </c>
      <c r="D8" s="442">
        <v>2021619</v>
      </c>
      <c r="E8" s="443">
        <v>21168291</v>
      </c>
      <c r="F8" s="444">
        <v>115.70357563714857</v>
      </c>
      <c r="G8" s="444">
        <v>120.38449904567818</v>
      </c>
      <c r="H8" s="445"/>
      <c r="I8" s="445"/>
      <c r="J8" s="445"/>
    </row>
    <row r="9" spans="1:10" ht="15" customHeight="1">
      <c r="A9" s="446" t="s">
        <v>338</v>
      </c>
      <c r="B9" s="446"/>
      <c r="C9" s="447"/>
      <c r="D9" s="448"/>
      <c r="E9" s="449"/>
      <c r="F9" s="450"/>
      <c r="G9" s="450"/>
      <c r="H9" s="445"/>
      <c r="I9" s="445"/>
      <c r="J9" s="445"/>
    </row>
    <row r="10" spans="1:10" ht="15" customHeight="1">
      <c r="A10" s="427"/>
      <c r="B10" s="451" t="s">
        <v>339</v>
      </c>
      <c r="C10" s="452">
        <v>1600444</v>
      </c>
      <c r="D10" s="448">
        <v>1658412</v>
      </c>
      <c r="E10" s="449">
        <v>17840142</v>
      </c>
      <c r="F10" s="450">
        <v>113.00140433073523</v>
      </c>
      <c r="G10" s="450">
        <v>120.18322406447805</v>
      </c>
      <c r="H10" s="445"/>
      <c r="I10" s="445"/>
      <c r="J10" s="445"/>
    </row>
    <row r="11" spans="1:10" ht="15" customHeight="1">
      <c r="A11" s="427"/>
      <c r="B11" s="451" t="s">
        <v>323</v>
      </c>
      <c r="C11" s="452">
        <v>23670</v>
      </c>
      <c r="D11" s="448">
        <v>45172</v>
      </c>
      <c r="E11" s="449">
        <v>273947</v>
      </c>
      <c r="F11" s="450">
        <v>168.01934164031988</v>
      </c>
      <c r="G11" s="450">
        <v>110.44023382382584</v>
      </c>
      <c r="H11" s="445"/>
      <c r="I11" s="445"/>
      <c r="J11" s="445"/>
    </row>
    <row r="12" spans="1:10" ht="15" customHeight="1">
      <c r="A12" s="427"/>
      <c r="B12" s="451" t="s">
        <v>325</v>
      </c>
      <c r="C12" s="452">
        <v>354060</v>
      </c>
      <c r="D12" s="448">
        <v>318035</v>
      </c>
      <c r="E12" s="449">
        <v>3054202</v>
      </c>
      <c r="F12" s="450">
        <v>125.82895106718395</v>
      </c>
      <c r="G12" s="450">
        <v>122.57351376589428</v>
      </c>
      <c r="H12" s="445"/>
      <c r="I12" s="445"/>
      <c r="J12" s="445"/>
    </row>
    <row r="13" spans="1:10" ht="15" customHeight="1">
      <c r="A13" s="453" t="s">
        <v>340</v>
      </c>
      <c r="B13" s="453"/>
      <c r="C13" s="454"/>
      <c r="D13" s="454"/>
      <c r="E13" s="454"/>
      <c r="F13" s="450"/>
      <c r="G13" s="450"/>
      <c r="H13" s="445"/>
      <c r="I13" s="445"/>
      <c r="J13" s="445"/>
    </row>
    <row r="14" spans="1:10" ht="15" customHeight="1">
      <c r="A14" s="427"/>
      <c r="B14" s="455" t="s">
        <v>341</v>
      </c>
      <c r="C14" s="441">
        <v>1477295</v>
      </c>
      <c r="D14" s="442">
        <v>1533979</v>
      </c>
      <c r="E14" s="443">
        <v>16629241</v>
      </c>
      <c r="F14" s="444">
        <v>110.95618259823156</v>
      </c>
      <c r="G14" s="444">
        <v>118.80531127091328</v>
      </c>
      <c r="H14" s="445"/>
      <c r="I14" s="445"/>
      <c r="J14" s="445"/>
    </row>
    <row r="15" spans="1:10" ht="15" customHeight="1">
      <c r="A15" s="427"/>
      <c r="B15" s="456" t="s">
        <v>342</v>
      </c>
      <c r="C15" s="452">
        <v>467090</v>
      </c>
      <c r="D15" s="448">
        <v>487557</v>
      </c>
      <c r="E15" s="449">
        <v>5282002</v>
      </c>
      <c r="F15" s="450">
        <v>125.70404088062477</v>
      </c>
      <c r="G15" s="450">
        <v>141.3007751516806</v>
      </c>
      <c r="H15" s="445"/>
      <c r="I15" s="445"/>
      <c r="J15" s="445"/>
    </row>
    <row r="16" spans="1:10" ht="15" customHeight="1">
      <c r="A16" s="427"/>
      <c r="B16" s="456" t="s">
        <v>343</v>
      </c>
      <c r="C16" s="457">
        <v>343998</v>
      </c>
      <c r="D16" s="448">
        <v>388732</v>
      </c>
      <c r="E16" s="449">
        <v>4331411</v>
      </c>
      <c r="F16" s="450">
        <v>89.349505480739836</v>
      </c>
      <c r="G16" s="450">
        <v>94.801202291734569</v>
      </c>
      <c r="H16" s="445"/>
      <c r="I16" s="445"/>
      <c r="J16" s="445"/>
    </row>
    <row r="17" spans="1:10" ht="15" customHeight="1">
      <c r="A17" s="427"/>
      <c r="B17" s="456" t="s">
        <v>344</v>
      </c>
      <c r="C17" s="457">
        <v>75441</v>
      </c>
      <c r="D17" s="448">
        <v>60095</v>
      </c>
      <c r="E17" s="449">
        <v>814169</v>
      </c>
      <c r="F17" s="450">
        <v>108.19740016564042</v>
      </c>
      <c r="G17" s="450">
        <v>114.43572689552811</v>
      </c>
      <c r="H17" s="445"/>
      <c r="I17" s="445"/>
      <c r="J17" s="445"/>
    </row>
    <row r="18" spans="1:10" ht="15" customHeight="1">
      <c r="A18" s="427"/>
      <c r="B18" s="456" t="s">
        <v>345</v>
      </c>
      <c r="C18" s="457">
        <v>100149</v>
      </c>
      <c r="D18" s="448">
        <v>98096</v>
      </c>
      <c r="E18" s="449">
        <v>1231510</v>
      </c>
      <c r="F18" s="450">
        <v>88.179350268773703</v>
      </c>
      <c r="G18" s="450">
        <v>95.550257165047285</v>
      </c>
      <c r="H18" s="445"/>
      <c r="I18" s="445"/>
      <c r="J18" s="445"/>
    </row>
    <row r="19" spans="1:10" ht="15" customHeight="1">
      <c r="A19" s="427"/>
      <c r="B19" s="456" t="s">
        <v>346</v>
      </c>
      <c r="C19" s="457">
        <v>55507</v>
      </c>
      <c r="D19" s="448">
        <v>63686</v>
      </c>
      <c r="E19" s="449">
        <v>573716</v>
      </c>
      <c r="F19" s="450">
        <v>116.88078108941417</v>
      </c>
      <c r="G19" s="450">
        <v>115.81261367467192</v>
      </c>
      <c r="H19" s="445"/>
      <c r="I19" s="445"/>
      <c r="J19" s="445"/>
    </row>
    <row r="20" spans="1:10" ht="15" customHeight="1">
      <c r="A20" s="427"/>
      <c r="B20" s="456" t="s">
        <v>347</v>
      </c>
      <c r="C20" s="457">
        <v>40797</v>
      </c>
      <c r="D20" s="448">
        <v>42767</v>
      </c>
      <c r="E20" s="449">
        <v>457775</v>
      </c>
      <c r="F20" s="450">
        <v>104.89563660444925</v>
      </c>
      <c r="G20" s="450">
        <v>109.50140412482598</v>
      </c>
      <c r="H20" s="445"/>
      <c r="I20" s="445"/>
      <c r="J20" s="445"/>
    </row>
    <row r="21" spans="1:10" ht="15" customHeight="1">
      <c r="A21" s="427"/>
      <c r="B21" s="456" t="s">
        <v>348</v>
      </c>
      <c r="C21" s="457">
        <v>39672</v>
      </c>
      <c r="D21" s="448">
        <v>61055</v>
      </c>
      <c r="E21" s="449">
        <v>401420</v>
      </c>
      <c r="F21" s="450">
        <v>132.56975355553143</v>
      </c>
      <c r="G21" s="450">
        <v>115.51820889509202</v>
      </c>
      <c r="H21" s="445"/>
      <c r="I21" s="445"/>
      <c r="J21" s="445"/>
    </row>
    <row r="22" spans="1:10" ht="15" customHeight="1">
      <c r="A22" s="427"/>
      <c r="B22" s="456" t="s">
        <v>349</v>
      </c>
      <c r="C22" s="457">
        <v>64601</v>
      </c>
      <c r="D22" s="448">
        <v>72877</v>
      </c>
      <c r="E22" s="449">
        <v>687132</v>
      </c>
      <c r="F22" s="450">
        <v>119.45449777078416</v>
      </c>
      <c r="G22" s="450">
        <v>144.78729943067589</v>
      </c>
      <c r="H22" s="445"/>
      <c r="I22" s="445"/>
      <c r="J22" s="445"/>
    </row>
    <row r="23" spans="1:10" ht="15" customHeight="1">
      <c r="A23" s="427"/>
      <c r="B23" s="456" t="s">
        <v>350</v>
      </c>
      <c r="C23" s="457">
        <v>50702</v>
      </c>
      <c r="D23" s="448">
        <v>51328</v>
      </c>
      <c r="E23" s="449">
        <v>482173</v>
      </c>
      <c r="F23" s="450">
        <v>161.37328261074606</v>
      </c>
      <c r="G23" s="450">
        <v>181.30416962778298</v>
      </c>
      <c r="H23" s="445"/>
      <c r="I23" s="445"/>
      <c r="J23" s="445"/>
    </row>
    <row r="24" spans="1:10" ht="15" customHeight="1">
      <c r="A24" s="427"/>
      <c r="B24" s="456" t="s">
        <v>351</v>
      </c>
      <c r="C24" s="457">
        <v>10283</v>
      </c>
      <c r="D24" s="448">
        <v>10876</v>
      </c>
      <c r="E24" s="449">
        <v>179340</v>
      </c>
      <c r="F24" s="450">
        <v>55.674430509342208</v>
      </c>
      <c r="G24" s="450">
        <v>120.64159208692328</v>
      </c>
      <c r="H24" s="445"/>
      <c r="I24" s="445"/>
      <c r="J24" s="445"/>
    </row>
    <row r="25" spans="1:10" ht="15" customHeight="1">
      <c r="A25" s="427"/>
      <c r="B25" s="456" t="s">
        <v>352</v>
      </c>
      <c r="C25" s="457">
        <v>18820</v>
      </c>
      <c r="D25" s="448">
        <v>18025</v>
      </c>
      <c r="E25" s="449">
        <v>207196</v>
      </c>
      <c r="F25" s="450">
        <v>100.74334898278561</v>
      </c>
      <c r="G25" s="450">
        <v>112.54963523871086</v>
      </c>
      <c r="H25" s="445"/>
      <c r="I25" s="445"/>
      <c r="J25" s="445"/>
    </row>
    <row r="26" spans="1:10" ht="15" customHeight="1">
      <c r="A26" s="427"/>
      <c r="B26" s="456" t="s">
        <v>353</v>
      </c>
      <c r="C26" s="458">
        <v>80878</v>
      </c>
      <c r="D26" s="448">
        <v>90634</v>
      </c>
      <c r="E26" s="449">
        <v>746480</v>
      </c>
      <c r="F26" s="450">
        <v>162.47019808192167</v>
      </c>
      <c r="G26" s="450">
        <v>148.87112181833049</v>
      </c>
      <c r="H26" s="445"/>
      <c r="I26" s="445"/>
      <c r="J26" s="445"/>
    </row>
    <row r="27" spans="1:10" ht="15" customHeight="1">
      <c r="A27" s="427"/>
      <c r="B27" s="456" t="s">
        <v>354</v>
      </c>
      <c r="C27" s="452">
        <v>129357</v>
      </c>
      <c r="D27" s="448">
        <v>88251</v>
      </c>
      <c r="E27" s="449">
        <v>1234917</v>
      </c>
      <c r="F27" s="450">
        <v>134.83811163290576</v>
      </c>
      <c r="G27" s="450">
        <v>144.59969886470446</v>
      </c>
      <c r="H27" s="445"/>
      <c r="I27" s="445"/>
      <c r="J27" s="445"/>
    </row>
    <row r="28" spans="1:10" ht="16.350000000000001" customHeight="1">
      <c r="A28" s="427"/>
      <c r="B28" s="455" t="s">
        <v>355</v>
      </c>
      <c r="C28" s="459">
        <v>111835</v>
      </c>
      <c r="D28" s="442">
        <v>111189</v>
      </c>
      <c r="E28" s="443">
        <v>1104882</v>
      </c>
      <c r="F28" s="444">
        <v>120.62818687279631</v>
      </c>
      <c r="G28" s="444">
        <v>110.47969618839349</v>
      </c>
      <c r="H28" s="445"/>
      <c r="I28" s="445"/>
      <c r="J28" s="445"/>
    </row>
    <row r="29" spans="1:10" ht="15" customHeight="1">
      <c r="A29" s="427"/>
      <c r="B29" s="456" t="s">
        <v>356</v>
      </c>
      <c r="C29" s="457">
        <v>81044</v>
      </c>
      <c r="D29" s="448">
        <v>83024</v>
      </c>
      <c r="E29" s="449">
        <v>848727</v>
      </c>
      <c r="F29" s="450">
        <v>112.61767179403705</v>
      </c>
      <c r="G29" s="450">
        <v>108.8397591674735</v>
      </c>
      <c r="H29" s="445"/>
      <c r="I29" s="445"/>
      <c r="J29" s="445"/>
    </row>
    <row r="30" spans="1:10" ht="15" customHeight="1">
      <c r="A30" s="427"/>
      <c r="B30" s="456" t="s">
        <v>357</v>
      </c>
      <c r="C30" s="457">
        <v>20881</v>
      </c>
      <c r="D30" s="448">
        <v>17612</v>
      </c>
      <c r="E30" s="449">
        <v>173391</v>
      </c>
      <c r="F30" s="450">
        <v>126.84191573640619</v>
      </c>
      <c r="G30" s="450">
        <v>113.67888963921142</v>
      </c>
      <c r="H30" s="445"/>
      <c r="I30" s="445"/>
      <c r="J30" s="445"/>
    </row>
    <row r="31" spans="1:10" ht="15" customHeight="1">
      <c r="A31" s="427"/>
      <c r="B31" s="456" t="s">
        <v>358</v>
      </c>
      <c r="C31" s="452">
        <v>9910</v>
      </c>
      <c r="D31" s="448">
        <v>10553</v>
      </c>
      <c r="E31" s="449">
        <v>82764</v>
      </c>
      <c r="F31" s="450">
        <v>231.02082421190894</v>
      </c>
      <c r="G31" s="450">
        <v>122.15191683270608</v>
      </c>
      <c r="H31" s="445"/>
      <c r="I31" s="445"/>
      <c r="J31" s="445"/>
    </row>
    <row r="32" spans="1:10" ht="16.350000000000001" customHeight="1">
      <c r="A32" s="427"/>
      <c r="B32" s="455" t="s">
        <v>359</v>
      </c>
      <c r="C32" s="459">
        <v>329963</v>
      </c>
      <c r="D32" s="442">
        <v>313851</v>
      </c>
      <c r="E32" s="443">
        <v>2770502</v>
      </c>
      <c r="F32" s="444">
        <v>147.2849187670995</v>
      </c>
      <c r="G32" s="444">
        <v>138.82572241438837</v>
      </c>
      <c r="H32" s="445"/>
      <c r="I32" s="445"/>
      <c r="J32" s="445"/>
    </row>
    <row r="33" spans="1:10" ht="15" customHeight="1">
      <c r="A33" s="427"/>
      <c r="B33" s="456" t="s">
        <v>360</v>
      </c>
      <c r="C33" s="457">
        <v>91145</v>
      </c>
      <c r="D33" s="448">
        <v>96874</v>
      </c>
      <c r="E33" s="449">
        <v>689714</v>
      </c>
      <c r="F33" s="450">
        <v>339.67040673211784</v>
      </c>
      <c r="G33" s="450">
        <v>296.90658631080498</v>
      </c>
      <c r="H33" s="445"/>
      <c r="I33" s="445"/>
      <c r="J33" s="445"/>
    </row>
    <row r="34" spans="1:10" ht="15" customHeight="1">
      <c r="A34" s="427"/>
      <c r="B34" s="456" t="s">
        <v>361</v>
      </c>
      <c r="C34" s="457">
        <v>36548</v>
      </c>
      <c r="D34" s="448">
        <v>30768</v>
      </c>
      <c r="E34" s="449">
        <v>368318</v>
      </c>
      <c r="F34" s="450">
        <v>115.55188342659706</v>
      </c>
      <c r="G34" s="450">
        <v>120.28909776154985</v>
      </c>
      <c r="H34" s="445"/>
      <c r="I34" s="445"/>
      <c r="J34" s="445"/>
    </row>
    <row r="35" spans="1:10" ht="15" customHeight="1">
      <c r="A35" s="427"/>
      <c r="B35" s="456" t="s">
        <v>362</v>
      </c>
      <c r="C35" s="457">
        <v>38957</v>
      </c>
      <c r="D35" s="448">
        <v>28573</v>
      </c>
      <c r="E35" s="449">
        <v>337729</v>
      </c>
      <c r="F35" s="450">
        <v>117.63277068752573</v>
      </c>
      <c r="G35" s="450">
        <v>121.07455645060101</v>
      </c>
      <c r="H35" s="445"/>
      <c r="I35" s="445"/>
      <c r="J35" s="445"/>
    </row>
    <row r="36" spans="1:10" ht="15" customHeight="1">
      <c r="A36" s="427"/>
      <c r="B36" s="456" t="s">
        <v>363</v>
      </c>
      <c r="C36" s="457">
        <v>34457</v>
      </c>
      <c r="D36" s="448">
        <v>27574</v>
      </c>
      <c r="E36" s="449">
        <v>291039</v>
      </c>
      <c r="F36" s="450">
        <v>117.49616499062554</v>
      </c>
      <c r="G36" s="450">
        <v>116.64095031601053</v>
      </c>
      <c r="H36" s="445"/>
      <c r="I36" s="445"/>
      <c r="J36" s="445"/>
    </row>
    <row r="37" spans="1:10" ht="15" customHeight="1">
      <c r="A37" s="427"/>
      <c r="B37" s="456" t="s">
        <v>364</v>
      </c>
      <c r="C37" s="457">
        <v>12270</v>
      </c>
      <c r="D37" s="448">
        <v>7788</v>
      </c>
      <c r="E37" s="449">
        <v>97442</v>
      </c>
      <c r="F37" s="450">
        <v>117.13039554820274</v>
      </c>
      <c r="G37" s="450">
        <v>106.64550727810003</v>
      </c>
      <c r="H37" s="445"/>
      <c r="I37" s="445"/>
      <c r="J37" s="445"/>
    </row>
    <row r="38" spans="1:10" ht="15" customHeight="1">
      <c r="A38" s="427"/>
      <c r="B38" s="456" t="s">
        <v>365</v>
      </c>
      <c r="C38" s="457">
        <v>9482</v>
      </c>
      <c r="D38" s="448">
        <v>7545</v>
      </c>
      <c r="E38" s="449">
        <v>91709</v>
      </c>
      <c r="F38" s="450">
        <v>119.76190476190476</v>
      </c>
      <c r="G38" s="450">
        <v>117.51085939802417</v>
      </c>
      <c r="H38" s="445"/>
      <c r="I38" s="445"/>
      <c r="J38" s="445"/>
    </row>
    <row r="39" spans="1:10" ht="15" customHeight="1">
      <c r="A39" s="427"/>
      <c r="B39" s="456" t="s">
        <v>366</v>
      </c>
      <c r="C39" s="457">
        <v>12609</v>
      </c>
      <c r="D39" s="448">
        <v>9490</v>
      </c>
      <c r="E39" s="449">
        <v>107358</v>
      </c>
      <c r="F39" s="450">
        <v>115.45012165450122</v>
      </c>
      <c r="G39" s="450">
        <v>120.74635594745367</v>
      </c>
      <c r="H39" s="445"/>
      <c r="I39" s="445"/>
      <c r="J39" s="445"/>
    </row>
    <row r="40" spans="1:10" ht="15" customHeight="1">
      <c r="A40" s="427"/>
      <c r="B40" s="456" t="s">
        <v>367</v>
      </c>
      <c r="C40" s="457">
        <v>3921</v>
      </c>
      <c r="D40" s="448">
        <v>6394</v>
      </c>
      <c r="E40" s="449">
        <v>39499</v>
      </c>
      <c r="F40" s="450">
        <v>111.92018204095922</v>
      </c>
      <c r="G40" s="450">
        <v>115.2683339656229</v>
      </c>
      <c r="H40" s="445"/>
      <c r="I40" s="445"/>
      <c r="J40" s="445"/>
    </row>
    <row r="41" spans="1:10" ht="15" customHeight="1">
      <c r="A41" s="427"/>
      <c r="B41" s="456" t="s">
        <v>368</v>
      </c>
      <c r="C41" s="457">
        <v>3454</v>
      </c>
      <c r="D41" s="448">
        <v>3909</v>
      </c>
      <c r="E41" s="449">
        <v>41410</v>
      </c>
      <c r="F41" s="450">
        <v>112.91161178509532</v>
      </c>
      <c r="G41" s="450">
        <v>112.16143011917661</v>
      </c>
      <c r="H41" s="445"/>
      <c r="I41" s="445"/>
      <c r="J41" s="445"/>
    </row>
    <row r="42" spans="1:10" ht="15" customHeight="1">
      <c r="A42" s="427"/>
      <c r="B42" s="456" t="s">
        <v>369</v>
      </c>
      <c r="C42" s="457">
        <v>4886</v>
      </c>
      <c r="D42" s="448">
        <v>4507</v>
      </c>
      <c r="E42" s="449">
        <v>39875</v>
      </c>
      <c r="F42" s="450">
        <v>132.94985250737463</v>
      </c>
      <c r="G42" s="450">
        <v>118.73213434969033</v>
      </c>
      <c r="H42" s="445"/>
      <c r="I42" s="445"/>
      <c r="J42" s="445"/>
    </row>
    <row r="43" spans="1:10" ht="15" customHeight="1">
      <c r="A43" s="427"/>
      <c r="B43" s="456" t="s">
        <v>370</v>
      </c>
      <c r="C43" s="457">
        <v>4726</v>
      </c>
      <c r="D43" s="448">
        <v>3127</v>
      </c>
      <c r="E43" s="449">
        <v>37566</v>
      </c>
      <c r="F43" s="450">
        <v>117.91101055806938</v>
      </c>
      <c r="G43" s="450">
        <v>118.39268830759534</v>
      </c>
      <c r="H43" s="445"/>
      <c r="I43" s="445"/>
      <c r="J43" s="445"/>
    </row>
    <row r="44" spans="1:10" ht="15" customHeight="1">
      <c r="A44" s="427"/>
      <c r="B44" s="456" t="s">
        <v>371</v>
      </c>
      <c r="C44" s="457">
        <v>2904</v>
      </c>
      <c r="D44" s="448">
        <v>3906</v>
      </c>
      <c r="E44" s="449">
        <v>33264</v>
      </c>
      <c r="F44" s="450">
        <v>115.18726039516368</v>
      </c>
      <c r="G44" s="450">
        <v>119.0721649484536</v>
      </c>
      <c r="H44" s="445"/>
      <c r="I44" s="445"/>
      <c r="J44" s="445"/>
    </row>
    <row r="45" spans="1:10" ht="15" customHeight="1">
      <c r="A45" s="427"/>
      <c r="B45" s="460" t="s">
        <v>372</v>
      </c>
      <c r="C45" s="454">
        <v>4933</v>
      </c>
      <c r="D45" s="448">
        <v>4694</v>
      </c>
      <c r="E45" s="449">
        <v>30576</v>
      </c>
      <c r="F45" s="450">
        <v>110.91682419659736</v>
      </c>
      <c r="G45" s="450">
        <v>101.63204254611932</v>
      </c>
      <c r="H45" s="445"/>
      <c r="I45" s="445"/>
      <c r="J45" s="445"/>
    </row>
    <row r="46" spans="1:10" ht="15" customHeight="1">
      <c r="A46" s="427"/>
      <c r="B46" s="456" t="s">
        <v>373</v>
      </c>
      <c r="C46" s="457">
        <v>12737</v>
      </c>
      <c r="D46" s="448">
        <v>10646</v>
      </c>
      <c r="E46" s="449">
        <v>72928</v>
      </c>
      <c r="F46" s="450">
        <v>147.94330183435244</v>
      </c>
      <c r="G46" s="450">
        <v>142.55722579510135</v>
      </c>
      <c r="H46" s="445"/>
      <c r="I46" s="445"/>
      <c r="J46" s="445"/>
    </row>
    <row r="47" spans="1:10" ht="16.350000000000001" customHeight="1">
      <c r="A47" s="427"/>
      <c r="B47" s="456" t="s">
        <v>374</v>
      </c>
      <c r="C47" s="461">
        <v>56934</v>
      </c>
      <c r="D47" s="448">
        <v>68056</v>
      </c>
      <c r="E47" s="449">
        <v>492075</v>
      </c>
      <c r="F47" s="450">
        <v>115.38615189637341</v>
      </c>
      <c r="G47" s="450">
        <v>115.86111644153318</v>
      </c>
      <c r="H47" s="445"/>
      <c r="I47" s="445"/>
      <c r="J47" s="445"/>
    </row>
    <row r="48" spans="1:10" ht="15" customHeight="1">
      <c r="A48" s="427"/>
      <c r="B48" s="455" t="s">
        <v>375</v>
      </c>
      <c r="C48" s="459">
        <v>53663</v>
      </c>
      <c r="D48" s="442">
        <v>57563</v>
      </c>
      <c r="E48" s="443">
        <v>607404</v>
      </c>
      <c r="F48" s="444">
        <v>103.57901176809298</v>
      </c>
      <c r="G48" s="444">
        <v>112.44120200593488</v>
      </c>
      <c r="H48" s="445"/>
      <c r="I48" s="445"/>
      <c r="J48" s="445"/>
    </row>
    <row r="49" spans="1:10" ht="15" customHeight="1">
      <c r="A49" s="427"/>
      <c r="B49" s="456" t="s">
        <v>376</v>
      </c>
      <c r="C49" s="457">
        <v>48410</v>
      </c>
      <c r="D49" s="448">
        <v>52591</v>
      </c>
      <c r="E49" s="449">
        <v>548471</v>
      </c>
      <c r="F49" s="450">
        <v>102.82524537598248</v>
      </c>
      <c r="G49" s="450">
        <v>111.73219524119948</v>
      </c>
      <c r="H49" s="445"/>
      <c r="I49" s="445"/>
      <c r="J49" s="445"/>
    </row>
    <row r="50" spans="1:10" ht="15" customHeight="1">
      <c r="A50" s="427"/>
      <c r="B50" s="456" t="s">
        <v>377</v>
      </c>
      <c r="C50" s="457">
        <v>5055</v>
      </c>
      <c r="D50" s="448">
        <v>4772</v>
      </c>
      <c r="E50" s="449">
        <v>57128</v>
      </c>
      <c r="F50" s="450">
        <v>111.54745208041142</v>
      </c>
      <c r="G50" s="450">
        <v>119.10847945291161</v>
      </c>
      <c r="H50" s="445"/>
      <c r="I50" s="445"/>
      <c r="J50" s="445"/>
    </row>
    <row r="51" spans="1:10" ht="16.350000000000001" customHeight="1">
      <c r="A51" s="427"/>
      <c r="B51" s="456" t="s">
        <v>378</v>
      </c>
      <c r="C51" s="452">
        <v>198</v>
      </c>
      <c r="D51" s="448">
        <v>200</v>
      </c>
      <c r="E51" s="449">
        <v>1805</v>
      </c>
      <c r="F51" s="450">
        <v>133.33333333333331</v>
      </c>
      <c r="G51" s="450">
        <v>133.30871491875925</v>
      </c>
      <c r="H51" s="445"/>
      <c r="I51" s="445"/>
      <c r="J51" s="445"/>
    </row>
    <row r="52" spans="1:10">
      <c r="A52" s="427"/>
      <c r="B52" s="455" t="s">
        <v>379</v>
      </c>
      <c r="C52" s="459">
        <v>5418</v>
      </c>
      <c r="D52" s="442">
        <v>5037</v>
      </c>
      <c r="E52" s="462">
        <v>56262</v>
      </c>
      <c r="F52" s="463">
        <v>129.45258288357749</v>
      </c>
      <c r="G52" s="463">
        <v>110.52135308215141</v>
      </c>
      <c r="H52" s="445"/>
      <c r="I52" s="445"/>
      <c r="J52" s="445"/>
    </row>
    <row r="53" spans="1:10">
      <c r="A53" s="464"/>
      <c r="B53" s="464"/>
      <c r="C53" s="464"/>
      <c r="D53" s="464"/>
      <c r="E53" s="464"/>
      <c r="F53" s="464"/>
      <c r="G53" s="464"/>
    </row>
    <row r="54" spans="1:10">
      <c r="A54" s="464"/>
      <c r="B54" s="465"/>
      <c r="C54" s="465"/>
      <c r="D54" s="465"/>
      <c r="E54" s="465"/>
      <c r="F54" s="465"/>
      <c r="G54" s="465"/>
    </row>
    <row r="55" spans="1:10">
      <c r="A55" s="464"/>
      <c r="B55" s="464"/>
      <c r="C55" s="466"/>
      <c r="D55" s="466"/>
      <c r="E55" s="466"/>
      <c r="F55" s="464"/>
      <c r="G55" s="464"/>
    </row>
    <row r="56" spans="1:10">
      <c r="A56" s="464"/>
      <c r="B56" s="464"/>
      <c r="C56" s="464"/>
      <c r="D56" s="464"/>
      <c r="E56" s="464"/>
      <c r="F56" s="464"/>
      <c r="G56" s="464"/>
    </row>
    <row r="57" spans="1:10">
      <c r="A57" s="464"/>
      <c r="B57" s="464"/>
      <c r="C57" s="464"/>
      <c r="D57" s="464"/>
      <c r="E57" s="464"/>
      <c r="F57" s="464"/>
      <c r="G57" s="467"/>
    </row>
    <row r="58" spans="1:10">
      <c r="A58" s="464"/>
      <c r="B58" s="464"/>
      <c r="C58" s="464"/>
      <c r="D58" s="464"/>
      <c r="E58" s="464"/>
      <c r="F58" s="464"/>
      <c r="G58" s="467"/>
    </row>
    <row r="59" spans="1:10">
      <c r="A59" s="464"/>
      <c r="B59" s="464"/>
      <c r="C59" s="464"/>
      <c r="D59" s="464"/>
      <c r="E59" s="464"/>
      <c r="F59" s="464"/>
      <c r="G59" s="467"/>
    </row>
    <row r="60" spans="1:10">
      <c r="A60" s="464"/>
      <c r="B60" s="464"/>
      <c r="C60" s="464"/>
      <c r="D60" s="464"/>
      <c r="E60" s="464"/>
      <c r="F60" s="464"/>
      <c r="G60" s="467"/>
    </row>
    <row r="61" spans="1:10">
      <c r="A61" s="464"/>
      <c r="B61" s="464"/>
      <c r="C61" s="464"/>
      <c r="D61" s="464"/>
      <c r="E61" s="464"/>
      <c r="F61" s="464"/>
      <c r="G61" s="467"/>
    </row>
    <row r="62" spans="1:10">
      <c r="A62" s="464"/>
      <c r="B62" s="464"/>
      <c r="C62" s="464"/>
      <c r="D62" s="464"/>
      <c r="E62" s="464"/>
      <c r="F62" s="464"/>
      <c r="G62" s="467"/>
    </row>
    <row r="63" spans="1:10">
      <c r="A63" s="464"/>
      <c r="B63" s="464"/>
      <c r="C63" s="464"/>
      <c r="D63" s="464"/>
      <c r="E63" s="464"/>
      <c r="F63" s="464"/>
      <c r="G63" s="467"/>
    </row>
    <row r="64" spans="1:10">
      <c r="A64" s="464"/>
      <c r="B64" s="464"/>
      <c r="C64" s="464"/>
      <c r="D64" s="464"/>
      <c r="E64" s="464"/>
      <c r="F64" s="464"/>
      <c r="G64" s="467"/>
    </row>
    <row r="65" spans="1:7">
      <c r="A65" s="464"/>
      <c r="B65" s="464"/>
      <c r="C65" s="464"/>
      <c r="D65" s="464"/>
      <c r="E65" s="464"/>
      <c r="F65" s="464"/>
      <c r="G65" s="467"/>
    </row>
    <row r="66" spans="1:7">
      <c r="A66" s="464"/>
      <c r="B66" s="464"/>
      <c r="C66" s="464"/>
      <c r="D66" s="464"/>
      <c r="E66" s="464"/>
      <c r="F66" s="464"/>
      <c r="G66" s="467"/>
    </row>
    <row r="67" spans="1:7">
      <c r="A67" s="464"/>
      <c r="B67" s="464"/>
      <c r="C67" s="464"/>
      <c r="D67" s="464"/>
      <c r="E67" s="464"/>
      <c r="F67" s="464"/>
      <c r="G67" s="467"/>
    </row>
    <row r="68" spans="1:7">
      <c r="A68" s="464"/>
      <c r="B68" s="464"/>
      <c r="C68" s="464"/>
      <c r="D68" s="464"/>
      <c r="E68" s="464"/>
      <c r="F68" s="464"/>
      <c r="G68" s="464"/>
    </row>
    <row r="69" spans="1:7">
      <c r="A69" s="464"/>
      <c r="B69" s="464"/>
      <c r="C69" s="464"/>
      <c r="D69" s="464"/>
      <c r="E69" s="464"/>
      <c r="F69" s="464"/>
      <c r="G69" s="464"/>
    </row>
    <row r="70" spans="1:7">
      <c r="A70" s="464"/>
      <c r="B70" s="464"/>
      <c r="C70" s="464"/>
      <c r="D70" s="464"/>
      <c r="E70" s="464"/>
      <c r="F70" s="464"/>
      <c r="G70" s="464"/>
    </row>
    <row r="71" spans="1:7">
      <c r="A71" s="464"/>
      <c r="B71" s="464"/>
      <c r="C71" s="464"/>
      <c r="D71" s="464"/>
      <c r="E71" s="464"/>
      <c r="F71" s="464"/>
      <c r="G71" s="464"/>
    </row>
    <row r="72" spans="1:7">
      <c r="A72" s="464"/>
      <c r="B72" s="464"/>
      <c r="C72" s="464"/>
      <c r="D72" s="464"/>
      <c r="E72" s="464"/>
      <c r="F72" s="464"/>
      <c r="G72" s="464"/>
    </row>
    <row r="73" spans="1:7">
      <c r="A73" s="464"/>
      <c r="B73" s="464"/>
      <c r="C73" s="464"/>
      <c r="D73" s="464"/>
      <c r="E73" s="464"/>
      <c r="F73" s="464"/>
      <c r="G73" s="464"/>
    </row>
    <row r="74" spans="1:7">
      <c r="A74" s="464"/>
      <c r="B74" s="464"/>
      <c r="C74" s="464"/>
      <c r="D74" s="464"/>
      <c r="E74" s="464"/>
      <c r="F74" s="464"/>
      <c r="G74" s="464"/>
    </row>
    <row r="75" spans="1:7">
      <c r="A75" s="464"/>
      <c r="B75" s="464"/>
      <c r="C75" s="464"/>
      <c r="D75" s="464"/>
      <c r="E75" s="464"/>
      <c r="F75" s="464"/>
      <c r="G75" s="464"/>
    </row>
    <row r="76" spans="1:7">
      <c r="A76" s="464"/>
      <c r="B76" s="464"/>
      <c r="C76" s="464"/>
      <c r="D76" s="464"/>
      <c r="E76" s="464"/>
      <c r="F76" s="464"/>
      <c r="G76" s="464"/>
    </row>
    <row r="77" spans="1:7">
      <c r="A77" s="464"/>
      <c r="B77" s="464"/>
      <c r="C77" s="464"/>
      <c r="D77" s="464"/>
      <c r="E77" s="464"/>
      <c r="F77" s="464"/>
      <c r="G77" s="464"/>
    </row>
    <row r="78" spans="1:7">
      <c r="A78" s="464"/>
      <c r="B78" s="464"/>
      <c r="C78" s="464"/>
      <c r="D78" s="464"/>
      <c r="E78" s="464"/>
      <c r="F78" s="464"/>
      <c r="G78" s="464"/>
    </row>
    <row r="79" spans="1:7">
      <c r="A79" s="464"/>
      <c r="B79" s="464"/>
      <c r="C79" s="464"/>
      <c r="D79" s="464"/>
      <c r="E79" s="464"/>
      <c r="F79" s="464"/>
      <c r="G79" s="464"/>
    </row>
    <row r="80" spans="1:7">
      <c r="A80" s="464"/>
      <c r="B80" s="464"/>
      <c r="C80" s="464"/>
      <c r="D80" s="464"/>
      <c r="E80" s="464"/>
      <c r="F80" s="464"/>
      <c r="G80" s="464"/>
    </row>
    <row r="81" spans="1:7">
      <c r="A81" s="464"/>
      <c r="B81" s="464"/>
      <c r="C81" s="464"/>
      <c r="D81" s="464"/>
      <c r="E81" s="464"/>
      <c r="F81" s="464"/>
      <c r="G81" s="464"/>
    </row>
    <row r="82" spans="1:7">
      <c r="A82" s="464"/>
      <c r="B82" s="464"/>
      <c r="C82" s="464"/>
      <c r="D82" s="464"/>
      <c r="E82" s="464"/>
      <c r="F82" s="464"/>
      <c r="G82" s="464"/>
    </row>
    <row r="83" spans="1:7">
      <c r="A83" s="464"/>
      <c r="B83" s="464"/>
      <c r="C83" s="464"/>
      <c r="D83" s="464"/>
      <c r="E83" s="464"/>
      <c r="F83" s="464"/>
      <c r="G83" s="464"/>
    </row>
    <row r="84" spans="1:7">
      <c r="A84" s="464"/>
      <c r="B84" s="464"/>
      <c r="C84" s="464"/>
      <c r="D84" s="464"/>
      <c r="E84" s="464"/>
      <c r="F84" s="464"/>
      <c r="G84" s="464"/>
    </row>
    <row r="85" spans="1:7">
      <c r="A85" s="464"/>
      <c r="B85" s="464"/>
      <c r="C85" s="464"/>
      <c r="D85" s="464"/>
      <c r="E85" s="464"/>
      <c r="F85" s="464"/>
      <c r="G85" s="464"/>
    </row>
    <row r="86" spans="1:7">
      <c r="A86" s="464"/>
      <c r="B86" s="464"/>
      <c r="C86" s="464"/>
      <c r="D86" s="464"/>
      <c r="E86" s="464"/>
      <c r="F86" s="464"/>
      <c r="G86" s="464"/>
    </row>
    <row r="87" spans="1:7">
      <c r="A87" s="464"/>
      <c r="B87" s="464"/>
      <c r="C87" s="464"/>
      <c r="D87" s="464"/>
      <c r="E87" s="464"/>
      <c r="F87" s="464"/>
      <c r="G87" s="464"/>
    </row>
    <row r="88" spans="1:7">
      <c r="A88" s="464"/>
      <c r="B88" s="464"/>
      <c r="C88" s="464"/>
      <c r="D88" s="464"/>
      <c r="E88" s="464"/>
      <c r="F88" s="464"/>
      <c r="G88" s="464"/>
    </row>
    <row r="89" spans="1:7">
      <c r="A89" s="464"/>
      <c r="B89" s="464"/>
      <c r="C89" s="464"/>
      <c r="D89" s="464"/>
      <c r="E89" s="464"/>
      <c r="F89" s="464"/>
      <c r="G89" s="464"/>
    </row>
    <row r="90" spans="1:7">
      <c r="A90" s="464"/>
      <c r="B90" s="464"/>
      <c r="C90" s="464"/>
      <c r="D90" s="464"/>
      <c r="E90" s="464"/>
      <c r="F90" s="464"/>
      <c r="G90" s="464"/>
    </row>
    <row r="91" spans="1:7">
      <c r="A91" s="464"/>
      <c r="B91" s="464"/>
      <c r="C91" s="464"/>
      <c r="D91" s="464"/>
      <c r="E91" s="464"/>
      <c r="F91" s="464"/>
      <c r="G91" s="464"/>
    </row>
    <row r="92" spans="1:7">
      <c r="A92" s="464"/>
      <c r="B92" s="464"/>
      <c r="C92" s="464"/>
      <c r="D92" s="464"/>
      <c r="E92" s="464"/>
      <c r="F92" s="464"/>
      <c r="G92" s="464"/>
    </row>
    <row r="93" spans="1:7">
      <c r="A93" s="464"/>
      <c r="B93" s="464"/>
      <c r="C93" s="464"/>
      <c r="D93" s="464"/>
      <c r="E93" s="464"/>
      <c r="F93" s="464"/>
      <c r="G93" s="464"/>
    </row>
    <row r="94" spans="1:7">
      <c r="A94" s="464"/>
      <c r="B94" s="464"/>
      <c r="C94" s="464"/>
      <c r="D94" s="464"/>
      <c r="E94" s="464"/>
      <c r="F94" s="464"/>
      <c r="G94" s="464"/>
    </row>
    <row r="95" spans="1:7">
      <c r="A95" s="464"/>
      <c r="B95" s="464"/>
      <c r="C95" s="464"/>
      <c r="D95" s="464"/>
      <c r="E95" s="464"/>
      <c r="F95" s="464"/>
      <c r="G95" s="464"/>
    </row>
    <row r="96" spans="1:7">
      <c r="A96" s="464"/>
      <c r="B96" s="464"/>
      <c r="C96" s="464"/>
      <c r="D96" s="464"/>
      <c r="E96" s="464"/>
      <c r="F96" s="464"/>
      <c r="G96" s="464"/>
    </row>
    <row r="97" spans="1:7">
      <c r="A97" s="464"/>
      <c r="B97" s="464"/>
      <c r="C97" s="464"/>
      <c r="D97" s="464"/>
      <c r="E97" s="464"/>
      <c r="F97" s="464"/>
      <c r="G97" s="464"/>
    </row>
    <row r="98" spans="1:7">
      <c r="A98" s="464"/>
      <c r="B98" s="464"/>
      <c r="C98" s="464"/>
      <c r="D98" s="464"/>
      <c r="E98" s="464"/>
      <c r="F98" s="464"/>
      <c r="G98" s="464"/>
    </row>
    <row r="99" spans="1:7">
      <c r="A99" s="464"/>
      <c r="B99" s="464"/>
      <c r="C99" s="464"/>
      <c r="D99" s="464"/>
      <c r="E99" s="464"/>
      <c r="F99" s="464"/>
      <c r="G99" s="464"/>
    </row>
    <row r="100" spans="1:7">
      <c r="A100" s="464"/>
      <c r="B100" s="464"/>
      <c r="C100" s="464"/>
      <c r="D100" s="464"/>
      <c r="E100" s="464"/>
      <c r="F100" s="464"/>
      <c r="G100" s="464"/>
    </row>
    <row r="101" spans="1:7">
      <c r="A101" s="464"/>
      <c r="B101" s="464"/>
      <c r="C101" s="464"/>
      <c r="D101" s="464"/>
      <c r="E101" s="464"/>
      <c r="F101" s="464"/>
      <c r="G101" s="464"/>
    </row>
    <row r="102" spans="1:7">
      <c r="A102" s="464"/>
      <c r="B102" s="464"/>
      <c r="C102" s="464"/>
      <c r="D102" s="464"/>
      <c r="E102" s="464"/>
      <c r="F102" s="464"/>
      <c r="G102" s="464"/>
    </row>
    <row r="103" spans="1:7">
      <c r="A103" s="464"/>
      <c r="B103" s="464"/>
      <c r="C103" s="464"/>
      <c r="D103" s="464"/>
      <c r="E103" s="464"/>
      <c r="F103" s="464"/>
      <c r="G103" s="464"/>
    </row>
    <row r="104" spans="1:7">
      <c r="A104" s="464"/>
      <c r="B104" s="464"/>
      <c r="C104" s="464"/>
      <c r="D104" s="464"/>
      <c r="E104" s="464"/>
      <c r="F104" s="464"/>
      <c r="G104" s="464"/>
    </row>
    <row r="105" spans="1:7">
      <c r="A105" s="464"/>
      <c r="B105" s="464"/>
      <c r="C105" s="464"/>
      <c r="D105" s="464"/>
      <c r="E105" s="464"/>
      <c r="F105" s="464"/>
      <c r="G105" s="464"/>
    </row>
    <row r="106" spans="1:7">
      <c r="A106" s="464"/>
      <c r="B106" s="464"/>
      <c r="C106" s="464"/>
      <c r="D106" s="464"/>
      <c r="E106" s="464"/>
      <c r="F106" s="464"/>
      <c r="G106" s="464"/>
    </row>
    <row r="107" spans="1:7">
      <c r="A107" s="464"/>
      <c r="B107" s="464"/>
      <c r="C107" s="464"/>
      <c r="D107" s="464"/>
      <c r="E107" s="464"/>
      <c r="F107" s="464"/>
      <c r="G107" s="464"/>
    </row>
    <row r="108" spans="1:7">
      <c r="A108" s="464"/>
      <c r="B108" s="464"/>
      <c r="C108" s="464"/>
      <c r="D108" s="464"/>
      <c r="E108" s="464"/>
      <c r="F108" s="464"/>
      <c r="G108" s="464"/>
    </row>
    <row r="109" spans="1:7">
      <c r="A109" s="464"/>
      <c r="B109" s="464"/>
      <c r="C109" s="464"/>
      <c r="D109" s="464"/>
      <c r="E109" s="464"/>
      <c r="F109" s="464"/>
      <c r="G109" s="464"/>
    </row>
    <row r="110" spans="1:7">
      <c r="A110" s="464"/>
      <c r="B110" s="464"/>
      <c r="C110" s="464"/>
      <c r="D110" s="464"/>
      <c r="E110" s="464"/>
      <c r="F110" s="464"/>
      <c r="G110" s="464"/>
    </row>
    <row r="111" spans="1:7">
      <c r="A111" s="464"/>
      <c r="B111" s="464"/>
      <c r="C111" s="464"/>
      <c r="D111" s="464"/>
      <c r="E111" s="464"/>
      <c r="F111" s="464"/>
      <c r="G111" s="464"/>
    </row>
    <row r="112" spans="1:7">
      <c r="A112" s="464"/>
      <c r="B112" s="464"/>
      <c r="C112" s="464"/>
      <c r="D112" s="464"/>
      <c r="E112" s="464"/>
      <c r="F112" s="464"/>
      <c r="G112" s="464"/>
    </row>
    <row r="113" spans="1:7">
      <c r="A113" s="464"/>
      <c r="B113" s="464"/>
      <c r="C113" s="464"/>
      <c r="D113" s="464"/>
      <c r="E113" s="464"/>
      <c r="F113" s="464"/>
      <c r="G113" s="464"/>
    </row>
    <row r="114" spans="1:7">
      <c r="A114" s="464"/>
      <c r="B114" s="464"/>
      <c r="C114" s="464"/>
      <c r="D114" s="464"/>
      <c r="E114" s="464"/>
      <c r="F114" s="464"/>
      <c r="G114" s="464"/>
    </row>
    <row r="115" spans="1:7">
      <c r="A115" s="464"/>
      <c r="B115" s="464"/>
      <c r="C115" s="464"/>
      <c r="D115" s="464"/>
      <c r="E115" s="464"/>
      <c r="F115" s="464"/>
      <c r="G115" s="464"/>
    </row>
    <row r="116" spans="1:7">
      <c r="A116" s="464"/>
      <c r="B116" s="464"/>
      <c r="C116" s="464"/>
      <c r="D116" s="464"/>
      <c r="E116" s="464"/>
      <c r="F116" s="464"/>
      <c r="G116" s="464"/>
    </row>
    <row r="117" spans="1:7">
      <c r="A117" s="464"/>
      <c r="B117" s="464"/>
      <c r="C117" s="464"/>
      <c r="D117" s="464"/>
      <c r="E117" s="464"/>
      <c r="F117" s="464"/>
      <c r="G117" s="464"/>
    </row>
    <row r="118" spans="1:7">
      <c r="A118" s="464"/>
      <c r="B118" s="464"/>
      <c r="C118" s="464"/>
      <c r="D118" s="464"/>
      <c r="E118" s="464"/>
      <c r="F118" s="464"/>
      <c r="G118" s="464"/>
    </row>
    <row r="119" spans="1:7">
      <c r="A119" s="464"/>
      <c r="B119" s="464"/>
      <c r="C119" s="464"/>
      <c r="D119" s="464"/>
      <c r="E119" s="464"/>
      <c r="F119" s="464"/>
      <c r="G119" s="464"/>
    </row>
    <row r="120" spans="1:7">
      <c r="A120" s="464"/>
      <c r="B120" s="464"/>
      <c r="C120" s="464"/>
      <c r="D120" s="464"/>
      <c r="E120" s="464"/>
      <c r="F120" s="464"/>
      <c r="G120" s="464"/>
    </row>
    <row r="121" spans="1:7">
      <c r="A121" s="464"/>
      <c r="B121" s="464"/>
      <c r="C121" s="464"/>
      <c r="D121" s="464"/>
      <c r="E121" s="464"/>
      <c r="F121" s="464"/>
      <c r="G121" s="464"/>
    </row>
    <row r="122" spans="1:7">
      <c r="A122" s="464"/>
      <c r="B122" s="464"/>
      <c r="C122" s="464"/>
      <c r="D122" s="464"/>
      <c r="E122" s="464"/>
      <c r="F122" s="464"/>
      <c r="G122" s="464"/>
    </row>
    <row r="123" spans="1:7">
      <c r="A123" s="464"/>
      <c r="B123" s="464"/>
      <c r="C123" s="464"/>
      <c r="D123" s="464"/>
      <c r="E123" s="464"/>
      <c r="F123" s="464"/>
      <c r="G123" s="464"/>
    </row>
    <row r="124" spans="1:7">
      <c r="A124" s="464"/>
      <c r="B124" s="464"/>
      <c r="C124" s="464"/>
      <c r="D124" s="464"/>
      <c r="E124" s="464"/>
      <c r="F124" s="464"/>
      <c r="G124" s="464"/>
    </row>
    <row r="125" spans="1:7">
      <c r="A125" s="464"/>
      <c r="B125" s="464"/>
      <c r="C125" s="464"/>
      <c r="D125" s="464"/>
      <c r="E125" s="464"/>
      <c r="F125" s="464"/>
      <c r="G125" s="464"/>
    </row>
    <row r="126" spans="1:7">
      <c r="A126" s="464"/>
      <c r="B126" s="464"/>
      <c r="C126" s="464"/>
      <c r="D126" s="464"/>
      <c r="E126" s="464"/>
      <c r="F126" s="464"/>
      <c r="G126" s="464"/>
    </row>
    <row r="127" spans="1:7">
      <c r="A127" s="464"/>
      <c r="B127" s="464"/>
      <c r="C127" s="464"/>
      <c r="D127" s="464"/>
      <c r="E127" s="464"/>
      <c r="F127" s="464"/>
      <c r="G127" s="464"/>
    </row>
    <row r="128" spans="1:7">
      <c r="A128" s="464"/>
      <c r="B128" s="464"/>
      <c r="C128" s="464"/>
      <c r="D128" s="464"/>
      <c r="E128" s="464"/>
      <c r="F128" s="464"/>
      <c r="G128" s="464"/>
    </row>
    <row r="129" spans="1:7">
      <c r="A129" s="464"/>
      <c r="B129" s="464"/>
      <c r="C129" s="464"/>
      <c r="D129" s="464"/>
      <c r="E129" s="464"/>
      <c r="F129" s="464"/>
      <c r="G129" s="464"/>
    </row>
    <row r="130" spans="1:7">
      <c r="A130" s="464"/>
      <c r="B130" s="464"/>
      <c r="C130" s="464"/>
      <c r="D130" s="464"/>
      <c r="E130" s="464"/>
      <c r="F130" s="464"/>
      <c r="G130" s="464"/>
    </row>
    <row r="131" spans="1:7">
      <c r="A131" s="464"/>
      <c r="B131" s="464"/>
      <c r="C131" s="464"/>
      <c r="D131" s="464"/>
      <c r="E131" s="464"/>
      <c r="F131" s="464"/>
      <c r="G131" s="464"/>
    </row>
    <row r="132" spans="1:7">
      <c r="A132" s="464"/>
      <c r="B132" s="464"/>
      <c r="C132" s="464"/>
      <c r="D132" s="464"/>
      <c r="E132" s="464"/>
      <c r="F132" s="464"/>
      <c r="G132" s="464"/>
    </row>
    <row r="133" spans="1:7">
      <c r="A133" s="464"/>
      <c r="B133" s="464"/>
      <c r="C133" s="464"/>
      <c r="D133" s="464"/>
      <c r="E133" s="464"/>
      <c r="F133" s="464"/>
      <c r="G133" s="464"/>
    </row>
    <row r="134" spans="1:7">
      <c r="A134" s="464"/>
      <c r="B134" s="464"/>
      <c r="C134" s="464"/>
      <c r="D134" s="464"/>
      <c r="E134" s="464"/>
      <c r="F134" s="464"/>
      <c r="G134" s="464"/>
    </row>
    <row r="135" spans="1:7">
      <c r="A135" s="464"/>
      <c r="B135" s="464"/>
      <c r="C135" s="464"/>
      <c r="D135" s="464"/>
      <c r="E135" s="464"/>
      <c r="F135" s="464"/>
      <c r="G135" s="464"/>
    </row>
    <row r="136" spans="1:7">
      <c r="A136" s="464"/>
      <c r="B136" s="464"/>
      <c r="C136" s="464"/>
      <c r="D136" s="464"/>
      <c r="E136" s="464"/>
      <c r="F136" s="464"/>
      <c r="G136" s="464"/>
    </row>
    <row r="137" spans="1:7">
      <c r="A137" s="464"/>
      <c r="B137" s="464"/>
      <c r="C137" s="464"/>
      <c r="D137" s="464"/>
      <c r="E137" s="464"/>
      <c r="F137" s="464"/>
      <c r="G137" s="464"/>
    </row>
    <row r="138" spans="1:7">
      <c r="A138" s="468"/>
      <c r="B138" s="468"/>
      <c r="C138" s="468"/>
      <c r="D138" s="468"/>
      <c r="E138" s="469"/>
      <c r="F138" s="469"/>
      <c r="G138" s="468"/>
    </row>
    <row r="139" spans="1:7">
      <c r="A139" s="468"/>
      <c r="B139" s="468"/>
      <c r="C139" s="468"/>
      <c r="D139" s="468"/>
      <c r="E139" s="469"/>
      <c r="F139" s="469"/>
      <c r="G139" s="468"/>
    </row>
    <row r="140" spans="1:7">
      <c r="A140" s="468"/>
      <c r="B140" s="468"/>
      <c r="C140" s="468"/>
      <c r="D140" s="468"/>
      <c r="E140" s="469"/>
      <c r="F140" s="469"/>
      <c r="G140" s="468"/>
    </row>
    <row r="141" spans="1:7">
      <c r="A141" s="468"/>
      <c r="B141" s="468"/>
      <c r="C141" s="468"/>
      <c r="D141" s="468"/>
      <c r="E141" s="469"/>
      <c r="F141" s="469"/>
      <c r="G141" s="468"/>
    </row>
    <row r="142" spans="1:7">
      <c r="A142" s="468"/>
      <c r="B142" s="468"/>
      <c r="C142" s="468"/>
      <c r="D142" s="468"/>
      <c r="E142" s="469"/>
      <c r="F142" s="469"/>
      <c r="G142" s="468"/>
    </row>
    <row r="143" spans="1:7">
      <c r="A143" s="468"/>
      <c r="B143" s="468"/>
      <c r="C143" s="468"/>
      <c r="D143" s="468"/>
      <c r="E143" s="469"/>
      <c r="F143" s="469"/>
      <c r="G143" s="468"/>
    </row>
    <row r="144" spans="1:7">
      <c r="A144" s="468"/>
      <c r="B144" s="468"/>
      <c r="C144" s="468"/>
      <c r="D144" s="468"/>
      <c r="E144" s="469"/>
      <c r="F144" s="469"/>
      <c r="G144" s="468"/>
    </row>
    <row r="145" spans="1:7">
      <c r="A145" s="468"/>
      <c r="B145" s="468"/>
      <c r="C145" s="468"/>
      <c r="D145" s="468"/>
      <c r="E145" s="469"/>
      <c r="F145" s="469"/>
      <c r="G145" s="468"/>
    </row>
    <row r="146" spans="1:7">
      <c r="A146" s="468"/>
      <c r="B146" s="468"/>
      <c r="C146" s="468"/>
      <c r="D146" s="468"/>
      <c r="E146" s="469"/>
      <c r="F146" s="469"/>
      <c r="G146" s="468"/>
    </row>
    <row r="147" spans="1:7">
      <c r="A147" s="468"/>
      <c r="B147" s="468"/>
      <c r="C147" s="468"/>
      <c r="D147" s="468"/>
      <c r="E147" s="469"/>
      <c r="F147" s="469"/>
      <c r="G147" s="468"/>
    </row>
    <row r="148" spans="1:7">
      <c r="A148" s="468"/>
      <c r="B148" s="468"/>
      <c r="C148" s="468"/>
      <c r="D148" s="468"/>
      <c r="E148" s="469"/>
      <c r="F148" s="469"/>
      <c r="G148" s="468"/>
    </row>
    <row r="149" spans="1:7">
      <c r="A149" s="468"/>
      <c r="B149" s="468"/>
      <c r="C149" s="468"/>
      <c r="D149" s="468"/>
      <c r="E149" s="469"/>
      <c r="F149" s="469"/>
      <c r="G149" s="468"/>
    </row>
    <row r="150" spans="1:7" ht="18.75">
      <c r="A150" s="468"/>
      <c r="B150" s="468"/>
      <c r="C150" s="468"/>
      <c r="D150" s="468"/>
      <c r="E150" s="469"/>
      <c r="F150" s="469"/>
      <c r="G150" s="470"/>
    </row>
    <row r="151" spans="1:7" ht="18.75">
      <c r="A151" s="470"/>
      <c r="B151" s="470"/>
      <c r="C151" s="470"/>
      <c r="D151" s="470"/>
      <c r="E151" s="471"/>
      <c r="F151" s="471"/>
      <c r="G151" s="470"/>
    </row>
    <row r="152" spans="1:7" ht="18.75">
      <c r="A152" s="470"/>
      <c r="B152" s="470"/>
      <c r="C152" s="470"/>
      <c r="D152" s="470"/>
      <c r="E152" s="471"/>
      <c r="F152" s="471"/>
      <c r="G152" s="470"/>
    </row>
    <row r="153" spans="1:7">
      <c r="E153" s="471"/>
      <c r="F153" s="471"/>
    </row>
    <row r="154" spans="1:7">
      <c r="E154" s="471"/>
      <c r="F154" s="471"/>
    </row>
    <row r="155" spans="1:7">
      <c r="E155" s="471"/>
      <c r="F155" s="471"/>
    </row>
    <row r="156" spans="1:7">
      <c r="E156" s="471"/>
      <c r="F156" s="471"/>
    </row>
    <row r="157" spans="1:7">
      <c r="E157" s="471"/>
      <c r="F157" s="471"/>
    </row>
    <row r="158" spans="1:7">
      <c r="E158" s="471"/>
      <c r="F158" s="471"/>
    </row>
    <row r="159" spans="1:7">
      <c r="E159" s="471"/>
      <c r="F159" s="471"/>
    </row>
    <row r="160" spans="1:7">
      <c r="E160" s="471"/>
      <c r="F160" s="471"/>
    </row>
    <row r="161" spans="5:6">
      <c r="E161" s="471"/>
      <c r="F161" s="471"/>
    </row>
    <row r="162" spans="5:6">
      <c r="E162" s="471"/>
      <c r="F162" s="471"/>
    </row>
    <row r="163" spans="5:6">
      <c r="E163" s="471"/>
      <c r="F163" s="471"/>
    </row>
    <row r="164" spans="5:6">
      <c r="E164" s="471"/>
      <c r="F164" s="471"/>
    </row>
    <row r="165" spans="5:6">
      <c r="E165" s="471"/>
      <c r="F165" s="471"/>
    </row>
    <row r="166" spans="5:6">
      <c r="E166" s="471"/>
      <c r="F166" s="471"/>
    </row>
    <row r="167" spans="5:6">
      <c r="E167" s="471"/>
      <c r="F167" s="471"/>
    </row>
    <row r="168" spans="5:6">
      <c r="E168" s="471"/>
      <c r="F168" s="471"/>
    </row>
    <row r="169" spans="5:6">
      <c r="E169" s="471"/>
      <c r="F169" s="471"/>
    </row>
    <row r="170" spans="5:6">
      <c r="E170" s="471"/>
      <c r="F170" s="471"/>
    </row>
    <row r="171" spans="5:6">
      <c r="E171" s="471"/>
      <c r="F171" s="471"/>
    </row>
    <row r="172" spans="5:6">
      <c r="E172" s="471"/>
      <c r="F172" s="471"/>
    </row>
    <row r="173" spans="5:6">
      <c r="E173" s="471"/>
      <c r="F173" s="471"/>
    </row>
    <row r="174" spans="5:6">
      <c r="E174" s="471"/>
      <c r="F174" s="471"/>
    </row>
    <row r="175" spans="5:6">
      <c r="E175" s="471"/>
      <c r="F175" s="471"/>
    </row>
    <row r="176" spans="5:6">
      <c r="E176" s="471"/>
      <c r="F176" s="471"/>
    </row>
    <row r="177" spans="5:6">
      <c r="E177" s="471"/>
      <c r="F177" s="471"/>
    </row>
    <row r="178" spans="5:6">
      <c r="E178" s="471"/>
      <c r="F178" s="471"/>
    </row>
    <row r="179" spans="5:6">
      <c r="E179" s="471"/>
      <c r="F179" s="471"/>
    </row>
    <row r="180" spans="5:6">
      <c r="E180" s="471"/>
      <c r="F180" s="471"/>
    </row>
    <row r="181" spans="5:6">
      <c r="E181" s="471"/>
      <c r="F181" s="471"/>
    </row>
    <row r="182" spans="5:6">
      <c r="E182" s="471"/>
      <c r="F182" s="471"/>
    </row>
    <row r="183" spans="5:6">
      <c r="E183" s="471"/>
      <c r="F183" s="471"/>
    </row>
    <row r="184" spans="5:6">
      <c r="E184" s="471"/>
      <c r="F184" s="471"/>
    </row>
    <row r="185" spans="5:6">
      <c r="E185" s="471"/>
      <c r="F185" s="471"/>
    </row>
    <row r="186" spans="5:6">
      <c r="E186" s="471"/>
      <c r="F186" s="471"/>
    </row>
    <row r="187" spans="5:6">
      <c r="E187" s="471"/>
      <c r="F187" s="471"/>
    </row>
    <row r="188" spans="5:6">
      <c r="E188" s="471"/>
      <c r="F188" s="471"/>
    </row>
    <row r="189" spans="5:6">
      <c r="E189" s="471"/>
      <c r="F189" s="471"/>
    </row>
    <row r="190" spans="5:6">
      <c r="E190" s="471"/>
      <c r="F190" s="471"/>
    </row>
    <row r="191" spans="5:6">
      <c r="E191" s="471"/>
      <c r="F191" s="471"/>
    </row>
    <row r="192" spans="5:6">
      <c r="E192" s="471"/>
      <c r="F192" s="471"/>
    </row>
    <row r="193" spans="5:6">
      <c r="E193" s="471"/>
      <c r="F193" s="471"/>
    </row>
    <row r="194" spans="5:6">
      <c r="E194" s="471"/>
      <c r="F194" s="471"/>
    </row>
    <row r="195" spans="5:6">
      <c r="E195" s="471"/>
      <c r="F195" s="471"/>
    </row>
    <row r="196" spans="5:6">
      <c r="E196" s="471"/>
      <c r="F196" s="471"/>
    </row>
    <row r="197" spans="5:6">
      <c r="E197" s="471"/>
      <c r="F197" s="471"/>
    </row>
    <row r="198" spans="5:6">
      <c r="E198" s="471"/>
      <c r="F198" s="471"/>
    </row>
  </sheetData>
  <pageMargins left="0.74803149606299202" right="0.17" top="0.74803149606299202" bottom="0.511811023622047" header="0.43307086614173201" footer="0.31496062992126"/>
  <pageSetup paperSize="9" scale="95" firstPageNumber="38" orientation="portrait" r:id="rId1"/>
  <headerFooter alignWithMargins="0">
    <oddHeader>&amp;C&amp;"Times New Roman,Regular"&amp;13&amp;P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6"/>
  <sheetViews>
    <sheetView workbookViewId="0">
      <selection activeCell="L15" sqref="L15"/>
    </sheetView>
  </sheetViews>
  <sheetFormatPr defaultColWidth="8.5703125" defaultRowHeight="15"/>
  <cols>
    <col min="1" max="1" width="1.7109375" style="426" customWidth="1"/>
    <col min="2" max="2" width="36.28515625" style="426" customWidth="1"/>
    <col min="3" max="4" width="10.7109375" style="426" customWidth="1"/>
    <col min="5" max="5" width="13.7109375" style="426" customWidth="1"/>
    <col min="6" max="6" width="12.7109375" style="426" customWidth="1"/>
    <col min="7" max="16384" width="8.5703125" style="426"/>
  </cols>
  <sheetData>
    <row r="1" spans="1:6" ht="21" customHeight="1">
      <c r="A1" s="472" t="s">
        <v>380</v>
      </c>
      <c r="B1" s="384"/>
      <c r="C1" s="385"/>
      <c r="D1" s="385"/>
      <c r="E1" s="385"/>
      <c r="F1" s="385"/>
    </row>
    <row r="2" spans="1:6" ht="16.5" customHeight="1">
      <c r="A2" s="472"/>
      <c r="B2" s="384"/>
      <c r="C2" s="385"/>
      <c r="D2" s="385"/>
      <c r="E2" s="385"/>
      <c r="F2" s="385"/>
    </row>
    <row r="3" spans="1:6" ht="16.350000000000001" customHeight="1">
      <c r="A3" s="390"/>
      <c r="B3" s="391"/>
      <c r="C3" s="412"/>
      <c r="D3" s="412"/>
      <c r="E3" s="391"/>
      <c r="F3" s="392" t="s">
        <v>334</v>
      </c>
    </row>
    <row r="4" spans="1:6" ht="17.25" customHeight="1">
      <c r="A4" s="393"/>
      <c r="B4" s="393"/>
      <c r="C4" s="363" t="s">
        <v>300</v>
      </c>
      <c r="D4" s="363" t="s">
        <v>142</v>
      </c>
      <c r="E4" s="954" t="s">
        <v>194</v>
      </c>
      <c r="F4" s="954"/>
    </row>
    <row r="5" spans="1:6" ht="17.25" customHeight="1">
      <c r="A5" s="395"/>
      <c r="B5" s="395"/>
      <c r="C5" s="363" t="s">
        <v>39</v>
      </c>
      <c r="D5" s="363" t="s">
        <v>195</v>
      </c>
      <c r="E5" s="363" t="s">
        <v>42</v>
      </c>
      <c r="F5" s="365" t="s">
        <v>43</v>
      </c>
    </row>
    <row r="6" spans="1:6" ht="17.25" customHeight="1">
      <c r="A6" s="395"/>
      <c r="B6" s="395"/>
      <c r="C6" s="366" t="s">
        <v>87</v>
      </c>
      <c r="D6" s="366" t="s">
        <v>87</v>
      </c>
      <c r="E6" s="366" t="s">
        <v>87</v>
      </c>
      <c r="F6" s="366" t="s">
        <v>87</v>
      </c>
    </row>
    <row r="7" spans="1:6" ht="9" customHeight="1">
      <c r="A7" s="395"/>
      <c r="B7" s="395"/>
      <c r="C7" s="413"/>
      <c r="D7" s="413"/>
      <c r="E7" s="413"/>
      <c r="F7" s="414"/>
    </row>
    <row r="8" spans="1:6" ht="15" customHeight="1">
      <c r="A8" s="440" t="s">
        <v>265</v>
      </c>
      <c r="B8" s="427"/>
      <c r="C8" s="441">
        <v>4770948</v>
      </c>
      <c r="D8" s="443">
        <v>5732735</v>
      </c>
      <c r="E8" s="444">
        <v>123.18338671510401</v>
      </c>
      <c r="F8" s="473">
        <v>117.50815492673836</v>
      </c>
    </row>
    <row r="9" spans="1:6" ht="16.350000000000001" customHeight="1">
      <c r="A9" s="446" t="s">
        <v>338</v>
      </c>
      <c r="B9" s="446"/>
      <c r="C9" s="447"/>
      <c r="D9" s="443"/>
      <c r="E9" s="450"/>
      <c r="F9" s="474"/>
    </row>
    <row r="10" spans="1:6" ht="16.350000000000001" customHeight="1">
      <c r="A10" s="427"/>
      <c r="B10" s="451" t="s">
        <v>339</v>
      </c>
      <c r="C10" s="452">
        <v>4059316</v>
      </c>
      <c r="D10" s="449">
        <v>4695547</v>
      </c>
      <c r="E10" s="450">
        <v>120.29509863044956</v>
      </c>
      <c r="F10" s="474">
        <v>115.56682183714828</v>
      </c>
    </row>
    <row r="11" spans="1:6" ht="16.350000000000001" customHeight="1">
      <c r="A11" s="427"/>
      <c r="B11" s="451" t="s">
        <v>323</v>
      </c>
      <c r="C11" s="452">
        <v>9275</v>
      </c>
      <c r="D11" s="449">
        <v>83317</v>
      </c>
      <c r="E11" s="450">
        <v>1157.9275905118602</v>
      </c>
      <c r="F11" s="474">
        <v>101.11286407766991</v>
      </c>
    </row>
    <row r="12" spans="1:6" ht="16.350000000000001" customHeight="1">
      <c r="A12" s="427"/>
      <c r="B12" s="451" t="s">
        <v>325</v>
      </c>
      <c r="C12" s="452">
        <v>702357</v>
      </c>
      <c r="D12" s="449">
        <v>953871</v>
      </c>
      <c r="E12" s="450">
        <v>141.09817810715199</v>
      </c>
      <c r="F12" s="474">
        <v>130.10996327237342</v>
      </c>
    </row>
    <row r="13" spans="1:6" ht="16.350000000000001" customHeight="1">
      <c r="A13" s="453" t="s">
        <v>340</v>
      </c>
      <c r="B13" s="453"/>
      <c r="C13" s="454"/>
      <c r="D13" s="443"/>
      <c r="E13" s="450"/>
      <c r="F13" s="474"/>
    </row>
    <row r="14" spans="1:6" ht="16.350000000000001" customHeight="1">
      <c r="A14" s="427"/>
      <c r="B14" s="455" t="s">
        <v>341</v>
      </c>
      <c r="C14" s="441">
        <v>3829675</v>
      </c>
      <c r="D14" s="443">
        <v>4387400</v>
      </c>
      <c r="E14" s="444">
        <v>120.43230375415888</v>
      </c>
      <c r="F14" s="473">
        <v>113.27728444461589</v>
      </c>
    </row>
    <row r="15" spans="1:6" ht="15" customHeight="1">
      <c r="A15" s="427"/>
      <c r="B15" s="456" t="s">
        <v>342</v>
      </c>
      <c r="C15" s="452">
        <v>1166925</v>
      </c>
      <c r="D15" s="449">
        <v>1388037</v>
      </c>
      <c r="E15" s="450">
        <v>143.30300894258423</v>
      </c>
      <c r="F15" s="474">
        <v>134.40535372237969</v>
      </c>
    </row>
    <row r="16" spans="1:6" ht="15" customHeight="1">
      <c r="A16" s="427"/>
      <c r="B16" s="456" t="s">
        <v>343</v>
      </c>
      <c r="C16" s="457">
        <v>1029767</v>
      </c>
      <c r="D16" s="449">
        <v>1093671</v>
      </c>
      <c r="E16" s="450">
        <v>94.820173827209601</v>
      </c>
      <c r="F16" s="474">
        <v>91.045094198416479</v>
      </c>
    </row>
    <row r="17" spans="1:6" ht="15" customHeight="1">
      <c r="A17" s="427"/>
      <c r="B17" s="456" t="s">
        <v>344</v>
      </c>
      <c r="C17" s="457">
        <v>224454</v>
      </c>
      <c r="D17" s="449">
        <v>196397</v>
      </c>
      <c r="E17" s="450">
        <v>116.07608290927145</v>
      </c>
      <c r="F17" s="474">
        <v>107.63956636595819</v>
      </c>
    </row>
    <row r="18" spans="1:6" ht="15" customHeight="1">
      <c r="A18" s="427"/>
      <c r="B18" s="456" t="s">
        <v>345</v>
      </c>
      <c r="C18" s="457">
        <v>296414</v>
      </c>
      <c r="D18" s="449">
        <v>305110</v>
      </c>
      <c r="E18" s="450">
        <v>91.662053887567765</v>
      </c>
      <c r="F18" s="474">
        <v>91.062389570698627</v>
      </c>
    </row>
    <row r="19" spans="1:6" ht="15" customHeight="1">
      <c r="A19" s="427"/>
      <c r="B19" s="456" t="s">
        <v>346</v>
      </c>
      <c r="C19" s="457">
        <v>138393</v>
      </c>
      <c r="D19" s="449">
        <v>168454</v>
      </c>
      <c r="E19" s="450">
        <v>134.45351209559894</v>
      </c>
      <c r="F19" s="474">
        <v>121.30687137240217</v>
      </c>
    </row>
    <row r="20" spans="1:6" ht="15" customHeight="1">
      <c r="A20" s="427"/>
      <c r="B20" s="456" t="s">
        <v>347</v>
      </c>
      <c r="C20" s="457">
        <v>90546</v>
      </c>
      <c r="D20" s="449">
        <v>131258</v>
      </c>
      <c r="E20" s="450">
        <v>121.74252100840337</v>
      </c>
      <c r="F20" s="474">
        <v>112.10392361170423</v>
      </c>
    </row>
    <row r="21" spans="1:6" ht="15" customHeight="1">
      <c r="A21" s="427"/>
      <c r="B21" s="456" t="s">
        <v>348</v>
      </c>
      <c r="C21" s="457">
        <v>89178</v>
      </c>
      <c r="D21" s="449">
        <v>133233</v>
      </c>
      <c r="E21" s="450">
        <v>125.44733288318703</v>
      </c>
      <c r="F21" s="474">
        <v>125.46070907293188</v>
      </c>
    </row>
    <row r="22" spans="1:6" ht="15" customHeight="1">
      <c r="A22" s="427"/>
      <c r="B22" s="456" t="s">
        <v>349</v>
      </c>
      <c r="C22" s="457">
        <v>129599</v>
      </c>
      <c r="D22" s="449">
        <v>197262</v>
      </c>
      <c r="E22" s="450">
        <v>137.52599855681481</v>
      </c>
      <c r="F22" s="474">
        <v>132.52094511844882</v>
      </c>
    </row>
    <row r="23" spans="1:6" ht="15" customHeight="1">
      <c r="A23" s="427"/>
      <c r="B23" s="456" t="s">
        <v>350</v>
      </c>
      <c r="C23" s="457">
        <v>119118</v>
      </c>
      <c r="D23" s="449">
        <v>145422</v>
      </c>
      <c r="E23" s="450">
        <v>172.29020220428708</v>
      </c>
      <c r="F23" s="474">
        <v>160.294085227398</v>
      </c>
    </row>
    <row r="24" spans="1:6" ht="15" customHeight="1">
      <c r="A24" s="427"/>
      <c r="B24" s="456" t="s">
        <v>351</v>
      </c>
      <c r="C24" s="457">
        <v>58900</v>
      </c>
      <c r="D24" s="449">
        <v>31757</v>
      </c>
      <c r="E24" s="450">
        <v>128.59981223117398</v>
      </c>
      <c r="F24" s="474">
        <v>84.540599826430494</v>
      </c>
    </row>
    <row r="25" spans="1:6" ht="15" customHeight="1">
      <c r="A25" s="427"/>
      <c r="B25" s="456" t="s">
        <v>352</v>
      </c>
      <c r="C25" s="457">
        <v>47992</v>
      </c>
      <c r="D25" s="449">
        <v>52340</v>
      </c>
      <c r="E25" s="450">
        <v>121.49565833776359</v>
      </c>
      <c r="F25" s="474">
        <v>107.95536579832105</v>
      </c>
    </row>
    <row r="26" spans="1:6" ht="15" customHeight="1">
      <c r="A26" s="427"/>
      <c r="B26" s="456" t="s">
        <v>353</v>
      </c>
      <c r="C26" s="458">
        <v>167125</v>
      </c>
      <c r="D26" s="449">
        <v>241837</v>
      </c>
      <c r="E26" s="475">
        <v>146.9670055225298</v>
      </c>
      <c r="F26" s="474">
        <v>163.06292942437747</v>
      </c>
    </row>
    <row r="27" spans="1:6" ht="15" customHeight="1">
      <c r="A27" s="427"/>
      <c r="B27" s="456" t="s">
        <v>354</v>
      </c>
      <c r="C27" s="452">
        <v>271264</v>
      </c>
      <c r="D27" s="449">
        <v>302622</v>
      </c>
      <c r="E27" s="450">
        <v>178.36576080166751</v>
      </c>
      <c r="F27" s="474">
        <v>105.9628362740939</v>
      </c>
    </row>
    <row r="28" spans="1:6" ht="15" customHeight="1">
      <c r="A28" s="427"/>
      <c r="B28" s="455" t="s">
        <v>355</v>
      </c>
      <c r="C28" s="459">
        <v>216656</v>
      </c>
      <c r="D28" s="443">
        <v>305440</v>
      </c>
      <c r="E28" s="444">
        <v>108.44186395715501</v>
      </c>
      <c r="F28" s="473">
        <v>115.93763996857112</v>
      </c>
    </row>
    <row r="29" spans="1:6" ht="16.350000000000001" customHeight="1">
      <c r="A29" s="427"/>
      <c r="B29" s="456" t="s">
        <v>356</v>
      </c>
      <c r="C29" s="457">
        <v>173444</v>
      </c>
      <c r="D29" s="449">
        <v>226151</v>
      </c>
      <c r="E29" s="450">
        <v>106.07222578968289</v>
      </c>
      <c r="F29" s="474">
        <v>112.41226762103589</v>
      </c>
    </row>
    <row r="30" spans="1:6" ht="16.350000000000001" customHeight="1">
      <c r="A30" s="427"/>
      <c r="B30" s="456" t="s">
        <v>357</v>
      </c>
      <c r="C30" s="457">
        <v>28506</v>
      </c>
      <c r="D30" s="449">
        <v>51885</v>
      </c>
      <c r="E30" s="450">
        <v>120.02020967538209</v>
      </c>
      <c r="F30" s="474">
        <v>118.30494561871537</v>
      </c>
    </row>
    <row r="31" spans="1:6" ht="16.350000000000001" customHeight="1">
      <c r="A31" s="427"/>
      <c r="B31" s="456" t="s">
        <v>358</v>
      </c>
      <c r="C31" s="452">
        <v>14706</v>
      </c>
      <c r="D31" s="449">
        <v>27404</v>
      </c>
      <c r="E31" s="450">
        <v>117.42254870648354</v>
      </c>
      <c r="F31" s="474">
        <v>148.81363698072224</v>
      </c>
    </row>
    <row r="32" spans="1:6" ht="16.350000000000001" customHeight="1">
      <c r="A32" s="427"/>
      <c r="B32" s="455" t="s">
        <v>359</v>
      </c>
      <c r="C32" s="459">
        <v>568370</v>
      </c>
      <c r="D32" s="443">
        <v>861910</v>
      </c>
      <c r="E32" s="444">
        <v>160.07040766035345</v>
      </c>
      <c r="F32" s="473">
        <v>148.355254381843</v>
      </c>
    </row>
    <row r="33" spans="1:6" ht="16.350000000000001" customHeight="1">
      <c r="A33" s="427"/>
      <c r="B33" s="456" t="s">
        <v>360</v>
      </c>
      <c r="C33" s="457">
        <v>175312</v>
      </c>
      <c r="D33" s="449">
        <v>254553</v>
      </c>
      <c r="E33" s="450">
        <v>345.1635132208462</v>
      </c>
      <c r="F33" s="474">
        <v>349.09487369373818</v>
      </c>
    </row>
    <row r="34" spans="1:6" ht="15" customHeight="1">
      <c r="A34" s="427"/>
      <c r="B34" s="456" t="s">
        <v>361</v>
      </c>
      <c r="C34" s="457">
        <v>73900</v>
      </c>
      <c r="D34" s="449">
        <v>95052</v>
      </c>
      <c r="E34" s="450">
        <v>129.15741824982086</v>
      </c>
      <c r="F34" s="474">
        <v>116.3655060966652</v>
      </c>
    </row>
    <row r="35" spans="1:6" ht="15" customHeight="1">
      <c r="A35" s="427"/>
      <c r="B35" s="456" t="s">
        <v>362</v>
      </c>
      <c r="C35" s="457">
        <v>69893</v>
      </c>
      <c r="D35" s="449">
        <v>94082</v>
      </c>
      <c r="E35" s="450">
        <v>132.18784279608124</v>
      </c>
      <c r="F35" s="474">
        <v>117.26974709262467</v>
      </c>
    </row>
    <row r="36" spans="1:6" ht="15" customHeight="1">
      <c r="A36" s="427"/>
      <c r="B36" s="456" t="s">
        <v>363</v>
      </c>
      <c r="C36" s="457">
        <v>55400</v>
      </c>
      <c r="D36" s="449">
        <v>84789</v>
      </c>
      <c r="E36" s="450">
        <v>123.93736017897092</v>
      </c>
      <c r="F36" s="474">
        <v>114.68511605258887</v>
      </c>
    </row>
    <row r="37" spans="1:6" ht="15" customHeight="1">
      <c r="A37" s="427"/>
      <c r="B37" s="456" t="s">
        <v>364</v>
      </c>
      <c r="C37" s="457">
        <v>32502</v>
      </c>
      <c r="D37" s="449">
        <v>28904</v>
      </c>
      <c r="E37" s="450">
        <v>100.25911530631132</v>
      </c>
      <c r="F37" s="474">
        <v>108.55962441314556</v>
      </c>
    </row>
    <row r="38" spans="1:6" ht="15" customHeight="1">
      <c r="A38" s="427"/>
      <c r="B38" s="456" t="s">
        <v>365</v>
      </c>
      <c r="C38" s="457">
        <v>25712</v>
      </c>
      <c r="D38" s="449">
        <v>23500</v>
      </c>
      <c r="E38" s="450">
        <v>135.06329778851708</v>
      </c>
      <c r="F38" s="474">
        <v>115.38839241873711</v>
      </c>
    </row>
    <row r="39" spans="1:6" ht="15" customHeight="1">
      <c r="A39" s="427"/>
      <c r="B39" s="456" t="s">
        <v>366</v>
      </c>
      <c r="C39" s="457">
        <v>27277</v>
      </c>
      <c r="D39" s="449">
        <v>28773</v>
      </c>
      <c r="E39" s="450">
        <v>119.32195975503062</v>
      </c>
      <c r="F39" s="474">
        <v>116.66936988078827</v>
      </c>
    </row>
    <row r="40" spans="1:6" ht="15" customHeight="1">
      <c r="A40" s="427"/>
      <c r="B40" s="456" t="s">
        <v>367</v>
      </c>
      <c r="C40" s="457">
        <v>5475</v>
      </c>
      <c r="D40" s="449">
        <v>12610</v>
      </c>
      <c r="E40" s="450">
        <v>112.70069987649238</v>
      </c>
      <c r="F40" s="474">
        <v>111.73134857345384</v>
      </c>
    </row>
    <row r="41" spans="1:6" ht="15" customHeight="1">
      <c r="A41" s="427"/>
      <c r="B41" s="456" t="s">
        <v>368</v>
      </c>
      <c r="C41" s="457">
        <v>7917</v>
      </c>
      <c r="D41" s="449">
        <v>10309</v>
      </c>
      <c r="E41" s="450">
        <v>122.32694684796044</v>
      </c>
      <c r="F41" s="474">
        <v>109.67021276595746</v>
      </c>
    </row>
    <row r="42" spans="1:6" ht="15" customHeight="1">
      <c r="A42" s="427"/>
      <c r="B42" s="456" t="s">
        <v>369</v>
      </c>
      <c r="C42" s="457">
        <v>7674</v>
      </c>
      <c r="D42" s="449">
        <v>12710</v>
      </c>
      <c r="E42" s="450">
        <v>132.90613093176307</v>
      </c>
      <c r="F42" s="474">
        <v>125.59288537549406</v>
      </c>
    </row>
    <row r="43" spans="1:6" ht="15" customHeight="1">
      <c r="A43" s="427"/>
      <c r="B43" s="456" t="s">
        <v>370</v>
      </c>
      <c r="C43" s="457">
        <v>10333</v>
      </c>
      <c r="D43" s="449">
        <v>10936</v>
      </c>
      <c r="E43" s="450">
        <v>130.5990899898888</v>
      </c>
      <c r="F43" s="474">
        <v>119.64989059080963</v>
      </c>
    </row>
    <row r="44" spans="1:6" ht="15" customHeight="1">
      <c r="A44" s="427"/>
      <c r="B44" s="456" t="s">
        <v>371</v>
      </c>
      <c r="C44" s="457">
        <v>7816</v>
      </c>
      <c r="D44" s="449">
        <v>8601</v>
      </c>
      <c r="E44" s="450">
        <v>111.32317333713146</v>
      </c>
      <c r="F44" s="474">
        <v>117.13196241318262</v>
      </c>
    </row>
    <row r="45" spans="1:6" ht="15" customHeight="1">
      <c r="A45" s="427"/>
      <c r="B45" s="460" t="s">
        <v>372</v>
      </c>
      <c r="C45" s="454">
        <v>3950</v>
      </c>
      <c r="D45" s="449">
        <v>11610</v>
      </c>
      <c r="E45" s="475">
        <v>132.5503355704698</v>
      </c>
      <c r="F45" s="474">
        <v>110.44520547945204</v>
      </c>
    </row>
    <row r="46" spans="1:6" ht="15" customHeight="1">
      <c r="A46" s="427"/>
      <c r="B46" s="456" t="s">
        <v>373</v>
      </c>
      <c r="C46" s="457">
        <v>7650</v>
      </c>
      <c r="D46" s="449">
        <v>26965</v>
      </c>
      <c r="E46" s="450">
        <v>154.95240024306258</v>
      </c>
      <c r="F46" s="474">
        <v>137.03816638715253</v>
      </c>
    </row>
    <row r="47" spans="1:6" ht="15" customHeight="1">
      <c r="A47" s="427"/>
      <c r="B47" s="456" t="s">
        <v>374</v>
      </c>
      <c r="C47" s="461">
        <v>57559</v>
      </c>
      <c r="D47" s="449">
        <v>158516</v>
      </c>
      <c r="E47" s="450">
        <v>163.4084714967068</v>
      </c>
      <c r="F47" s="474">
        <v>128.78572226510133</v>
      </c>
    </row>
    <row r="48" spans="1:6" ht="15" customHeight="1">
      <c r="A48" s="427"/>
      <c r="B48" s="455" t="s">
        <v>375</v>
      </c>
      <c r="C48" s="459">
        <v>140778</v>
      </c>
      <c r="D48" s="443">
        <v>162382</v>
      </c>
      <c r="E48" s="444">
        <v>112.93047433398311</v>
      </c>
      <c r="F48" s="473">
        <v>109.02145087112693</v>
      </c>
    </row>
    <row r="49" spans="1:6" ht="15" customHeight="1">
      <c r="A49" s="427"/>
      <c r="B49" s="456" t="s">
        <v>376</v>
      </c>
      <c r="C49" s="457">
        <v>125269</v>
      </c>
      <c r="D49" s="449">
        <v>147237</v>
      </c>
      <c r="E49" s="450">
        <v>111.96128201919811</v>
      </c>
      <c r="F49" s="474">
        <v>108.60027880835246</v>
      </c>
    </row>
    <row r="50" spans="1:6" ht="15" customHeight="1">
      <c r="A50" s="427"/>
      <c r="B50" s="456" t="s">
        <v>377</v>
      </c>
      <c r="C50" s="457">
        <v>15080</v>
      </c>
      <c r="D50" s="449">
        <v>14558</v>
      </c>
      <c r="E50" s="450">
        <v>122.00647249190939</v>
      </c>
      <c r="F50" s="474">
        <v>112.20038535645472</v>
      </c>
    </row>
    <row r="51" spans="1:6" ht="16.350000000000001" customHeight="1">
      <c r="A51" s="427"/>
      <c r="B51" s="456" t="s">
        <v>378</v>
      </c>
      <c r="C51" s="452">
        <v>429</v>
      </c>
      <c r="D51" s="449">
        <v>587</v>
      </c>
      <c r="E51" s="450">
        <v>103.87409200968523</v>
      </c>
      <c r="F51" s="474">
        <v>149.36386768447838</v>
      </c>
    </row>
    <row r="52" spans="1:6" ht="15.6" customHeight="1">
      <c r="A52" s="427"/>
      <c r="B52" s="455" t="s">
        <v>379</v>
      </c>
      <c r="C52" s="459">
        <v>15469</v>
      </c>
      <c r="D52" s="476">
        <v>15603</v>
      </c>
      <c r="E52" s="444">
        <v>113.90177453795745</v>
      </c>
      <c r="F52" s="473">
        <v>129.37810945273634</v>
      </c>
    </row>
    <row r="53" spans="1:6" ht="15.6" customHeight="1">
      <c r="A53" s="477"/>
      <c r="B53" s="410"/>
      <c r="C53" s="410"/>
      <c r="D53" s="410"/>
      <c r="E53" s="411"/>
      <c r="F53" s="411"/>
    </row>
    <row r="54" spans="1:6" ht="15.6" customHeight="1">
      <c r="A54" s="477"/>
    </row>
    <row r="55" spans="1:6" ht="16.350000000000001" customHeight="1">
      <c r="A55" s="477"/>
      <c r="B55" s="410"/>
      <c r="C55" s="410"/>
      <c r="D55" s="410"/>
      <c r="E55" s="411"/>
      <c r="F55" s="411"/>
    </row>
    <row r="56" spans="1:6">
      <c r="A56" s="410"/>
      <c r="B56" s="410"/>
      <c r="C56" s="410"/>
      <c r="D56" s="410"/>
      <c r="E56" s="411"/>
      <c r="F56" s="411"/>
    </row>
    <row r="57" spans="1:6">
      <c r="A57" s="410"/>
      <c r="B57" s="410"/>
      <c r="C57" s="410"/>
      <c r="D57" s="410"/>
      <c r="E57" s="411"/>
      <c r="F57" s="411"/>
    </row>
    <row r="58" spans="1:6">
      <c r="A58" s="410"/>
      <c r="B58" s="410"/>
      <c r="C58" s="410"/>
      <c r="D58" s="411"/>
      <c r="E58" s="411"/>
      <c r="F58" s="411"/>
    </row>
    <row r="59" spans="1:6">
      <c r="A59" s="410"/>
      <c r="B59" s="410"/>
      <c r="C59" s="410"/>
      <c r="D59" s="411"/>
      <c r="E59" s="411"/>
      <c r="F59" s="411"/>
    </row>
    <row r="60" spans="1:6">
      <c r="A60" s="410"/>
      <c r="B60" s="410"/>
      <c r="C60" s="410"/>
      <c r="D60" s="411"/>
      <c r="E60" s="411"/>
      <c r="F60" s="411"/>
    </row>
    <row r="61" spans="1:6">
      <c r="A61" s="410"/>
      <c r="B61" s="410"/>
      <c r="C61" s="410"/>
      <c r="D61" s="411"/>
      <c r="E61" s="411"/>
      <c r="F61" s="411"/>
    </row>
    <row r="62" spans="1:6">
      <c r="A62" s="410"/>
      <c r="B62" s="410"/>
      <c r="C62" s="410"/>
      <c r="D62" s="411"/>
      <c r="E62" s="411"/>
      <c r="F62" s="411"/>
    </row>
    <row r="63" spans="1:6">
      <c r="A63" s="410"/>
      <c r="B63" s="410"/>
      <c r="C63" s="410"/>
      <c r="D63" s="411"/>
      <c r="E63" s="411"/>
      <c r="F63" s="411"/>
    </row>
    <row r="64" spans="1:6">
      <c r="A64" s="410"/>
      <c r="B64" s="410"/>
      <c r="C64" s="410"/>
      <c r="D64" s="411"/>
      <c r="E64" s="411"/>
      <c r="F64" s="411"/>
    </row>
    <row r="65" spans="1:6">
      <c r="A65" s="410"/>
      <c r="B65" s="410"/>
      <c r="C65" s="410"/>
      <c r="D65" s="411"/>
      <c r="E65" s="411"/>
      <c r="F65" s="411"/>
    </row>
    <row r="66" spans="1:6">
      <c r="A66" s="410"/>
      <c r="B66" s="410"/>
      <c r="C66" s="410"/>
      <c r="D66" s="411"/>
      <c r="E66" s="411"/>
      <c r="F66" s="411"/>
    </row>
    <row r="67" spans="1:6">
      <c r="A67" s="410"/>
      <c r="B67" s="410"/>
      <c r="C67" s="410"/>
      <c r="D67" s="411"/>
      <c r="E67" s="411"/>
      <c r="F67" s="411"/>
    </row>
    <row r="68" spans="1:6">
      <c r="A68" s="410"/>
      <c r="B68" s="410"/>
      <c r="C68" s="410"/>
      <c r="D68" s="411"/>
      <c r="E68" s="411"/>
      <c r="F68" s="411"/>
    </row>
    <row r="69" spans="1:6">
      <c r="A69" s="410"/>
      <c r="B69" s="410"/>
      <c r="C69" s="410"/>
      <c r="D69" s="411"/>
      <c r="E69" s="411"/>
      <c r="F69" s="411"/>
    </row>
    <row r="70" spans="1:6">
      <c r="A70" s="410"/>
      <c r="B70" s="410"/>
      <c r="C70" s="410"/>
      <c r="D70" s="411"/>
      <c r="E70" s="411"/>
      <c r="F70" s="411"/>
    </row>
    <row r="71" spans="1:6">
      <c r="A71" s="410"/>
      <c r="B71" s="410"/>
      <c r="C71" s="410"/>
      <c r="D71" s="411"/>
      <c r="E71" s="411"/>
      <c r="F71" s="411"/>
    </row>
    <row r="72" spans="1:6">
      <c r="A72" s="410"/>
      <c r="B72" s="410"/>
      <c r="C72" s="410"/>
      <c r="D72" s="411"/>
      <c r="E72" s="411"/>
      <c r="F72" s="411"/>
    </row>
    <row r="73" spans="1:6">
      <c r="A73" s="410"/>
      <c r="B73" s="410"/>
      <c r="C73" s="410"/>
      <c r="D73" s="411"/>
      <c r="E73" s="411"/>
      <c r="F73" s="411"/>
    </row>
    <row r="74" spans="1:6">
      <c r="A74" s="410"/>
      <c r="B74" s="410"/>
      <c r="C74" s="410"/>
      <c r="D74" s="411"/>
      <c r="E74" s="411"/>
      <c r="F74" s="411"/>
    </row>
    <row r="75" spans="1:6">
      <c r="A75" s="410"/>
      <c r="B75" s="410"/>
      <c r="C75" s="410"/>
      <c r="D75" s="411"/>
      <c r="E75" s="411"/>
      <c r="F75" s="411"/>
    </row>
    <row r="76" spans="1:6">
      <c r="A76" s="410"/>
      <c r="B76" s="410"/>
      <c r="C76" s="410"/>
      <c r="D76" s="411"/>
      <c r="E76" s="411"/>
      <c r="F76" s="411"/>
    </row>
    <row r="77" spans="1:6">
      <c r="A77" s="410"/>
      <c r="B77" s="410"/>
      <c r="C77" s="410"/>
      <c r="D77" s="411"/>
      <c r="E77" s="411"/>
      <c r="F77" s="411"/>
    </row>
    <row r="78" spans="1:6">
      <c r="A78" s="410"/>
      <c r="B78" s="410"/>
      <c r="C78" s="410"/>
      <c r="D78" s="411"/>
      <c r="E78" s="411"/>
      <c r="F78" s="411"/>
    </row>
    <row r="79" spans="1:6">
      <c r="A79" s="410"/>
      <c r="B79" s="410"/>
      <c r="C79" s="410"/>
      <c r="D79" s="411"/>
      <c r="E79" s="411"/>
      <c r="F79" s="411"/>
    </row>
    <row r="80" spans="1:6">
      <c r="A80" s="410"/>
      <c r="B80" s="410"/>
      <c r="C80" s="410"/>
      <c r="D80" s="411"/>
      <c r="E80" s="411"/>
      <c r="F80" s="411"/>
    </row>
    <row r="81" spans="1:6">
      <c r="A81" s="410"/>
      <c r="B81" s="410"/>
      <c r="C81" s="410"/>
      <c r="D81" s="411"/>
      <c r="E81" s="411"/>
      <c r="F81" s="411"/>
    </row>
    <row r="82" spans="1:6">
      <c r="A82" s="410"/>
      <c r="B82" s="410"/>
      <c r="C82" s="410"/>
      <c r="D82" s="411"/>
      <c r="E82" s="411"/>
      <c r="F82" s="411"/>
    </row>
    <row r="83" spans="1:6">
      <c r="A83" s="410"/>
      <c r="B83" s="410"/>
      <c r="C83" s="410"/>
      <c r="D83" s="411"/>
      <c r="E83" s="411"/>
      <c r="F83" s="411"/>
    </row>
    <row r="84" spans="1:6">
      <c r="A84" s="410"/>
      <c r="B84" s="410"/>
      <c r="C84" s="410"/>
      <c r="D84" s="411"/>
      <c r="E84" s="411"/>
      <c r="F84" s="411"/>
    </row>
    <row r="85" spans="1:6">
      <c r="A85" s="410"/>
      <c r="B85" s="410"/>
      <c r="C85" s="410"/>
      <c r="D85" s="411"/>
      <c r="E85" s="411"/>
      <c r="F85" s="411"/>
    </row>
    <row r="86" spans="1:6">
      <c r="A86" s="410"/>
      <c r="B86" s="410"/>
      <c r="C86" s="410"/>
      <c r="D86" s="411"/>
      <c r="E86" s="411"/>
      <c r="F86" s="411"/>
    </row>
    <row r="87" spans="1:6">
      <c r="A87" s="410"/>
      <c r="B87" s="410"/>
      <c r="C87" s="410"/>
      <c r="D87" s="411"/>
      <c r="E87" s="411"/>
      <c r="F87" s="411"/>
    </row>
    <row r="88" spans="1:6">
      <c r="A88" s="410"/>
      <c r="B88" s="410"/>
      <c r="C88" s="410"/>
      <c r="D88" s="411"/>
      <c r="E88" s="411"/>
      <c r="F88" s="411"/>
    </row>
    <row r="89" spans="1:6">
      <c r="A89" s="410"/>
      <c r="B89" s="410"/>
      <c r="C89" s="410"/>
      <c r="D89" s="411"/>
      <c r="E89" s="411"/>
      <c r="F89" s="411"/>
    </row>
    <row r="90" spans="1:6">
      <c r="A90" s="410"/>
      <c r="B90" s="410"/>
      <c r="C90" s="410"/>
      <c r="D90" s="411"/>
      <c r="E90" s="411"/>
      <c r="F90" s="411"/>
    </row>
    <row r="91" spans="1:6">
      <c r="A91" s="410"/>
      <c r="B91" s="410"/>
      <c r="C91" s="410"/>
      <c r="D91" s="411"/>
      <c r="E91" s="411"/>
      <c r="F91" s="411"/>
    </row>
    <row r="92" spans="1:6">
      <c r="A92" s="410"/>
      <c r="B92" s="410"/>
      <c r="C92" s="410"/>
      <c r="D92" s="411"/>
      <c r="E92" s="411"/>
      <c r="F92" s="411"/>
    </row>
    <row r="93" spans="1:6">
      <c r="A93" s="410"/>
      <c r="B93" s="410"/>
      <c r="C93" s="410"/>
      <c r="D93" s="411"/>
      <c r="E93" s="411"/>
      <c r="F93" s="411"/>
    </row>
    <row r="94" spans="1:6">
      <c r="A94" s="410"/>
      <c r="B94" s="410"/>
      <c r="C94" s="410"/>
      <c r="D94" s="411"/>
      <c r="E94" s="411"/>
      <c r="F94" s="411"/>
    </row>
    <row r="95" spans="1:6">
      <c r="A95" s="410"/>
      <c r="B95" s="410"/>
      <c r="C95" s="410"/>
      <c r="D95" s="411"/>
      <c r="E95" s="411"/>
      <c r="F95" s="411"/>
    </row>
    <row r="96" spans="1:6">
      <c r="A96" s="410"/>
      <c r="B96" s="410"/>
      <c r="C96" s="410"/>
      <c r="D96" s="411"/>
      <c r="E96" s="411"/>
      <c r="F96" s="411"/>
    </row>
    <row r="97" spans="1:6">
      <c r="A97" s="410"/>
      <c r="B97" s="410"/>
      <c r="C97" s="410"/>
      <c r="D97" s="411"/>
      <c r="E97" s="411"/>
      <c r="F97" s="411"/>
    </row>
    <row r="98" spans="1:6">
      <c r="A98" s="410"/>
      <c r="B98" s="410"/>
      <c r="C98" s="410"/>
      <c r="D98" s="411"/>
      <c r="E98" s="411"/>
      <c r="F98" s="411"/>
    </row>
    <row r="99" spans="1:6">
      <c r="A99" s="410"/>
      <c r="B99" s="410"/>
      <c r="C99" s="410"/>
      <c r="D99" s="411"/>
      <c r="E99" s="411"/>
      <c r="F99" s="411"/>
    </row>
    <row r="100" spans="1:6">
      <c r="A100" s="410"/>
      <c r="B100" s="410"/>
      <c r="C100" s="410"/>
      <c r="D100" s="411"/>
      <c r="E100" s="411"/>
      <c r="F100" s="411"/>
    </row>
    <row r="101" spans="1:6">
      <c r="A101" s="410"/>
      <c r="B101" s="410"/>
      <c r="C101" s="410"/>
      <c r="D101" s="411"/>
      <c r="E101" s="411"/>
      <c r="F101" s="411"/>
    </row>
    <row r="102" spans="1:6">
      <c r="A102" s="410"/>
      <c r="B102" s="410"/>
      <c r="C102" s="410"/>
      <c r="D102" s="411"/>
      <c r="E102" s="411"/>
      <c r="F102" s="411"/>
    </row>
    <row r="103" spans="1:6">
      <c r="A103" s="410"/>
      <c r="B103" s="410"/>
      <c r="C103" s="410"/>
      <c r="D103" s="411"/>
      <c r="E103" s="411"/>
      <c r="F103" s="411"/>
    </row>
    <row r="104" spans="1:6">
      <c r="A104" s="410"/>
      <c r="B104" s="410"/>
      <c r="C104" s="410"/>
      <c r="D104" s="411"/>
      <c r="E104" s="411"/>
      <c r="F104" s="411"/>
    </row>
    <row r="105" spans="1:6">
      <c r="A105" s="410"/>
      <c r="B105" s="410"/>
      <c r="C105" s="410"/>
      <c r="D105" s="411"/>
      <c r="E105" s="411"/>
      <c r="F105" s="411"/>
    </row>
    <row r="106" spans="1:6">
      <c r="A106" s="410"/>
      <c r="B106" s="410"/>
      <c r="C106" s="410"/>
      <c r="D106" s="411"/>
      <c r="E106" s="411"/>
      <c r="F106" s="411"/>
    </row>
    <row r="107" spans="1:6">
      <c r="A107" s="410"/>
      <c r="B107" s="410"/>
      <c r="C107" s="410"/>
      <c r="D107" s="411"/>
      <c r="E107" s="411"/>
      <c r="F107" s="411"/>
    </row>
    <row r="108" spans="1:6">
      <c r="A108" s="410"/>
      <c r="B108" s="410"/>
      <c r="C108" s="410"/>
      <c r="D108" s="411"/>
      <c r="E108" s="411"/>
      <c r="F108" s="411"/>
    </row>
    <row r="109" spans="1:6">
      <c r="A109" s="410"/>
      <c r="B109" s="410"/>
      <c r="C109" s="410"/>
      <c r="D109" s="411"/>
      <c r="E109" s="411"/>
      <c r="F109" s="411"/>
    </row>
    <row r="110" spans="1:6">
      <c r="A110" s="410"/>
      <c r="B110" s="410"/>
      <c r="C110" s="410"/>
      <c r="D110" s="411"/>
      <c r="E110" s="411"/>
      <c r="F110" s="411"/>
    </row>
    <row r="111" spans="1:6">
      <c r="A111" s="410"/>
      <c r="B111" s="410"/>
      <c r="C111" s="410"/>
      <c r="D111" s="411"/>
      <c r="E111" s="411"/>
      <c r="F111" s="411"/>
    </row>
    <row r="112" spans="1:6">
      <c r="A112" s="410"/>
      <c r="B112" s="410"/>
      <c r="C112" s="410"/>
      <c r="D112" s="411"/>
      <c r="E112" s="411"/>
      <c r="F112" s="411"/>
    </row>
    <row r="113" spans="1:6">
      <c r="A113" s="410"/>
      <c r="B113" s="410"/>
      <c r="C113" s="410"/>
      <c r="D113" s="411"/>
      <c r="E113" s="411"/>
      <c r="F113" s="411"/>
    </row>
    <row r="114" spans="1:6">
      <c r="A114" s="410"/>
      <c r="B114" s="410"/>
      <c r="C114" s="410"/>
      <c r="D114" s="411"/>
      <c r="E114" s="411"/>
      <c r="F114" s="411"/>
    </row>
    <row r="115" spans="1:6">
      <c r="A115" s="410"/>
      <c r="B115" s="410"/>
      <c r="C115" s="410"/>
      <c r="D115" s="411"/>
      <c r="E115" s="411"/>
      <c r="F115" s="411"/>
    </row>
    <row r="116" spans="1:6">
      <c r="A116" s="410"/>
      <c r="B116" s="410"/>
      <c r="C116" s="410"/>
      <c r="D116" s="411"/>
      <c r="E116" s="411"/>
      <c r="F116" s="411"/>
    </row>
    <row r="117" spans="1:6">
      <c r="A117" s="410"/>
      <c r="B117" s="410"/>
      <c r="C117" s="410"/>
      <c r="D117" s="411"/>
      <c r="E117" s="411"/>
      <c r="F117" s="411"/>
    </row>
    <row r="118" spans="1:6">
      <c r="A118" s="410"/>
      <c r="B118" s="410"/>
      <c r="C118" s="410"/>
      <c r="D118" s="411"/>
      <c r="E118" s="411"/>
      <c r="F118" s="411"/>
    </row>
    <row r="119" spans="1:6">
      <c r="A119" s="410"/>
      <c r="B119" s="410"/>
      <c r="C119" s="410"/>
      <c r="D119" s="411"/>
      <c r="E119" s="411"/>
      <c r="F119" s="411"/>
    </row>
    <row r="120" spans="1:6">
      <c r="A120" s="410"/>
      <c r="B120" s="410"/>
      <c r="C120" s="410"/>
      <c r="D120" s="411"/>
      <c r="E120" s="411"/>
      <c r="F120" s="411"/>
    </row>
    <row r="121" spans="1:6">
      <c r="A121" s="410"/>
      <c r="B121" s="410"/>
      <c r="C121" s="410"/>
      <c r="D121" s="411"/>
      <c r="E121" s="411"/>
      <c r="F121" s="411"/>
    </row>
    <row r="122" spans="1:6">
      <c r="A122" s="410"/>
      <c r="B122" s="410"/>
      <c r="C122" s="410"/>
      <c r="D122" s="411"/>
      <c r="E122" s="411"/>
      <c r="F122" s="411"/>
    </row>
    <row r="123" spans="1:6">
      <c r="A123" s="410"/>
      <c r="B123" s="410"/>
      <c r="C123" s="410"/>
      <c r="D123" s="411"/>
      <c r="E123" s="411"/>
      <c r="F123" s="411"/>
    </row>
    <row r="124" spans="1:6">
      <c r="A124" s="410"/>
      <c r="B124" s="410"/>
      <c r="C124" s="410"/>
      <c r="D124" s="411"/>
      <c r="E124" s="411"/>
      <c r="F124" s="411"/>
    </row>
    <row r="125" spans="1:6">
      <c r="A125" s="410"/>
      <c r="B125" s="410"/>
      <c r="C125" s="410"/>
      <c r="D125" s="411"/>
      <c r="E125" s="411"/>
      <c r="F125" s="411"/>
    </row>
    <row r="126" spans="1:6">
      <c r="A126" s="410"/>
      <c r="B126" s="410"/>
      <c r="C126" s="410"/>
      <c r="D126" s="411"/>
      <c r="E126" s="411"/>
      <c r="F126" s="411"/>
    </row>
    <row r="127" spans="1:6">
      <c r="A127" s="410"/>
      <c r="B127" s="410"/>
      <c r="C127" s="410"/>
      <c r="D127" s="411"/>
      <c r="E127" s="411"/>
      <c r="F127" s="411"/>
    </row>
    <row r="128" spans="1:6">
      <c r="A128" s="410"/>
      <c r="B128" s="410"/>
      <c r="C128" s="410"/>
      <c r="D128" s="411"/>
      <c r="E128" s="411"/>
      <c r="F128" s="411"/>
    </row>
    <row r="129" spans="1:6">
      <c r="A129" s="410"/>
      <c r="B129" s="410"/>
      <c r="C129" s="410"/>
      <c r="D129" s="411"/>
      <c r="E129" s="411"/>
      <c r="F129" s="411"/>
    </row>
    <row r="130" spans="1:6">
      <c r="A130" s="410"/>
      <c r="B130" s="410"/>
      <c r="C130" s="410"/>
      <c r="D130" s="411"/>
      <c r="E130" s="411"/>
      <c r="F130" s="411"/>
    </row>
    <row r="131" spans="1:6">
      <c r="A131" s="410"/>
      <c r="B131" s="410"/>
      <c r="C131" s="410"/>
      <c r="D131" s="411"/>
      <c r="E131" s="411"/>
      <c r="F131" s="411"/>
    </row>
    <row r="132" spans="1:6">
      <c r="A132" s="410"/>
      <c r="B132" s="410"/>
      <c r="C132" s="410"/>
      <c r="D132" s="411"/>
      <c r="E132" s="411"/>
      <c r="F132" s="411"/>
    </row>
    <row r="133" spans="1:6">
      <c r="A133" s="410"/>
      <c r="B133" s="410"/>
      <c r="C133" s="410"/>
      <c r="D133" s="411"/>
      <c r="E133" s="411"/>
      <c r="F133" s="411"/>
    </row>
    <row r="134" spans="1:6">
      <c r="A134" s="410"/>
      <c r="B134" s="410"/>
      <c r="C134" s="410"/>
      <c r="D134" s="411"/>
      <c r="E134" s="411"/>
      <c r="F134" s="411"/>
    </row>
    <row r="135" spans="1:6">
      <c r="A135" s="410"/>
      <c r="B135" s="410"/>
      <c r="C135" s="410"/>
      <c r="D135" s="411"/>
      <c r="E135" s="411"/>
      <c r="F135" s="411"/>
    </row>
    <row r="136" spans="1:6">
      <c r="A136" s="410"/>
      <c r="B136" s="410"/>
      <c r="C136" s="410"/>
      <c r="D136" s="411"/>
      <c r="E136" s="411"/>
      <c r="F136" s="411"/>
    </row>
    <row r="137" spans="1:6">
      <c r="A137" s="410"/>
      <c r="B137" s="410"/>
      <c r="C137" s="410"/>
      <c r="D137" s="411"/>
      <c r="E137" s="411"/>
      <c r="F137" s="411"/>
    </row>
    <row r="138" spans="1:6">
      <c r="A138" s="410"/>
      <c r="B138" s="410"/>
      <c r="C138" s="410"/>
      <c r="D138" s="411"/>
      <c r="E138" s="411"/>
      <c r="F138" s="411"/>
    </row>
    <row r="139" spans="1:6">
      <c r="A139" s="410"/>
      <c r="B139" s="410"/>
      <c r="C139" s="410"/>
      <c r="D139" s="411"/>
      <c r="E139" s="411"/>
      <c r="F139" s="411"/>
    </row>
    <row r="140" spans="1:6">
      <c r="A140" s="410"/>
      <c r="B140" s="410"/>
      <c r="C140" s="410"/>
      <c r="D140" s="411"/>
      <c r="E140" s="411"/>
      <c r="F140" s="411"/>
    </row>
    <row r="141" spans="1:6">
      <c r="A141" s="410"/>
      <c r="B141" s="410"/>
      <c r="C141" s="410"/>
      <c r="D141" s="411"/>
      <c r="E141" s="411"/>
      <c r="F141" s="411"/>
    </row>
    <row r="142" spans="1:6">
      <c r="A142" s="410"/>
      <c r="B142" s="410"/>
      <c r="C142" s="410"/>
      <c r="D142" s="411"/>
      <c r="E142" s="411"/>
      <c r="F142" s="411"/>
    </row>
    <row r="143" spans="1:6">
      <c r="A143" s="410"/>
      <c r="B143" s="410"/>
      <c r="C143" s="410"/>
      <c r="D143" s="411"/>
      <c r="E143" s="411"/>
      <c r="F143" s="411"/>
    </row>
    <row r="144" spans="1:6">
      <c r="A144" s="410"/>
      <c r="B144" s="410"/>
      <c r="C144" s="410"/>
      <c r="D144" s="411"/>
      <c r="E144" s="411"/>
      <c r="F144" s="411"/>
    </row>
    <row r="145" spans="1:6">
      <c r="A145" s="410"/>
      <c r="B145" s="410"/>
      <c r="C145" s="410"/>
      <c r="D145" s="411"/>
      <c r="E145" s="411"/>
      <c r="F145" s="411"/>
    </row>
    <row r="146" spans="1:6">
      <c r="A146" s="410"/>
      <c r="B146" s="410"/>
      <c r="C146" s="410"/>
      <c r="D146" s="411"/>
      <c r="E146" s="411"/>
      <c r="F146" s="411"/>
    </row>
    <row r="147" spans="1:6">
      <c r="A147" s="410"/>
      <c r="B147" s="410"/>
      <c r="C147" s="410"/>
      <c r="D147" s="411"/>
      <c r="E147" s="411"/>
      <c r="F147" s="411"/>
    </row>
    <row r="148" spans="1:6">
      <c r="A148" s="410"/>
      <c r="B148" s="410"/>
      <c r="C148" s="410"/>
      <c r="D148" s="411"/>
      <c r="E148" s="411"/>
      <c r="F148" s="478"/>
    </row>
    <row r="149" spans="1:6" ht="18.75">
      <c r="A149" s="410"/>
      <c r="B149" s="470"/>
      <c r="C149" s="470"/>
      <c r="D149" s="478"/>
      <c r="E149" s="478"/>
      <c r="F149" s="478"/>
    </row>
    <row r="150" spans="1:6" ht="18.75">
      <c r="A150" s="410"/>
      <c r="B150" s="470"/>
      <c r="C150" s="470"/>
      <c r="D150" s="478"/>
      <c r="E150" s="478"/>
      <c r="F150" s="478"/>
    </row>
    <row r="151" spans="1:6">
      <c r="A151" s="410"/>
      <c r="D151" s="478"/>
      <c r="E151" s="478"/>
      <c r="F151" s="478"/>
    </row>
    <row r="152" spans="1:6">
      <c r="A152" s="410"/>
      <c r="D152" s="478"/>
      <c r="E152" s="478"/>
      <c r="F152" s="478"/>
    </row>
    <row r="153" spans="1:6" ht="18.75">
      <c r="A153" s="470"/>
      <c r="D153" s="478"/>
      <c r="E153" s="478"/>
      <c r="F153" s="478"/>
    </row>
    <row r="154" spans="1:6" ht="18.75">
      <c r="A154" s="470"/>
      <c r="D154" s="478"/>
      <c r="E154" s="478"/>
      <c r="F154" s="478"/>
    </row>
    <row r="155" spans="1:6">
      <c r="D155" s="478"/>
      <c r="E155" s="478"/>
      <c r="F155" s="478"/>
    </row>
    <row r="156" spans="1:6">
      <c r="D156" s="478"/>
      <c r="E156" s="478"/>
      <c r="F156" s="478"/>
    </row>
    <row r="157" spans="1:6">
      <c r="D157" s="478"/>
      <c r="E157" s="478"/>
      <c r="F157" s="478"/>
    </row>
    <row r="158" spans="1:6">
      <c r="D158" s="478"/>
      <c r="E158" s="478"/>
      <c r="F158" s="478"/>
    </row>
    <row r="159" spans="1:6">
      <c r="D159" s="478"/>
      <c r="E159" s="478"/>
      <c r="F159" s="478"/>
    </row>
    <row r="160" spans="1:6">
      <c r="D160" s="478"/>
      <c r="E160" s="478"/>
      <c r="F160" s="478"/>
    </row>
    <row r="161" spans="4:6">
      <c r="D161" s="478"/>
      <c r="E161" s="478"/>
      <c r="F161" s="478"/>
    </row>
    <row r="162" spans="4:6">
      <c r="D162" s="478"/>
      <c r="E162" s="478"/>
      <c r="F162" s="478"/>
    </row>
    <row r="163" spans="4:6">
      <c r="D163" s="478"/>
      <c r="E163" s="478"/>
      <c r="F163" s="478"/>
    </row>
    <row r="164" spans="4:6">
      <c r="D164" s="478"/>
      <c r="E164" s="478"/>
      <c r="F164" s="478"/>
    </row>
    <row r="165" spans="4:6">
      <c r="D165" s="478"/>
      <c r="E165" s="478"/>
      <c r="F165" s="478"/>
    </row>
    <row r="166" spans="4:6">
      <c r="D166" s="478"/>
      <c r="E166" s="478"/>
      <c r="F166" s="478"/>
    </row>
    <row r="167" spans="4:6">
      <c r="D167" s="478"/>
      <c r="E167" s="478"/>
      <c r="F167" s="478"/>
    </row>
    <row r="168" spans="4:6">
      <c r="D168" s="478"/>
      <c r="E168" s="478"/>
      <c r="F168" s="478"/>
    </row>
    <row r="169" spans="4:6">
      <c r="D169" s="478"/>
      <c r="E169" s="478"/>
      <c r="F169" s="478"/>
    </row>
    <row r="170" spans="4:6">
      <c r="D170" s="478"/>
      <c r="E170" s="478"/>
      <c r="F170" s="478"/>
    </row>
    <row r="171" spans="4:6">
      <c r="D171" s="478"/>
      <c r="E171" s="478"/>
      <c r="F171" s="478"/>
    </row>
    <row r="172" spans="4:6">
      <c r="D172" s="478"/>
      <c r="E172" s="478"/>
      <c r="F172" s="478"/>
    </row>
    <row r="173" spans="4:6">
      <c r="D173" s="478"/>
      <c r="E173" s="478"/>
      <c r="F173" s="478"/>
    </row>
    <row r="174" spans="4:6">
      <c r="D174" s="478"/>
      <c r="E174" s="478"/>
      <c r="F174" s="478"/>
    </row>
    <row r="175" spans="4:6">
      <c r="D175" s="478"/>
      <c r="E175" s="478"/>
      <c r="F175" s="478"/>
    </row>
    <row r="176" spans="4:6">
      <c r="D176" s="478"/>
      <c r="E176" s="478"/>
      <c r="F176" s="478"/>
    </row>
    <row r="177" spans="4:6">
      <c r="D177" s="478"/>
      <c r="E177" s="478"/>
      <c r="F177" s="478"/>
    </row>
    <row r="178" spans="4:6">
      <c r="D178" s="478"/>
      <c r="E178" s="478"/>
      <c r="F178" s="478"/>
    </row>
    <row r="179" spans="4:6">
      <c r="D179" s="478"/>
      <c r="E179" s="478"/>
      <c r="F179" s="478"/>
    </row>
    <row r="180" spans="4:6">
      <c r="D180" s="478"/>
      <c r="E180" s="478"/>
      <c r="F180" s="478"/>
    </row>
    <row r="181" spans="4:6">
      <c r="D181" s="478"/>
      <c r="E181" s="478"/>
      <c r="F181" s="478"/>
    </row>
    <row r="182" spans="4:6">
      <c r="D182" s="478"/>
      <c r="E182" s="478"/>
      <c r="F182" s="478"/>
    </row>
    <row r="183" spans="4:6">
      <c r="D183" s="478"/>
      <c r="E183" s="478"/>
      <c r="F183" s="478"/>
    </row>
    <row r="184" spans="4:6">
      <c r="D184" s="478"/>
      <c r="E184" s="478"/>
      <c r="F184" s="478"/>
    </row>
    <row r="185" spans="4:6">
      <c r="D185" s="478"/>
      <c r="E185" s="478"/>
      <c r="F185" s="478"/>
    </row>
    <row r="186" spans="4:6">
      <c r="D186" s="478"/>
      <c r="E186" s="478"/>
      <c r="F186" s="478"/>
    </row>
    <row r="187" spans="4:6">
      <c r="D187" s="478"/>
      <c r="E187" s="478"/>
      <c r="F187" s="478"/>
    </row>
    <row r="188" spans="4:6">
      <c r="D188" s="478"/>
      <c r="E188" s="478"/>
      <c r="F188" s="478"/>
    </row>
    <row r="189" spans="4:6">
      <c r="D189" s="478"/>
      <c r="E189" s="478"/>
      <c r="F189" s="478"/>
    </row>
    <row r="190" spans="4:6">
      <c r="D190" s="478"/>
      <c r="E190" s="478"/>
      <c r="F190" s="478"/>
    </row>
    <row r="191" spans="4:6">
      <c r="D191" s="478"/>
      <c r="E191" s="478"/>
      <c r="F191" s="478"/>
    </row>
    <row r="192" spans="4:6">
      <c r="D192" s="478"/>
      <c r="E192" s="478"/>
      <c r="F192" s="478"/>
    </row>
    <row r="193" spans="4:6">
      <c r="D193" s="478"/>
      <c r="E193" s="478"/>
      <c r="F193" s="478"/>
    </row>
    <row r="194" spans="4:6">
      <c r="D194" s="478"/>
      <c r="E194" s="478"/>
      <c r="F194" s="478"/>
    </row>
    <row r="195" spans="4:6">
      <c r="D195" s="478"/>
      <c r="E195" s="478"/>
      <c r="F195" s="478"/>
    </row>
    <row r="196" spans="4:6">
      <c r="D196" s="478"/>
      <c r="E196" s="478"/>
      <c r="F196" s="478"/>
    </row>
  </sheetData>
  <mergeCells count="1">
    <mergeCell ref="E4:F4"/>
  </mergeCells>
  <pageMargins left="0.74803149606299202" right="0.17" top="0.74803149606299202" bottom="0.511811023622047" header="0.43307086614173201" footer="0.31496062992126"/>
  <pageSetup paperSize="9" scale="93" firstPageNumber="38" orientation="portrait" r:id="rId1"/>
  <headerFooter alignWithMargins="0">
    <oddHeader>&amp;C&amp;"Times New Roman,Regular"&amp;13&amp;P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selection activeCell="E6" sqref="E6:F6"/>
    </sheetView>
  </sheetViews>
  <sheetFormatPr defaultColWidth="9.140625" defaultRowHeight="12.75"/>
  <cols>
    <col min="1" max="1" width="44.5703125" style="791" customWidth="1"/>
    <col min="2" max="4" width="8.140625" style="791" customWidth="1"/>
    <col min="5" max="5" width="8.85546875" style="791" customWidth="1"/>
    <col min="6" max="6" width="10" style="791" customWidth="1"/>
    <col min="7" max="7" width="9.42578125" style="791" bestFit="1" customWidth="1"/>
    <col min="8" max="16384" width="9.140625" style="791"/>
  </cols>
  <sheetData>
    <row r="1" spans="1:10" ht="20.100000000000001" customHeight="1">
      <c r="A1" s="587" t="s">
        <v>636</v>
      </c>
      <c r="B1" s="790"/>
    </row>
    <row r="2" spans="1:10" ht="20.100000000000001" customHeight="1">
      <c r="A2" s="790"/>
      <c r="B2" s="790"/>
    </row>
    <row r="4" spans="1:10" ht="34.5" customHeight="1">
      <c r="A4" s="792"/>
      <c r="B4" s="793">
        <v>2021</v>
      </c>
      <c r="C4" s="793">
        <v>2022</v>
      </c>
      <c r="D4" s="793">
        <v>2023</v>
      </c>
      <c r="E4" s="793">
        <v>2024</v>
      </c>
      <c r="F4" s="793" t="s">
        <v>637</v>
      </c>
      <c r="G4" s="794"/>
    </row>
    <row r="5" spans="1:10" ht="18.95" customHeight="1"/>
    <row r="6" spans="1:10" ht="18.95" customHeight="1">
      <c r="A6" s="795" t="s">
        <v>638</v>
      </c>
      <c r="B6" s="796">
        <v>98504.4</v>
      </c>
      <c r="C6" s="796">
        <v>99467.926000000007</v>
      </c>
      <c r="D6" s="796">
        <v>100309.20889813695</v>
      </c>
      <c r="E6" s="796">
        <v>101343.75440560922</v>
      </c>
      <c r="F6" s="796">
        <v>102345.32023097017</v>
      </c>
      <c r="G6" s="797"/>
      <c r="H6" s="798"/>
      <c r="I6" s="798"/>
      <c r="J6" s="798"/>
    </row>
    <row r="7" spans="1:10" ht="18.95" customHeight="1">
      <c r="A7" s="799" t="s">
        <v>639</v>
      </c>
      <c r="B7" s="800"/>
      <c r="C7" s="800"/>
      <c r="D7" s="800"/>
      <c r="E7" s="800"/>
      <c r="F7" s="800"/>
      <c r="H7" s="798"/>
      <c r="I7" s="798"/>
      <c r="J7" s="798"/>
    </row>
    <row r="8" spans="1:10" ht="18.95" customHeight="1">
      <c r="A8" s="801" t="s">
        <v>640</v>
      </c>
      <c r="B8" s="800">
        <v>49087.478245775768</v>
      </c>
      <c r="C8" s="800">
        <v>49584.6</v>
      </c>
      <c r="D8" s="800">
        <v>50040.000938151177</v>
      </c>
      <c r="E8" s="800">
        <v>50576.9</v>
      </c>
      <c r="F8" s="800">
        <v>51036.665705298816</v>
      </c>
    </row>
    <row r="9" spans="1:10" ht="18.95" customHeight="1">
      <c r="A9" s="801" t="s">
        <v>641</v>
      </c>
      <c r="B9" s="800">
        <v>49416.891746591813</v>
      </c>
      <c r="C9" s="800">
        <v>49883.271002986963</v>
      </c>
      <c r="D9" s="800">
        <v>50269.206934747541</v>
      </c>
      <c r="E9" s="800">
        <v>50766.90655321833</v>
      </c>
      <c r="F9" s="800">
        <v>51308.6</v>
      </c>
    </row>
    <row r="10" spans="1:10" ht="18.95" customHeight="1">
      <c r="A10" s="799" t="s">
        <v>642</v>
      </c>
      <c r="B10" s="800"/>
      <c r="C10" s="800"/>
      <c r="D10" s="800"/>
      <c r="E10" s="800"/>
      <c r="F10" s="800"/>
    </row>
    <row r="11" spans="1:10" ht="18.95" customHeight="1">
      <c r="A11" s="801" t="s">
        <v>643</v>
      </c>
      <c r="B11" s="800">
        <v>36556.6</v>
      </c>
      <c r="C11" s="800">
        <v>37347.5</v>
      </c>
      <c r="D11" s="800">
        <v>38219.708937159703</v>
      </c>
      <c r="E11" s="800">
        <v>39007.278764035356</v>
      </c>
      <c r="F11" s="800">
        <v>39461.660634430002</v>
      </c>
      <c r="G11" s="802"/>
    </row>
    <row r="12" spans="1:10" ht="18.95" customHeight="1">
      <c r="A12" s="801" t="s">
        <v>644</v>
      </c>
      <c r="B12" s="800">
        <v>61947.8</v>
      </c>
      <c r="C12" s="800">
        <v>62120.370999999999</v>
      </c>
      <c r="D12" s="800">
        <v>62089.488171531113</v>
      </c>
      <c r="E12" s="800">
        <v>62336.475641573845</v>
      </c>
      <c r="F12" s="800">
        <v>62883.6</v>
      </c>
      <c r="G12" s="802"/>
    </row>
    <row r="13" spans="1:10" ht="18.95" customHeight="1">
      <c r="A13" s="803" t="s">
        <v>645</v>
      </c>
      <c r="B13" s="804">
        <v>0.94453871187652994</v>
      </c>
      <c r="C13" s="804">
        <v>0.97815529052510608</v>
      </c>
      <c r="D13" s="804">
        <v>0.84578309005552033</v>
      </c>
      <c r="E13" s="804">
        <v>1.0313564615217348</v>
      </c>
      <c r="F13" s="804">
        <v>0.99</v>
      </c>
      <c r="H13" s="805"/>
      <c r="I13" s="805"/>
    </row>
    <row r="14" spans="1:10" ht="18.95" customHeight="1">
      <c r="A14" s="803" t="s">
        <v>646</v>
      </c>
      <c r="B14" s="800">
        <v>99.368496922609054</v>
      </c>
      <c r="C14" s="800">
        <v>99.489951462152504</v>
      </c>
      <c r="D14" s="800">
        <v>97.793790171562577</v>
      </c>
      <c r="E14" s="800">
        <v>99.6</v>
      </c>
      <c r="F14" s="800">
        <v>99.5</v>
      </c>
      <c r="H14" s="805"/>
      <c r="I14" s="805"/>
    </row>
    <row r="15" spans="1:10" ht="18.95" customHeight="1">
      <c r="A15" s="803" t="s">
        <v>647</v>
      </c>
      <c r="B15" s="800">
        <v>112</v>
      </c>
      <c r="C15" s="800">
        <v>111.55895416334405</v>
      </c>
      <c r="D15" s="800">
        <v>111.8</v>
      </c>
      <c r="E15" s="800">
        <v>111.4</v>
      </c>
      <c r="F15" s="800">
        <v>109</v>
      </c>
    </row>
    <row r="16" spans="1:10" ht="18.95" customHeight="1">
      <c r="A16" s="803" t="s">
        <v>648</v>
      </c>
      <c r="B16" s="800">
        <v>37.111641713466611</v>
      </c>
      <c r="C16" s="800">
        <v>37.547279310920786</v>
      </c>
      <c r="D16" s="800">
        <v>38.101894489040838</v>
      </c>
      <c r="E16" s="800">
        <v>38.490066795745598</v>
      </c>
      <c r="F16" s="800">
        <v>38.6</v>
      </c>
      <c r="G16" s="805"/>
    </row>
    <row r="17" spans="1:8" ht="18.95" customHeight="1">
      <c r="A17" s="803" t="s">
        <v>649</v>
      </c>
      <c r="B17" s="804">
        <v>2.11</v>
      </c>
      <c r="C17" s="804">
        <v>2.0102840160746496</v>
      </c>
      <c r="D17" s="804">
        <v>1.9579498305517327</v>
      </c>
      <c r="E17" s="804">
        <v>1.91</v>
      </c>
      <c r="F17" s="804">
        <v>1.93</v>
      </c>
      <c r="G17" s="805"/>
    </row>
    <row r="18" spans="1:8" ht="18.95" customHeight="1">
      <c r="A18" s="803" t="s">
        <v>650</v>
      </c>
      <c r="B18" s="800">
        <v>15.743427520508945</v>
      </c>
      <c r="C18" s="800">
        <v>15.2</v>
      </c>
      <c r="D18" s="800">
        <v>14.2</v>
      </c>
      <c r="E18" s="800">
        <v>13.5</v>
      </c>
      <c r="F18" s="800">
        <v>13.7</v>
      </c>
      <c r="G18" s="802"/>
    </row>
    <row r="19" spans="1:8" ht="18.95" customHeight="1">
      <c r="A19" s="803" t="s">
        <v>651</v>
      </c>
      <c r="B19" s="800">
        <v>6.3764326008905829</v>
      </c>
      <c r="C19" s="800">
        <v>6.1</v>
      </c>
      <c r="D19" s="800">
        <v>5.7</v>
      </c>
      <c r="E19" s="800">
        <v>5.6</v>
      </c>
      <c r="F19" s="800">
        <v>6.1</v>
      </c>
      <c r="G19" s="802"/>
    </row>
    <row r="20" spans="1:8" ht="18.95" customHeight="1">
      <c r="A20" s="803" t="s">
        <v>652</v>
      </c>
      <c r="B20" s="800">
        <v>13.64523133637574</v>
      </c>
      <c r="C20" s="800">
        <v>12.091374955566337</v>
      </c>
      <c r="D20" s="800">
        <v>11.6</v>
      </c>
      <c r="E20" s="800">
        <v>11.3</v>
      </c>
      <c r="F20" s="800">
        <v>11.2</v>
      </c>
      <c r="G20" s="802"/>
    </row>
    <row r="21" spans="1:8" ht="18.95" customHeight="1">
      <c r="A21" s="803" t="s">
        <v>653</v>
      </c>
      <c r="B21" s="800">
        <v>20.472551991181668</v>
      </c>
      <c r="C21" s="800">
        <v>18.929616862789427</v>
      </c>
      <c r="D21" s="800">
        <v>17.353488519050693</v>
      </c>
      <c r="E21" s="800">
        <v>16.895924457149526</v>
      </c>
      <c r="F21" s="800">
        <v>16.7</v>
      </c>
      <c r="G21" s="802"/>
    </row>
    <row r="22" spans="1:8" ht="18.95" customHeight="1">
      <c r="A22" s="803" t="s">
        <v>654</v>
      </c>
      <c r="B22" s="800">
        <v>73.642039079200032</v>
      </c>
      <c r="C22" s="800">
        <v>73.642039079200032</v>
      </c>
      <c r="D22" s="800">
        <v>74.500869738545262</v>
      </c>
      <c r="E22" s="800">
        <v>74.7</v>
      </c>
      <c r="F22" s="800">
        <v>74.7</v>
      </c>
      <c r="G22" s="802"/>
    </row>
    <row r="23" spans="1:8">
      <c r="A23" s="806"/>
    </row>
    <row r="24" spans="1:8">
      <c r="C24" s="802"/>
      <c r="D24" s="802"/>
      <c r="E24" s="802"/>
      <c r="F24" s="802"/>
      <c r="G24" s="807"/>
      <c r="H24" s="807"/>
    </row>
    <row r="25" spans="1:8">
      <c r="C25" s="802"/>
      <c r="D25" s="802"/>
      <c r="E25" s="802"/>
      <c r="F25" s="802"/>
    </row>
    <row r="26" spans="1:8">
      <c r="C26" s="802"/>
      <c r="D26" s="802"/>
      <c r="E26" s="802"/>
      <c r="F26" s="802"/>
    </row>
  </sheetData>
  <pageMargins left="0.74803149606299202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8"/>
  <sheetViews>
    <sheetView workbookViewId="0">
      <selection activeCell="L15" sqref="L15"/>
    </sheetView>
  </sheetViews>
  <sheetFormatPr defaultColWidth="9.140625" defaultRowHeight="12.75"/>
  <cols>
    <col min="1" max="1" width="40.42578125" style="791" customWidth="1"/>
    <col min="2" max="3" width="9.5703125" style="791" customWidth="1"/>
    <col min="4" max="4" width="8.140625" style="791" customWidth="1"/>
    <col min="5" max="6" width="9.5703125" style="791" customWidth="1"/>
    <col min="7" max="16384" width="9.140625" style="791"/>
  </cols>
  <sheetData>
    <row r="1" spans="1:13" ht="18" customHeight="1">
      <c r="A1" s="587" t="s">
        <v>655</v>
      </c>
      <c r="B1" s="587"/>
      <c r="G1" s="790"/>
      <c r="H1" s="790"/>
    </row>
    <row r="2" spans="1:13" ht="18" customHeight="1">
      <c r="A2" s="808"/>
      <c r="B2" s="790"/>
      <c r="G2" s="790"/>
      <c r="H2" s="790"/>
    </row>
    <row r="3" spans="1:13" ht="18" customHeight="1">
      <c r="A3" s="809"/>
    </row>
    <row r="4" spans="1:13" ht="18" customHeight="1">
      <c r="A4" s="792"/>
      <c r="B4" s="342" t="s">
        <v>656</v>
      </c>
      <c r="C4" s="342" t="s">
        <v>295</v>
      </c>
      <c r="D4" s="342" t="s">
        <v>42</v>
      </c>
      <c r="E4" s="342" t="s">
        <v>43</v>
      </c>
      <c r="F4" s="342" t="s">
        <v>142</v>
      </c>
    </row>
    <row r="5" spans="1:13" ht="18" customHeight="1">
      <c r="A5" s="809"/>
      <c r="B5" s="344" t="s">
        <v>41</v>
      </c>
      <c r="C5" s="344" t="s">
        <v>41</v>
      </c>
      <c r="D5" s="344" t="s">
        <v>41</v>
      </c>
      <c r="E5" s="344" t="s">
        <v>41</v>
      </c>
      <c r="F5" s="344" t="s">
        <v>41</v>
      </c>
    </row>
    <row r="6" spans="1:13" ht="18" customHeight="1">
      <c r="A6" s="809"/>
      <c r="B6" s="810">
        <v>2025</v>
      </c>
      <c r="C6" s="810">
        <v>2025</v>
      </c>
      <c r="D6" s="810">
        <v>2025</v>
      </c>
      <c r="E6" s="810">
        <v>2025</v>
      </c>
      <c r="F6" s="810">
        <v>2025</v>
      </c>
    </row>
    <row r="7" spans="1:13" ht="18" customHeight="1">
      <c r="A7" s="809"/>
      <c r="G7" s="806"/>
    </row>
    <row r="8" spans="1:13" ht="18" customHeight="1">
      <c r="A8" s="809"/>
      <c r="B8" s="965" t="s">
        <v>657</v>
      </c>
      <c r="C8" s="965"/>
      <c r="D8" s="965"/>
      <c r="E8" s="965"/>
      <c r="F8" s="965"/>
      <c r="G8" s="811"/>
      <c r="I8" s="811"/>
      <c r="J8" s="812"/>
      <c r="K8" s="802"/>
      <c r="L8" s="811"/>
      <c r="M8" s="813"/>
    </row>
    <row r="9" spans="1:13" ht="18" customHeight="1">
      <c r="A9" s="814" t="s">
        <v>658</v>
      </c>
      <c r="B9" s="815">
        <v>52924.2</v>
      </c>
      <c r="C9" s="816">
        <v>53094</v>
      </c>
      <c r="D9" s="816">
        <v>53356.219599999997</v>
      </c>
      <c r="E9" s="816">
        <v>53844.890319999999</v>
      </c>
      <c r="F9" s="816">
        <v>53531.800999999999</v>
      </c>
      <c r="G9" s="811"/>
      <c r="H9" s="802"/>
      <c r="I9" s="817"/>
      <c r="J9" s="812"/>
      <c r="K9" s="802"/>
      <c r="L9" s="811"/>
      <c r="M9" s="813"/>
    </row>
    <row r="10" spans="1:13" ht="18" customHeight="1">
      <c r="A10" s="818" t="s">
        <v>639</v>
      </c>
      <c r="B10" s="819"/>
      <c r="C10" s="820"/>
      <c r="D10" s="820"/>
      <c r="E10" s="820"/>
      <c r="F10" s="820"/>
      <c r="G10" s="811"/>
      <c r="I10" s="811"/>
      <c r="J10" s="812"/>
      <c r="K10" s="802"/>
      <c r="L10" s="811"/>
      <c r="M10" s="813"/>
    </row>
    <row r="11" spans="1:13" ht="18" customHeight="1">
      <c r="A11" s="821" t="s">
        <v>659</v>
      </c>
      <c r="B11" s="820">
        <v>28313.9</v>
      </c>
      <c r="C11" s="820">
        <v>28397</v>
      </c>
      <c r="D11" s="820">
        <v>28496.326980000002</v>
      </c>
      <c r="E11" s="820">
        <v>28705.705600000001</v>
      </c>
      <c r="F11" s="820">
        <v>28466.000789999998</v>
      </c>
      <c r="G11" s="811"/>
      <c r="I11" s="811"/>
      <c r="J11" s="812"/>
      <c r="K11" s="802"/>
      <c r="L11" s="811"/>
      <c r="M11" s="813"/>
    </row>
    <row r="12" spans="1:13" ht="18" customHeight="1">
      <c r="A12" s="821" t="s">
        <v>660</v>
      </c>
      <c r="B12" s="820">
        <v>24610.3</v>
      </c>
      <c r="C12" s="820">
        <v>24697</v>
      </c>
      <c r="D12" s="820">
        <v>24859.892619999999</v>
      </c>
      <c r="E12" s="820">
        <v>25139.184720000001</v>
      </c>
      <c r="F12" s="820">
        <v>25065.800210000001</v>
      </c>
      <c r="G12" s="811"/>
      <c r="I12" s="811"/>
      <c r="J12" s="812"/>
      <c r="K12" s="802"/>
      <c r="L12" s="811"/>
      <c r="M12" s="813"/>
    </row>
    <row r="13" spans="1:13" ht="18" customHeight="1">
      <c r="A13" s="818" t="s">
        <v>661</v>
      </c>
      <c r="B13" s="822"/>
      <c r="C13" s="820"/>
      <c r="D13" s="820"/>
      <c r="E13" s="820"/>
      <c r="F13" s="820"/>
      <c r="G13" s="811"/>
      <c r="I13" s="811"/>
      <c r="J13" s="812"/>
      <c r="K13" s="802"/>
      <c r="L13" s="811"/>
      <c r="M13" s="813"/>
    </row>
    <row r="14" spans="1:13" ht="18" customHeight="1">
      <c r="A14" s="821" t="s">
        <v>662</v>
      </c>
      <c r="B14" s="820">
        <v>20470.5</v>
      </c>
      <c r="C14" s="820">
        <v>20661.2</v>
      </c>
      <c r="D14" s="820">
        <v>20886.68795</v>
      </c>
      <c r="E14" s="820">
        <v>21209.614549999998</v>
      </c>
      <c r="F14" s="820">
        <v>20930.037530000001</v>
      </c>
      <c r="G14" s="811"/>
      <c r="I14" s="811"/>
      <c r="J14" s="812"/>
      <c r="K14" s="802"/>
      <c r="L14" s="811"/>
      <c r="M14" s="813"/>
    </row>
    <row r="15" spans="1:13" ht="18" customHeight="1">
      <c r="A15" s="821" t="s">
        <v>663</v>
      </c>
      <c r="B15" s="820">
        <v>32453.7</v>
      </c>
      <c r="C15" s="823">
        <v>32432.799999999999</v>
      </c>
      <c r="D15" s="823">
        <v>32469.531660000001</v>
      </c>
      <c r="E15" s="823">
        <v>32635.27577</v>
      </c>
      <c r="F15" s="823">
        <v>32601.763480000001</v>
      </c>
      <c r="G15" s="811"/>
      <c r="I15" s="811"/>
      <c r="J15" s="812"/>
      <c r="K15" s="802"/>
      <c r="L15" s="811"/>
      <c r="M15" s="813"/>
    </row>
    <row r="16" spans="1:13" ht="18" customHeight="1">
      <c r="A16" s="795" t="s">
        <v>664</v>
      </c>
      <c r="B16" s="816">
        <v>51855.12638908004</v>
      </c>
      <c r="C16" s="816">
        <v>51993.718848239449</v>
      </c>
      <c r="D16" s="816">
        <v>52267.830750000001</v>
      </c>
      <c r="E16" s="816">
        <v>52745.312330000001</v>
      </c>
      <c r="F16" s="816">
        <v>52438.565999999999</v>
      </c>
      <c r="G16" s="811"/>
      <c r="I16" s="811"/>
      <c r="J16" s="812"/>
      <c r="K16" s="802"/>
      <c r="L16" s="811"/>
      <c r="M16" s="813"/>
    </row>
    <row r="17" spans="1:13" ht="18" customHeight="1">
      <c r="A17" s="821" t="s">
        <v>665</v>
      </c>
      <c r="B17" s="820">
        <v>13480.5</v>
      </c>
      <c r="C17" s="820">
        <v>13484.454100726462</v>
      </c>
      <c r="D17" s="820">
        <v>13357.044146075576</v>
      </c>
      <c r="E17" s="820">
        <v>13397.615627361753</v>
      </c>
      <c r="F17" s="820">
        <v>13476.4</v>
      </c>
      <c r="G17" s="824"/>
      <c r="I17" s="811"/>
      <c r="J17" s="812"/>
      <c r="K17" s="802"/>
      <c r="L17" s="811"/>
      <c r="M17" s="813"/>
    </row>
    <row r="18" spans="1:13" ht="18" customHeight="1">
      <c r="A18" s="821" t="s">
        <v>666</v>
      </c>
      <c r="B18" s="820">
        <v>17254.94605061398</v>
      </c>
      <c r="C18" s="820">
        <v>17275.018521436072</v>
      </c>
      <c r="D18" s="820">
        <v>17577.082535976337</v>
      </c>
      <c r="E18" s="820">
        <v>17806.821325033859</v>
      </c>
      <c r="F18" s="820">
        <v>17549.000505586439</v>
      </c>
      <c r="G18" s="824"/>
      <c r="I18" s="811"/>
      <c r="J18" s="812"/>
      <c r="K18" s="802"/>
      <c r="L18" s="811"/>
      <c r="M18" s="813"/>
    </row>
    <row r="19" spans="1:13" ht="18" customHeight="1">
      <c r="A19" s="821" t="s">
        <v>491</v>
      </c>
      <c r="B19" s="820">
        <v>21119.736562494072</v>
      </c>
      <c r="C19" s="820">
        <v>21234.24622607803</v>
      </c>
      <c r="D19" s="820">
        <v>21333.704069009342</v>
      </c>
      <c r="E19" s="820">
        <v>21540.875376947683</v>
      </c>
      <c r="F19" s="820">
        <v>21413.230273035508</v>
      </c>
      <c r="G19" s="824"/>
      <c r="I19" s="811"/>
      <c r="J19" s="812"/>
      <c r="K19" s="802"/>
      <c r="L19" s="811"/>
      <c r="M19" s="813"/>
    </row>
    <row r="20" spans="1:13" ht="18" customHeight="1">
      <c r="A20" s="821"/>
      <c r="B20" s="821"/>
      <c r="C20" s="820"/>
      <c r="D20" s="820"/>
      <c r="E20" s="820"/>
      <c r="F20" s="820"/>
      <c r="G20" s="811"/>
      <c r="I20" s="811"/>
      <c r="J20" s="812"/>
      <c r="K20" s="802"/>
      <c r="L20" s="811"/>
      <c r="M20" s="813"/>
    </row>
    <row r="21" spans="1:13" ht="18" customHeight="1">
      <c r="A21" s="821"/>
      <c r="B21" s="965" t="s">
        <v>667</v>
      </c>
      <c r="C21" s="965"/>
      <c r="D21" s="965"/>
      <c r="E21" s="965"/>
      <c r="F21" s="965"/>
      <c r="G21" s="811"/>
      <c r="I21" s="811"/>
      <c r="J21" s="812"/>
      <c r="K21" s="802"/>
      <c r="L21" s="811"/>
      <c r="M21" s="813"/>
    </row>
    <row r="22" spans="1:13" ht="18" customHeight="1">
      <c r="A22" s="821"/>
      <c r="B22" s="821"/>
      <c r="C22" s="820"/>
      <c r="D22" s="820"/>
      <c r="E22" s="820"/>
      <c r="F22" s="820"/>
      <c r="G22" s="811"/>
      <c r="I22" s="811"/>
      <c r="J22" s="812"/>
      <c r="K22" s="802"/>
      <c r="L22" s="811"/>
      <c r="M22" s="813"/>
    </row>
    <row r="23" spans="1:13" ht="18" customHeight="1">
      <c r="A23" s="814" t="s">
        <v>658</v>
      </c>
      <c r="B23" s="815">
        <v>100</v>
      </c>
      <c r="C23" s="816">
        <v>100</v>
      </c>
      <c r="D23" s="816">
        <v>100</v>
      </c>
      <c r="E23" s="816">
        <v>100</v>
      </c>
      <c r="F23" s="816">
        <v>100</v>
      </c>
      <c r="G23" s="811"/>
      <c r="I23" s="817"/>
      <c r="J23" s="812"/>
      <c r="K23" s="802"/>
      <c r="L23" s="811"/>
      <c r="M23" s="813"/>
    </row>
    <row r="24" spans="1:13" ht="18" customHeight="1">
      <c r="A24" s="825" t="s">
        <v>639</v>
      </c>
      <c r="B24" s="822"/>
      <c r="C24" s="820"/>
      <c r="D24" s="820"/>
      <c r="E24" s="820"/>
      <c r="F24" s="820"/>
      <c r="G24" s="811"/>
      <c r="I24" s="811"/>
      <c r="J24" s="812"/>
      <c r="K24" s="802"/>
      <c r="L24" s="811"/>
      <c r="M24" s="813"/>
    </row>
    <row r="25" spans="1:13" ht="18" customHeight="1">
      <c r="A25" s="821" t="s">
        <v>659</v>
      </c>
      <c r="B25" s="820">
        <f>+B11/B9*100</f>
        <v>53.498966446351581</v>
      </c>
      <c r="C25" s="820">
        <f t="shared" ref="C25:F25" si="0">+C11/C9*100</f>
        <v>53.48438618299619</v>
      </c>
      <c r="D25" s="820">
        <f t="shared" si="0"/>
        <v>53.407694910979039</v>
      </c>
      <c r="E25" s="820">
        <f t="shared" si="0"/>
        <v>53.311847102672303</v>
      </c>
      <c r="F25" s="820">
        <f t="shared" si="0"/>
        <v>53.175869778788119</v>
      </c>
      <c r="G25" s="811"/>
      <c r="I25" s="811"/>
      <c r="J25" s="812"/>
      <c r="K25" s="802"/>
      <c r="L25" s="811"/>
      <c r="M25" s="813"/>
    </row>
    <row r="26" spans="1:13" ht="18" customHeight="1">
      <c r="A26" s="821" t="s">
        <v>660</v>
      </c>
      <c r="B26" s="820">
        <f>+B12/B9*100</f>
        <v>46.501033553648426</v>
      </c>
      <c r="C26" s="820">
        <f t="shared" ref="C26:F26" si="1">+C12/C9*100</f>
        <v>46.515613817003803</v>
      </c>
      <c r="D26" s="820">
        <f t="shared" si="1"/>
        <v>46.592305089020961</v>
      </c>
      <c r="E26" s="820">
        <f t="shared" si="1"/>
        <v>46.688152897327697</v>
      </c>
      <c r="F26" s="820">
        <f t="shared" si="1"/>
        <v>46.824130221211874</v>
      </c>
      <c r="G26" s="811"/>
      <c r="I26" s="811"/>
      <c r="J26" s="812"/>
      <c r="K26" s="802"/>
      <c r="L26" s="811"/>
      <c r="M26" s="813"/>
    </row>
    <row r="27" spans="1:13" ht="18" customHeight="1">
      <c r="A27" s="825" t="s">
        <v>661</v>
      </c>
      <c r="B27" s="822"/>
      <c r="C27" s="822"/>
      <c r="D27" s="822"/>
      <c r="E27" s="822"/>
      <c r="F27" s="822"/>
      <c r="G27" s="811"/>
      <c r="I27" s="811"/>
      <c r="J27" s="812"/>
      <c r="K27" s="802"/>
      <c r="L27" s="811"/>
      <c r="M27" s="813"/>
    </row>
    <row r="28" spans="1:13" ht="18" customHeight="1">
      <c r="A28" s="821" t="s">
        <v>662</v>
      </c>
      <c r="B28" s="820">
        <f>+B14/B9*100</f>
        <v>38.678903034906533</v>
      </c>
      <c r="C28" s="820">
        <f t="shared" ref="C28:F28" si="2">+C14/C9*100</f>
        <v>38.914378272497835</v>
      </c>
      <c r="D28" s="820">
        <f t="shared" si="2"/>
        <v>39.145741783400261</v>
      </c>
      <c r="E28" s="820">
        <f t="shared" si="2"/>
        <v>39.390208474659957</v>
      </c>
      <c r="F28" s="820">
        <f t="shared" si="2"/>
        <v>39.098324993773332</v>
      </c>
      <c r="G28" s="811"/>
      <c r="I28" s="811"/>
      <c r="J28" s="812"/>
      <c r="K28" s="802"/>
      <c r="L28" s="811"/>
      <c r="M28" s="813"/>
    </row>
    <row r="29" spans="1:13" ht="18" customHeight="1">
      <c r="A29" s="821" t="s">
        <v>663</v>
      </c>
      <c r="B29" s="820">
        <f>+B15/B9*100</f>
        <v>61.321096965093481</v>
      </c>
      <c r="C29" s="820">
        <f t="shared" ref="C29:F29" si="3">+C15/C9*100</f>
        <v>61.085621727502158</v>
      </c>
      <c r="D29" s="820">
        <f t="shared" si="3"/>
        <v>60.854258235341696</v>
      </c>
      <c r="E29" s="820">
        <f t="shared" si="3"/>
        <v>60.609791525340043</v>
      </c>
      <c r="F29" s="820">
        <f t="shared" si="3"/>
        <v>60.901675024907163</v>
      </c>
      <c r="G29" s="811"/>
      <c r="I29" s="811"/>
      <c r="J29" s="812"/>
      <c r="K29" s="802"/>
      <c r="L29" s="811"/>
      <c r="M29" s="813"/>
    </row>
    <row r="30" spans="1:13" ht="18" customHeight="1">
      <c r="A30" s="795" t="s">
        <v>664</v>
      </c>
      <c r="B30" s="826">
        <v>100</v>
      </c>
      <c r="C30" s="816">
        <v>100</v>
      </c>
      <c r="D30" s="816">
        <v>100</v>
      </c>
      <c r="E30" s="816">
        <v>100</v>
      </c>
      <c r="F30" s="816">
        <v>100</v>
      </c>
      <c r="G30" s="811"/>
      <c r="I30" s="811"/>
      <c r="J30" s="812"/>
      <c r="K30" s="802"/>
      <c r="L30" s="811"/>
      <c r="M30" s="813"/>
    </row>
    <row r="31" spans="1:13" ht="18" customHeight="1">
      <c r="A31" s="821" t="s">
        <v>665</v>
      </c>
      <c r="B31" s="827">
        <f>+B17/B16*100</f>
        <v>25.996465419547803</v>
      </c>
      <c r="C31" s="827">
        <f t="shared" ref="C31:F31" si="4">+C17/C16*100</f>
        <v>25.934775198683557</v>
      </c>
      <c r="D31" s="827">
        <f t="shared" si="4"/>
        <v>25.55499999600725</v>
      </c>
      <c r="E31" s="827">
        <f t="shared" si="4"/>
        <v>25.40058070666041</v>
      </c>
      <c r="F31" s="827">
        <f t="shared" si="4"/>
        <v>25.699406044017298</v>
      </c>
      <c r="G31" s="811"/>
      <c r="I31" s="811"/>
      <c r="J31" s="812"/>
      <c r="K31" s="802"/>
      <c r="L31" s="811"/>
      <c r="M31" s="813"/>
    </row>
    <row r="32" spans="1:13" ht="18" customHeight="1">
      <c r="A32" s="821" t="s">
        <v>666</v>
      </c>
      <c r="B32" s="827">
        <f>+B18/B16*100</f>
        <v>33.27529456036121</v>
      </c>
      <c r="C32" s="827">
        <f t="shared" ref="C32:F32" si="5">+C18/C16*100</f>
        <v>33.225202782395357</v>
      </c>
      <c r="D32" s="827">
        <f t="shared" si="5"/>
        <v>33.628873216584246</v>
      </c>
      <c r="E32" s="827">
        <f t="shared" si="5"/>
        <v>33.760007360703135</v>
      </c>
      <c r="F32" s="827">
        <f t="shared" si="5"/>
        <v>33.465828385899108</v>
      </c>
      <c r="G32" s="811"/>
      <c r="I32" s="811"/>
      <c r="J32" s="812"/>
      <c r="K32" s="802"/>
      <c r="L32" s="811"/>
      <c r="M32" s="813"/>
    </row>
    <row r="33" spans="1:6" ht="18" customHeight="1">
      <c r="A33" s="821" t="s">
        <v>491</v>
      </c>
      <c r="B33" s="827">
        <f>+B19/B16*100</f>
        <v>40.728348445297769</v>
      </c>
      <c r="C33" s="827">
        <v>40.9</v>
      </c>
      <c r="D33" s="827">
        <f t="shared" ref="D33:F33" si="6">+D19/D16*100</f>
        <v>40.816126789438918</v>
      </c>
      <c r="E33" s="827">
        <f t="shared" si="6"/>
        <v>40.839411931391403</v>
      </c>
      <c r="F33" s="827">
        <f t="shared" si="6"/>
        <v>40.834889102489015</v>
      </c>
    </row>
    <row r="34" spans="1:6" ht="18" customHeight="1"/>
    <row r="35" spans="1:6" ht="18" customHeight="1">
      <c r="A35" s="809"/>
    </row>
    <row r="36" spans="1:6" ht="18" customHeight="1"/>
    <row r="37" spans="1:6" ht="18" customHeight="1"/>
    <row r="38" spans="1:6" ht="18" customHeight="1"/>
    <row r="39" spans="1:6" ht="18" customHeight="1"/>
    <row r="40" spans="1:6" ht="18" customHeight="1"/>
    <row r="41" spans="1:6" ht="18" customHeight="1"/>
    <row r="42" spans="1:6" ht="18" customHeight="1"/>
    <row r="43" spans="1:6" ht="18" customHeight="1"/>
    <row r="44" spans="1:6" ht="18" customHeight="1"/>
    <row r="45" spans="1:6" ht="18" customHeight="1"/>
    <row r="46" spans="1:6" ht="18" customHeight="1"/>
    <row r="47" spans="1:6" ht="18" customHeight="1"/>
    <row r="48" spans="1:6" ht="18" customHeight="1"/>
  </sheetData>
  <mergeCells count="2">
    <mergeCell ref="B8:F8"/>
    <mergeCell ref="B21:F21"/>
  </mergeCells>
  <pageMargins left="0.74803149606299202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>
      <selection activeCell="L15" sqref="L15"/>
    </sheetView>
  </sheetViews>
  <sheetFormatPr defaultColWidth="9.140625" defaultRowHeight="12.75"/>
  <cols>
    <col min="1" max="1" width="50.5703125" style="831" customWidth="1"/>
    <col min="2" max="4" width="11.140625" style="831" customWidth="1"/>
    <col min="5" max="16384" width="9.140625" style="831"/>
  </cols>
  <sheetData>
    <row r="1" spans="1:8" ht="20.100000000000001" customHeight="1">
      <c r="A1" s="828" t="s">
        <v>668</v>
      </c>
      <c r="B1" s="829"/>
      <c r="C1" s="829"/>
      <c r="D1" s="829"/>
      <c r="E1" s="830"/>
      <c r="F1" s="830"/>
      <c r="G1" s="830"/>
      <c r="H1" s="830"/>
    </row>
    <row r="2" spans="1:8" ht="18" customHeight="1">
      <c r="A2" s="829"/>
      <c r="B2" s="829"/>
      <c r="C2" s="829"/>
      <c r="D2" s="829"/>
      <c r="E2" s="830"/>
      <c r="F2" s="830"/>
      <c r="G2" s="830"/>
      <c r="H2" s="830"/>
    </row>
    <row r="3" spans="1:8" ht="20.100000000000001" customHeight="1">
      <c r="A3" s="832"/>
      <c r="B3" s="832"/>
      <c r="C3" s="832"/>
      <c r="D3" s="833" t="s">
        <v>82</v>
      </c>
    </row>
    <row r="4" spans="1:8" ht="20.100000000000001" customHeight="1">
      <c r="A4" s="834"/>
      <c r="B4" s="966" t="s">
        <v>669</v>
      </c>
      <c r="C4" s="968" t="s">
        <v>670</v>
      </c>
      <c r="D4" s="968"/>
    </row>
    <row r="5" spans="1:8" ht="20.100000000000001" customHeight="1">
      <c r="B5" s="967"/>
      <c r="C5" s="835" t="s">
        <v>671</v>
      </c>
      <c r="D5" s="835" t="s">
        <v>663</v>
      </c>
    </row>
    <row r="6" spans="1:8" ht="20.100000000000001" customHeight="1"/>
    <row r="7" spans="1:8" ht="20.100000000000001" customHeight="1">
      <c r="A7" s="836" t="s">
        <v>672</v>
      </c>
    </row>
    <row r="8" spans="1:8" ht="20.100000000000001" customHeight="1">
      <c r="A8" s="837" t="s">
        <v>673</v>
      </c>
      <c r="B8" s="838">
        <v>2.2000000000000002</v>
      </c>
      <c r="C8" s="838">
        <v>2.38</v>
      </c>
      <c r="D8" s="838">
        <v>2.0699999999999998</v>
      </c>
    </row>
    <row r="9" spans="1:8" ht="20.100000000000001" customHeight="1">
      <c r="A9" s="837" t="s">
        <v>674</v>
      </c>
      <c r="B9" s="838">
        <v>2.24458</v>
      </c>
      <c r="C9" s="838">
        <v>2.4900000000000002</v>
      </c>
      <c r="D9" s="838">
        <v>2.0802700000000001</v>
      </c>
    </row>
    <row r="10" spans="1:8" ht="20.100000000000001" customHeight="1">
      <c r="A10" s="837" t="s">
        <v>675</v>
      </c>
      <c r="B10" s="838">
        <v>2.2123499999999998</v>
      </c>
      <c r="C10" s="838">
        <v>2.76457</v>
      </c>
      <c r="D10" s="838">
        <v>1.83694</v>
      </c>
    </row>
    <row r="11" spans="1:8" ht="20.100000000000001" customHeight="1">
      <c r="A11" s="837" t="s">
        <v>676</v>
      </c>
      <c r="B11" s="838">
        <v>2.2193700000000001</v>
      </c>
      <c r="C11" s="838">
        <v>2.0402900000000002</v>
      </c>
      <c r="D11" s="838">
        <v>2.0549599999999999</v>
      </c>
    </row>
    <row r="12" spans="1:8" ht="20.100000000000001" customHeight="1">
      <c r="A12" s="837" t="s">
        <v>677</v>
      </c>
      <c r="B12" s="838">
        <v>2.2179700000000002</v>
      </c>
      <c r="C12" s="838">
        <v>2.51403</v>
      </c>
      <c r="D12" s="838">
        <v>2.0178500000000001</v>
      </c>
    </row>
    <row r="13" spans="1:8" ht="20.100000000000001" customHeight="1">
      <c r="A13" s="832"/>
      <c r="B13" s="839"/>
      <c r="C13" s="839"/>
      <c r="D13" s="839"/>
    </row>
    <row r="14" spans="1:8" ht="20.100000000000001" customHeight="1">
      <c r="A14" s="836" t="s">
        <v>678</v>
      </c>
    </row>
    <row r="15" spans="1:8" ht="20.100000000000001" customHeight="1">
      <c r="A15" s="837" t="s">
        <v>673</v>
      </c>
      <c r="B15" s="838">
        <v>7.93</v>
      </c>
      <c r="C15" s="838">
        <v>11.06</v>
      </c>
      <c r="D15" s="838">
        <v>6.32</v>
      </c>
    </row>
    <row r="16" spans="1:8" ht="20.100000000000001" customHeight="1">
      <c r="A16" s="837" t="s">
        <v>674</v>
      </c>
      <c r="B16" s="838">
        <v>8.1948799999999995</v>
      </c>
      <c r="C16" s="838">
        <v>10.225569999999999</v>
      </c>
      <c r="D16" s="838">
        <v>7.0629200000000001</v>
      </c>
    </row>
    <row r="17" spans="1:4" ht="20.100000000000001" customHeight="1">
      <c r="A17" s="837" t="s">
        <v>675</v>
      </c>
      <c r="B17" s="838">
        <v>8.9767299999999999</v>
      </c>
      <c r="C17" s="838">
        <v>12.58136</v>
      </c>
      <c r="D17" s="838">
        <v>6.7998900000000004</v>
      </c>
    </row>
    <row r="18" spans="1:4" ht="20.100000000000001" customHeight="1">
      <c r="A18" s="837" t="s">
        <v>676</v>
      </c>
      <c r="B18" s="838">
        <v>9.0378399999999992</v>
      </c>
      <c r="C18" s="838">
        <v>11.11684</v>
      </c>
      <c r="D18" s="838">
        <v>7.8054300000000003</v>
      </c>
    </row>
    <row r="19" spans="1:4" ht="20.100000000000001" customHeight="1">
      <c r="A19" s="837" t="s">
        <v>677</v>
      </c>
      <c r="B19" s="838">
        <v>8.6431900000000006</v>
      </c>
      <c r="C19" s="838">
        <v>11.234310000000001</v>
      </c>
      <c r="D19" s="838">
        <v>7.0877800000000004</v>
      </c>
    </row>
    <row r="20" spans="1:4" ht="20.100000000000001" customHeight="1">
      <c r="A20" s="837"/>
      <c r="B20" s="839"/>
      <c r="C20" s="839"/>
      <c r="D20" s="839"/>
    </row>
    <row r="21" spans="1:4" ht="20.100000000000001" customHeight="1">
      <c r="A21" s="836" t="s">
        <v>679</v>
      </c>
      <c r="B21" s="839"/>
      <c r="C21" s="840"/>
      <c r="D21" s="840"/>
    </row>
    <row r="22" spans="1:4" ht="20.100000000000001" customHeight="1">
      <c r="A22" s="837" t="s">
        <v>673</v>
      </c>
      <c r="B22" s="838">
        <v>1.72</v>
      </c>
      <c r="C22" s="838">
        <v>0.98</v>
      </c>
      <c r="D22" s="838">
        <v>2.21</v>
      </c>
    </row>
    <row r="23" spans="1:4" ht="20.100000000000001" customHeight="1">
      <c r="A23" s="837" t="s">
        <v>674</v>
      </c>
      <c r="B23" s="838">
        <v>1.7257</v>
      </c>
      <c r="C23" s="838">
        <v>1.4696199999999999</v>
      </c>
      <c r="D23" s="838">
        <v>1.89642</v>
      </c>
    </row>
    <row r="24" spans="1:4" ht="20.100000000000001" customHeight="1">
      <c r="A24" s="837" t="s">
        <v>675</v>
      </c>
      <c r="B24" s="838">
        <v>1.495726032226055</v>
      </c>
      <c r="C24" s="838">
        <v>1.2655147173543557</v>
      </c>
      <c r="D24" s="838">
        <v>1.6507493812293526</v>
      </c>
    </row>
    <row r="25" spans="1:4" ht="20.100000000000001" customHeight="1">
      <c r="A25" s="837" t="s">
        <v>676</v>
      </c>
      <c r="B25" s="838">
        <v>1.6702404701397371</v>
      </c>
      <c r="C25" s="838">
        <v>1.2713578925321034</v>
      </c>
      <c r="D25" s="838">
        <v>1.9417487597857823</v>
      </c>
    </row>
    <row r="26" spans="1:4" ht="20.100000000000001" customHeight="1">
      <c r="A26" s="837" t="s">
        <v>677</v>
      </c>
      <c r="B26" s="838">
        <v>1.6549880194461779</v>
      </c>
      <c r="C26" s="838">
        <v>1.2467475758347561</v>
      </c>
      <c r="D26" s="838">
        <v>1.9295338780777886</v>
      </c>
    </row>
    <row r="27" spans="1:4" ht="20.100000000000001" customHeight="1">
      <c r="A27" s="832"/>
      <c r="B27" s="832"/>
      <c r="C27" s="832"/>
      <c r="D27" s="832"/>
    </row>
  </sheetData>
  <mergeCells count="2">
    <mergeCell ref="B4:B5"/>
    <mergeCell ref="C4:D4"/>
  </mergeCells>
  <pageMargins left="0.74803149606299202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workbookViewId="0">
      <selection activeCell="L15" sqref="L15"/>
    </sheetView>
  </sheetViews>
  <sheetFormatPr defaultColWidth="9.140625" defaultRowHeight="12.75"/>
  <cols>
    <col min="1" max="1" width="28.28515625" style="831" customWidth="1"/>
    <col min="2" max="4" width="11.140625" style="791" customWidth="1"/>
    <col min="5" max="16384" width="9.140625" style="831"/>
  </cols>
  <sheetData>
    <row r="1" spans="1:6" ht="20.100000000000001" customHeight="1">
      <c r="A1" s="828" t="s">
        <v>680</v>
      </c>
      <c r="B1" s="808"/>
      <c r="C1" s="808"/>
      <c r="D1" s="808"/>
      <c r="E1" s="830"/>
    </row>
    <row r="2" spans="1:6" ht="18" customHeight="1">
      <c r="A2" s="829"/>
      <c r="B2" s="808"/>
      <c r="C2" s="808"/>
      <c r="D2" s="808"/>
      <c r="E2" s="830"/>
    </row>
    <row r="3" spans="1:6" ht="20.100000000000001" customHeight="1">
      <c r="A3" s="832"/>
      <c r="B3" s="809"/>
      <c r="C3" s="809"/>
      <c r="F3" s="841" t="s">
        <v>82</v>
      </c>
    </row>
    <row r="4" spans="1:6" ht="20.100000000000001" customHeight="1">
      <c r="A4" s="834"/>
      <c r="B4" s="342" t="s">
        <v>656</v>
      </c>
      <c r="C4" s="342" t="s">
        <v>295</v>
      </c>
      <c r="D4" s="342" t="s">
        <v>42</v>
      </c>
      <c r="E4" s="342" t="s">
        <v>43</v>
      </c>
      <c r="F4" s="342" t="s">
        <v>142</v>
      </c>
    </row>
    <row r="5" spans="1:6" ht="20.100000000000001" customHeight="1">
      <c r="B5" s="344" t="s">
        <v>41</v>
      </c>
      <c r="C5" s="344" t="s">
        <v>41</v>
      </c>
      <c r="D5" s="344" t="s">
        <v>41</v>
      </c>
      <c r="E5" s="344" t="s">
        <v>41</v>
      </c>
      <c r="F5" s="344" t="s">
        <v>41</v>
      </c>
    </row>
    <row r="6" spans="1:6" ht="20.100000000000001" customHeight="1">
      <c r="B6" s="810">
        <v>2025</v>
      </c>
      <c r="C6" s="810">
        <v>2025</v>
      </c>
      <c r="D6" s="810">
        <v>2025</v>
      </c>
      <c r="E6" s="810">
        <v>2025</v>
      </c>
      <c r="F6" s="810">
        <v>2025</v>
      </c>
    </row>
    <row r="7" spans="1:6" ht="20.100000000000001" customHeight="1">
      <c r="B7" s="794"/>
      <c r="C7" s="794"/>
      <c r="D7" s="794"/>
    </row>
    <row r="8" spans="1:6" ht="21.95" customHeight="1">
      <c r="A8" s="842" t="s">
        <v>681</v>
      </c>
      <c r="B8" s="843">
        <v>64.3</v>
      </c>
      <c r="C8" s="843">
        <v>63.493099999999998</v>
      </c>
      <c r="D8" s="843">
        <v>62.535620000000002</v>
      </c>
      <c r="E8" s="843">
        <v>61.920589999999997</v>
      </c>
      <c r="F8" s="843">
        <v>63.077849999999998</v>
      </c>
    </row>
    <row r="9" spans="1:6" ht="21.95" customHeight="1">
      <c r="A9" s="818" t="s">
        <v>639</v>
      </c>
      <c r="B9" s="844"/>
      <c r="C9" s="844"/>
      <c r="D9" s="844"/>
    </row>
    <row r="10" spans="1:6" ht="21.95" customHeight="1">
      <c r="A10" s="821" t="s">
        <v>659</v>
      </c>
      <c r="B10" s="844">
        <v>67.5</v>
      </c>
      <c r="C10" s="844">
        <v>66.890469999999993</v>
      </c>
      <c r="D10" s="844">
        <v>65.883129999999994</v>
      </c>
      <c r="E10" s="844">
        <v>65.24427</v>
      </c>
      <c r="F10" s="844">
        <v>66.418790000000001</v>
      </c>
    </row>
    <row r="11" spans="1:6" ht="21.95" customHeight="1">
      <c r="A11" s="821" t="s">
        <v>660</v>
      </c>
      <c r="B11" s="844">
        <v>60.6</v>
      </c>
      <c r="C11" s="844">
        <v>59.58934</v>
      </c>
      <c r="D11" s="844">
        <v>58.692590000000003</v>
      </c>
      <c r="E11" s="844">
        <v>58.115409999999997</v>
      </c>
      <c r="F11" s="844">
        <v>59.280529999999999</v>
      </c>
    </row>
    <row r="12" spans="1:6" ht="21.95" customHeight="1">
      <c r="A12" s="818" t="s">
        <v>661</v>
      </c>
      <c r="B12" s="844"/>
      <c r="C12" s="844"/>
      <c r="D12" s="844"/>
    </row>
    <row r="13" spans="1:6" ht="21.95" customHeight="1">
      <c r="A13" s="821" t="s">
        <v>662</v>
      </c>
      <c r="B13" s="844">
        <v>48.6</v>
      </c>
      <c r="C13" s="844">
        <v>47.449840000000002</v>
      </c>
      <c r="D13" s="844">
        <v>46.348909999999997</v>
      </c>
      <c r="E13" s="845">
        <v>46.201270000000001</v>
      </c>
      <c r="F13" s="845">
        <v>47.043689999999998</v>
      </c>
    </row>
    <row r="14" spans="1:6" ht="21.95" customHeight="1">
      <c r="A14" s="821" t="s">
        <v>663</v>
      </c>
      <c r="B14" s="844">
        <v>74.2</v>
      </c>
      <c r="C14" s="844">
        <v>73.661230000000003</v>
      </c>
      <c r="D14" s="844">
        <v>72.849789999999999</v>
      </c>
      <c r="E14" s="845">
        <v>72.096590000000006</v>
      </c>
      <c r="F14" s="845">
        <v>73.317689999999999</v>
      </c>
    </row>
    <row r="15" spans="1:6" ht="6.75" customHeight="1">
      <c r="A15" s="846"/>
      <c r="B15" s="847"/>
      <c r="C15" s="847"/>
      <c r="D15" s="847"/>
    </row>
    <row r="16" spans="1:6" ht="21.95" customHeight="1">
      <c r="A16" s="831" t="s">
        <v>682</v>
      </c>
      <c r="B16" s="844"/>
      <c r="C16" s="844"/>
      <c r="D16" s="844"/>
    </row>
    <row r="17" spans="2:4" ht="21.95" customHeight="1">
      <c r="B17" s="844"/>
      <c r="C17" s="844"/>
      <c r="D17" s="844"/>
    </row>
    <row r="18" spans="2:4" ht="21.95" customHeight="1">
      <c r="B18" s="843"/>
      <c r="C18" s="843"/>
      <c r="D18" s="843"/>
    </row>
    <row r="19" spans="2:4" ht="21.95" customHeight="1">
      <c r="B19" s="844"/>
      <c r="C19" s="844"/>
      <c r="D19" s="844"/>
    </row>
    <row r="20" spans="2:4" ht="21.95" customHeight="1">
      <c r="B20" s="844"/>
      <c r="C20" s="844"/>
      <c r="D20" s="844"/>
    </row>
    <row r="21" spans="2:4">
      <c r="B21" s="844"/>
      <c r="C21" s="844"/>
      <c r="D21" s="844"/>
    </row>
    <row r="22" spans="2:4" ht="15">
      <c r="B22" s="809"/>
      <c r="C22" s="809"/>
      <c r="D22" s="820"/>
    </row>
    <row r="23" spans="2:4">
      <c r="B23" s="965"/>
      <c r="C23" s="965"/>
      <c r="D23" s="965"/>
    </row>
    <row r="24" spans="2:4">
      <c r="B24" s="820"/>
      <c r="C24" s="820"/>
      <c r="D24" s="820"/>
    </row>
    <row r="25" spans="2:4">
      <c r="B25" s="843"/>
      <c r="C25" s="843"/>
      <c r="D25" s="843"/>
    </row>
    <row r="26" spans="2:4">
      <c r="B26" s="844"/>
      <c r="C26" s="844"/>
      <c r="D26" s="844"/>
    </row>
    <row r="27" spans="2:4">
      <c r="B27" s="844"/>
      <c r="C27" s="844"/>
      <c r="D27" s="844"/>
    </row>
    <row r="28" spans="2:4">
      <c r="B28" s="844"/>
      <c r="C28" s="844"/>
      <c r="D28" s="844"/>
    </row>
    <row r="29" spans="2:4">
      <c r="B29" s="844"/>
      <c r="C29" s="844"/>
      <c r="D29" s="844"/>
    </row>
    <row r="30" spans="2:4">
      <c r="B30" s="844"/>
      <c r="C30" s="844"/>
      <c r="D30" s="844"/>
    </row>
    <row r="31" spans="2:4">
      <c r="B31" s="844"/>
      <c r="C31" s="844"/>
      <c r="D31" s="844"/>
    </row>
    <row r="32" spans="2:4">
      <c r="B32" s="843"/>
      <c r="C32" s="843"/>
      <c r="D32" s="843"/>
    </row>
    <row r="33" spans="2:4">
      <c r="B33" s="844"/>
      <c r="C33" s="844"/>
      <c r="D33" s="844"/>
    </row>
    <row r="34" spans="2:4">
      <c r="B34" s="844"/>
      <c r="C34" s="844"/>
      <c r="D34" s="844"/>
    </row>
    <row r="35" spans="2:4">
      <c r="B35" s="844"/>
      <c r="C35" s="844"/>
      <c r="D35" s="844"/>
    </row>
    <row r="36" spans="2:4" ht="15">
      <c r="B36" s="809"/>
      <c r="C36" s="809"/>
      <c r="D36" s="809"/>
    </row>
  </sheetData>
  <mergeCells count="1">
    <mergeCell ref="B23:D23"/>
  </mergeCells>
  <pageMargins left="0.74803149606299202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workbookViewId="0">
      <selection activeCell="L15" sqref="L15"/>
    </sheetView>
  </sheetViews>
  <sheetFormatPr defaultColWidth="10.28515625" defaultRowHeight="15"/>
  <cols>
    <col min="1" max="1" width="2.28515625" style="910" customWidth="1"/>
    <col min="2" max="2" width="30.5703125" style="910" customWidth="1"/>
    <col min="3" max="3" width="16.7109375" style="910" customWidth="1"/>
    <col min="4" max="7" width="11" style="910" customWidth="1"/>
    <col min="8" max="16384" width="10.28515625" style="910"/>
  </cols>
  <sheetData>
    <row r="1" spans="1:7" s="907" customFormat="1" ht="21.75" customHeight="1">
      <c r="A1" s="906" t="s">
        <v>726</v>
      </c>
      <c r="B1" s="906"/>
      <c r="C1" s="906"/>
      <c r="D1" s="906"/>
      <c r="E1" s="906"/>
      <c r="F1" s="906"/>
      <c r="G1" s="906"/>
    </row>
    <row r="2" spans="1:7" s="907" customFormat="1" ht="21.75" customHeight="1">
      <c r="A2" s="906"/>
      <c r="B2" s="906"/>
      <c r="C2" s="906"/>
      <c r="D2" s="906"/>
      <c r="E2" s="906"/>
      <c r="F2" s="906"/>
      <c r="G2" s="906"/>
    </row>
    <row r="3" spans="1:7">
      <c r="A3" s="908"/>
      <c r="B3" s="909"/>
      <c r="C3" s="909"/>
      <c r="D3" s="909"/>
      <c r="E3" s="909"/>
      <c r="F3" s="909"/>
      <c r="G3" s="909"/>
    </row>
    <row r="4" spans="1:7" ht="19.5" customHeight="1">
      <c r="A4" s="911"/>
      <c r="B4" s="912"/>
      <c r="C4" s="913" t="s">
        <v>141</v>
      </c>
      <c r="D4" s="969" t="s">
        <v>86</v>
      </c>
      <c r="E4" s="969"/>
      <c r="F4" s="969"/>
      <c r="G4" s="969"/>
    </row>
    <row r="5" spans="1:7" ht="19.5" customHeight="1">
      <c r="A5" s="914"/>
      <c r="B5" s="909"/>
      <c r="C5" s="915" t="s">
        <v>143</v>
      </c>
      <c r="D5" s="915" t="s">
        <v>295</v>
      </c>
      <c r="E5" s="915" t="s">
        <v>42</v>
      </c>
      <c r="F5" s="915" t="s">
        <v>43</v>
      </c>
      <c r="G5" s="915" t="s">
        <v>727</v>
      </c>
    </row>
    <row r="6" spans="1:7" ht="18" customHeight="1">
      <c r="A6" s="914"/>
      <c r="B6" s="909"/>
      <c r="C6" s="916"/>
      <c r="D6" s="916"/>
      <c r="E6" s="916"/>
      <c r="F6" s="916"/>
      <c r="G6" s="916"/>
    </row>
    <row r="7" spans="1:7" ht="18" customHeight="1">
      <c r="A7" s="917" t="s">
        <v>728</v>
      </c>
      <c r="B7" s="918"/>
      <c r="C7" s="919"/>
      <c r="D7" s="920"/>
      <c r="E7" s="920"/>
      <c r="F7" s="920"/>
      <c r="G7" s="920"/>
    </row>
    <row r="8" spans="1:7" ht="18" customHeight="1">
      <c r="A8" s="918"/>
      <c r="B8" s="919" t="s">
        <v>729</v>
      </c>
      <c r="C8" s="921" t="s">
        <v>730</v>
      </c>
      <c r="D8" s="922">
        <v>4608</v>
      </c>
      <c r="E8" s="922">
        <v>4494</v>
      </c>
      <c r="F8" s="922">
        <v>4613</v>
      </c>
      <c r="G8" s="922">
        <v>18371</v>
      </c>
    </row>
    <row r="9" spans="1:7" ht="18" customHeight="1">
      <c r="A9" s="918"/>
      <c r="B9" s="919" t="s">
        <v>731</v>
      </c>
      <c r="C9" s="921" t="s">
        <v>732</v>
      </c>
      <c r="D9" s="922">
        <v>2718</v>
      </c>
      <c r="E9" s="922">
        <v>2529</v>
      </c>
      <c r="F9" s="922">
        <v>2510</v>
      </c>
      <c r="G9" s="922">
        <v>10337</v>
      </c>
    </row>
    <row r="10" spans="1:7" ht="18" customHeight="1">
      <c r="A10" s="918"/>
      <c r="B10" s="919" t="s">
        <v>733</v>
      </c>
      <c r="C10" s="921" t="s">
        <v>150</v>
      </c>
      <c r="D10" s="922">
        <v>3011</v>
      </c>
      <c r="E10" s="922">
        <v>2967</v>
      </c>
      <c r="F10" s="922">
        <v>3115</v>
      </c>
      <c r="G10" s="922">
        <v>12197</v>
      </c>
    </row>
    <row r="11" spans="1:7" ht="18" customHeight="1">
      <c r="A11" s="917" t="s">
        <v>734</v>
      </c>
      <c r="B11" s="918"/>
      <c r="C11" s="921"/>
      <c r="D11" s="923"/>
      <c r="E11" s="923"/>
      <c r="F11" s="923"/>
      <c r="G11" s="922"/>
    </row>
    <row r="12" spans="1:7" ht="18" customHeight="1">
      <c r="A12" s="918"/>
      <c r="B12" s="919" t="s">
        <v>735</v>
      </c>
      <c r="C12" s="921" t="s">
        <v>730</v>
      </c>
      <c r="D12" s="923">
        <v>783</v>
      </c>
      <c r="E12" s="923">
        <v>747</v>
      </c>
      <c r="F12" s="923">
        <v>712</v>
      </c>
      <c r="G12" s="922">
        <v>3182</v>
      </c>
    </row>
    <row r="13" spans="1:7" ht="18" customHeight="1">
      <c r="A13" s="918"/>
      <c r="B13" s="924" t="s">
        <v>731</v>
      </c>
      <c r="C13" s="921" t="s">
        <v>732</v>
      </c>
      <c r="D13" s="923">
        <v>29</v>
      </c>
      <c r="E13" s="923">
        <v>36</v>
      </c>
      <c r="F13" s="923">
        <v>25</v>
      </c>
      <c r="G13" s="922">
        <v>108</v>
      </c>
    </row>
    <row r="14" spans="1:7" ht="18" customHeight="1">
      <c r="A14" s="918"/>
      <c r="B14" s="924" t="s">
        <v>733</v>
      </c>
      <c r="C14" s="921" t="s">
        <v>150</v>
      </c>
      <c r="D14" s="923">
        <v>52</v>
      </c>
      <c r="E14" s="923">
        <v>22</v>
      </c>
      <c r="F14" s="923">
        <v>38</v>
      </c>
      <c r="G14" s="922">
        <v>135</v>
      </c>
    </row>
    <row r="15" spans="1:7" ht="18" customHeight="1">
      <c r="A15" s="918"/>
      <c r="B15" s="919" t="s">
        <v>736</v>
      </c>
      <c r="C15" s="921" t="s">
        <v>274</v>
      </c>
      <c r="D15" s="925">
        <v>200.82000000000002</v>
      </c>
      <c r="E15" s="925">
        <v>77.989999999999995</v>
      </c>
      <c r="F15" s="925">
        <v>309.57</v>
      </c>
      <c r="G15" s="926">
        <v>548.53</v>
      </c>
    </row>
    <row r="16" spans="1:7" ht="18" customHeight="1">
      <c r="A16" s="927" t="s">
        <v>737</v>
      </c>
      <c r="B16" s="919"/>
      <c r="C16" s="921"/>
      <c r="D16" s="923"/>
      <c r="E16" s="923"/>
      <c r="F16" s="923"/>
      <c r="G16" s="922"/>
    </row>
    <row r="17" spans="1:7" ht="18" customHeight="1">
      <c r="A17" s="918"/>
      <c r="B17" s="919" t="s">
        <v>738</v>
      </c>
      <c r="C17" s="921" t="s">
        <v>730</v>
      </c>
      <c r="D17" s="928">
        <v>2535</v>
      </c>
      <c r="E17" s="928">
        <v>3338</v>
      </c>
      <c r="F17" s="928">
        <v>4669</v>
      </c>
      <c r="G17" s="929">
        <v>16280</v>
      </c>
    </row>
    <row r="18" spans="1:7" ht="18" customHeight="1">
      <c r="A18" s="917"/>
      <c r="B18" s="918" t="s">
        <v>739</v>
      </c>
      <c r="C18" s="921" t="s">
        <v>150</v>
      </c>
      <c r="D18" s="928">
        <v>2258</v>
      </c>
      <c r="E18" s="928">
        <v>2890</v>
      </c>
      <c r="F18" s="928">
        <v>3994</v>
      </c>
      <c r="G18" s="929">
        <v>14302</v>
      </c>
    </row>
    <row r="19" spans="1:7" ht="18" customHeight="1">
      <c r="A19" s="918"/>
      <c r="B19" s="919" t="s">
        <v>740</v>
      </c>
      <c r="C19" s="921" t="s">
        <v>274</v>
      </c>
      <c r="D19" s="925">
        <v>45.05097</v>
      </c>
      <c r="E19" s="925">
        <v>49.438541999999998</v>
      </c>
      <c r="F19" s="925">
        <v>75.662787000000009</v>
      </c>
      <c r="G19" s="926">
        <v>240.8</v>
      </c>
    </row>
    <row r="20" spans="1:7" ht="18" customHeight="1">
      <c r="A20" s="927" t="s">
        <v>741</v>
      </c>
      <c r="B20" s="919"/>
      <c r="C20" s="921"/>
      <c r="D20" s="923"/>
      <c r="E20" s="923"/>
      <c r="F20" s="923"/>
      <c r="G20" s="922"/>
    </row>
    <row r="21" spans="1:7" ht="18" customHeight="1">
      <c r="A21" s="918"/>
      <c r="B21" s="919" t="s">
        <v>742</v>
      </c>
      <c r="C21" s="921" t="s">
        <v>732</v>
      </c>
      <c r="D21" s="928">
        <v>71</v>
      </c>
      <c r="E21" s="928">
        <v>112</v>
      </c>
      <c r="F21" s="928">
        <v>300</v>
      </c>
      <c r="G21" s="929">
        <v>489</v>
      </c>
    </row>
    <row r="22" spans="1:7" ht="18" customHeight="1">
      <c r="A22" s="918"/>
      <c r="B22" s="919" t="s">
        <v>733</v>
      </c>
      <c r="C22" s="921" t="s">
        <v>150</v>
      </c>
      <c r="D22" s="923">
        <v>49</v>
      </c>
      <c r="E22" s="923">
        <v>246</v>
      </c>
      <c r="F22" s="923">
        <v>499</v>
      </c>
      <c r="G22" s="922">
        <v>800</v>
      </c>
    </row>
    <row r="23" spans="1:7" ht="18" customHeight="1">
      <c r="A23" s="918"/>
      <c r="B23" s="919" t="s">
        <v>743</v>
      </c>
      <c r="C23" s="921" t="s">
        <v>744</v>
      </c>
      <c r="D23" s="925">
        <v>75073.962</v>
      </c>
      <c r="E23" s="925">
        <v>210040.76399999997</v>
      </c>
      <c r="F23" s="925">
        <v>96771.689999999988</v>
      </c>
      <c r="G23" s="926">
        <v>386567.08999999997</v>
      </c>
    </row>
    <row r="24" spans="1:7" ht="18" customHeight="1">
      <c r="A24" s="918"/>
      <c r="B24" s="919" t="s">
        <v>745</v>
      </c>
      <c r="C24" s="921" t="s">
        <v>150</v>
      </c>
      <c r="D24" s="925">
        <v>7906.8399999999983</v>
      </c>
      <c r="E24" s="925">
        <v>35051.802000000003</v>
      </c>
      <c r="F24" s="925">
        <v>130024.50999999998</v>
      </c>
      <c r="G24" s="926">
        <v>174004.20799999998</v>
      </c>
    </row>
    <row r="25" spans="1:7" ht="18" customHeight="1">
      <c r="A25" s="918"/>
      <c r="B25" s="919" t="s">
        <v>746</v>
      </c>
      <c r="C25" s="921" t="s">
        <v>747</v>
      </c>
      <c r="D25" s="928">
        <v>132</v>
      </c>
      <c r="E25" s="928">
        <v>1651</v>
      </c>
      <c r="F25" s="928">
        <v>4131</v>
      </c>
      <c r="G25" s="929">
        <v>5922</v>
      </c>
    </row>
    <row r="26" spans="1:7" ht="18" customHeight="1">
      <c r="A26" s="917"/>
      <c r="B26" s="918" t="s">
        <v>748</v>
      </c>
      <c r="C26" s="921" t="s">
        <v>150</v>
      </c>
      <c r="D26" s="928">
        <v>4911</v>
      </c>
      <c r="E26" s="928">
        <v>31322</v>
      </c>
      <c r="F26" s="928">
        <v>297942</v>
      </c>
      <c r="G26" s="929">
        <v>334321</v>
      </c>
    </row>
    <row r="27" spans="1:7" ht="18" customHeight="1">
      <c r="A27" s="918"/>
      <c r="B27" s="919" t="s">
        <v>736</v>
      </c>
      <c r="C27" s="921" t="s">
        <v>274</v>
      </c>
      <c r="D27" s="925">
        <v>1881.86599</v>
      </c>
      <c r="E27" s="925">
        <v>16034.376797200001</v>
      </c>
      <c r="F27" s="925">
        <v>84658.421570000006</v>
      </c>
      <c r="G27" s="926">
        <v>102665.33312720001</v>
      </c>
    </row>
    <row r="28" spans="1:7">
      <c r="A28" s="914"/>
      <c r="B28" s="914"/>
      <c r="C28" s="914"/>
      <c r="D28" s="914"/>
      <c r="E28" s="914"/>
      <c r="F28" s="914"/>
    </row>
    <row r="29" spans="1:7">
      <c r="A29" s="914"/>
      <c r="B29" s="914"/>
      <c r="C29" s="914"/>
      <c r="D29" s="914"/>
      <c r="E29" s="914"/>
      <c r="F29" s="914"/>
    </row>
    <row r="30" spans="1:7" ht="15.75">
      <c r="A30" s="914"/>
      <c r="B30" s="930"/>
      <c r="C30" s="914"/>
      <c r="D30" s="914"/>
      <c r="E30" s="914"/>
      <c r="F30" s="914"/>
    </row>
    <row r="31" spans="1:7">
      <c r="A31" s="914"/>
      <c r="B31" s="914"/>
      <c r="C31" s="914"/>
      <c r="D31" s="914"/>
      <c r="E31" s="914"/>
      <c r="F31" s="914"/>
    </row>
    <row r="32" spans="1:7">
      <c r="A32" s="914"/>
      <c r="B32" s="914"/>
      <c r="C32" s="914"/>
      <c r="D32" s="914"/>
      <c r="E32" s="914"/>
      <c r="F32" s="914"/>
    </row>
    <row r="33" spans="1:6">
      <c r="A33" s="914"/>
      <c r="B33" s="914"/>
      <c r="C33" s="914"/>
      <c r="D33" s="914"/>
      <c r="E33" s="914"/>
      <c r="F33" s="914"/>
    </row>
    <row r="34" spans="1:6">
      <c r="A34" s="914"/>
      <c r="B34" s="914"/>
      <c r="C34" s="914"/>
      <c r="D34" s="914"/>
      <c r="E34" s="914"/>
      <c r="F34" s="914"/>
    </row>
    <row r="35" spans="1:6">
      <c r="A35" s="914"/>
      <c r="B35" s="914"/>
      <c r="C35" s="914"/>
      <c r="D35" s="914"/>
      <c r="E35" s="914"/>
      <c r="F35" s="914"/>
    </row>
    <row r="36" spans="1:6">
      <c r="A36" s="914"/>
      <c r="B36" s="914"/>
      <c r="C36" s="914"/>
      <c r="D36" s="914"/>
      <c r="E36" s="914"/>
      <c r="F36" s="914"/>
    </row>
    <row r="37" spans="1:6">
      <c r="A37" s="914"/>
      <c r="B37" s="914"/>
      <c r="C37" s="914"/>
      <c r="D37" s="914"/>
      <c r="E37" s="914"/>
      <c r="F37" s="914"/>
    </row>
    <row r="38" spans="1:6">
      <c r="A38" s="914"/>
      <c r="B38" s="914"/>
      <c r="C38" s="914"/>
      <c r="D38" s="914"/>
      <c r="E38" s="914"/>
      <c r="F38" s="914"/>
    </row>
    <row r="39" spans="1:6">
      <c r="A39" s="914"/>
      <c r="B39" s="914"/>
      <c r="C39" s="914"/>
      <c r="D39" s="914"/>
      <c r="E39" s="914"/>
      <c r="F39" s="914"/>
    </row>
    <row r="40" spans="1:6">
      <c r="A40" s="914"/>
      <c r="B40" s="914"/>
      <c r="C40" s="914"/>
      <c r="D40" s="914"/>
      <c r="E40" s="914"/>
      <c r="F40" s="914"/>
    </row>
    <row r="41" spans="1:6">
      <c r="A41" s="914"/>
      <c r="B41" s="914"/>
      <c r="C41" s="914"/>
      <c r="D41" s="914"/>
      <c r="E41" s="914"/>
      <c r="F41" s="914"/>
    </row>
    <row r="42" spans="1:6">
      <c r="A42" s="914"/>
      <c r="B42" s="914"/>
      <c r="C42" s="914"/>
      <c r="D42" s="914"/>
      <c r="E42" s="914"/>
      <c r="F42" s="914"/>
    </row>
    <row r="43" spans="1:6">
      <c r="A43" s="914"/>
      <c r="B43" s="914"/>
      <c r="C43" s="914"/>
      <c r="D43" s="914"/>
      <c r="E43" s="914"/>
      <c r="F43" s="914"/>
    </row>
    <row r="44" spans="1:6">
      <c r="A44" s="914"/>
      <c r="B44" s="914"/>
      <c r="C44" s="914"/>
      <c r="D44" s="914"/>
      <c r="E44" s="914"/>
      <c r="F44" s="914"/>
    </row>
    <row r="45" spans="1:6">
      <c r="A45" s="914"/>
      <c r="B45" s="914"/>
      <c r="C45" s="914"/>
      <c r="D45" s="914"/>
      <c r="E45" s="914"/>
      <c r="F45" s="914"/>
    </row>
    <row r="46" spans="1:6">
      <c r="A46" s="914"/>
      <c r="B46" s="914"/>
      <c r="C46" s="914"/>
      <c r="D46" s="914"/>
      <c r="E46" s="914"/>
      <c r="F46" s="914"/>
    </row>
    <row r="47" spans="1:6">
      <c r="A47" s="914"/>
      <c r="B47" s="914"/>
      <c r="C47" s="914"/>
      <c r="D47" s="914"/>
      <c r="E47" s="914"/>
      <c r="F47" s="914"/>
    </row>
    <row r="48" spans="1:6">
      <c r="A48" s="914"/>
      <c r="B48" s="914"/>
      <c r="C48" s="914"/>
      <c r="D48" s="914"/>
      <c r="E48" s="914"/>
      <c r="F48" s="914"/>
    </row>
    <row r="49" spans="1:6">
      <c r="A49" s="914"/>
      <c r="B49" s="914"/>
      <c r="C49" s="914"/>
      <c r="D49" s="914"/>
      <c r="E49" s="914"/>
      <c r="F49" s="914"/>
    </row>
    <row r="50" spans="1:6">
      <c r="A50" s="914"/>
      <c r="B50" s="914"/>
      <c r="C50" s="914"/>
      <c r="D50" s="914"/>
      <c r="E50" s="914"/>
      <c r="F50" s="914"/>
    </row>
    <row r="51" spans="1:6">
      <c r="A51" s="914"/>
      <c r="B51" s="914"/>
      <c r="C51" s="914"/>
      <c r="D51" s="914"/>
      <c r="E51" s="914"/>
      <c r="F51" s="914"/>
    </row>
    <row r="52" spans="1:6">
      <c r="A52" s="914"/>
      <c r="B52" s="914"/>
      <c r="C52" s="914"/>
      <c r="D52" s="914"/>
      <c r="E52" s="914"/>
      <c r="F52" s="914"/>
    </row>
  </sheetData>
  <mergeCells count="1">
    <mergeCell ref="D4:G4"/>
  </mergeCells>
  <pageMargins left="0.54" right="0.17" top="0.74803149606299202" bottom="0.511811023622047" header="0.43307086614173201" footer="0.31496062992126"/>
  <pageSetup paperSize="9" firstPageNumber="37" orientation="portrait" r:id="rId1"/>
  <headerFooter alignWithMargins="0">
    <oddHeader>&amp;C&amp;"Times New Roman,Regular"&amp;13&amp;P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1.GDP HH</vt:lpstr>
      <vt:lpstr>2. GDP SS</vt:lpstr>
      <vt:lpstr>3.Tien do</vt:lpstr>
      <vt:lpstr>4. Cay trong chu yeu</vt:lpstr>
      <vt:lpstr>5.Cay CN hang nam</vt:lpstr>
      <vt:lpstr>6.Cay lau nam</vt:lpstr>
      <vt:lpstr>7.Chan nuoi</vt:lpstr>
      <vt:lpstr>8. Lam nghiep</vt:lpstr>
      <vt:lpstr>9.Thuy san</vt:lpstr>
      <vt:lpstr>10.IIPthang</vt:lpstr>
      <vt:lpstr>11.IIPquy</vt:lpstr>
      <vt:lpstr>12.SPCNthang</vt:lpstr>
      <vt:lpstr>13.SPCNquy</vt:lpstr>
      <vt:lpstr>14.CS TT TK</vt:lpstr>
      <vt:lpstr>15.LĐCN</vt:lpstr>
      <vt:lpstr>16. LĐCN_DP</vt:lpstr>
      <vt:lpstr>17. Chi tieu DN</vt:lpstr>
      <vt:lpstr>18. DN DK thanh lap</vt:lpstr>
      <vt:lpstr>19. DN quay lai hoat dong</vt:lpstr>
      <vt:lpstr>20. DN Ngừng có thời hạn</vt:lpstr>
      <vt:lpstr>21. DN giải thể</vt:lpstr>
      <vt:lpstr>22.VĐT</vt:lpstr>
      <vt:lpstr>23.VĐT NSNN</vt:lpstr>
      <vt:lpstr>24.VĐT NSNN quý</vt:lpstr>
      <vt:lpstr>25.FDI</vt:lpstr>
      <vt:lpstr>26.Tongmuc</vt:lpstr>
      <vt:lpstr>27.TM_Quy</vt:lpstr>
      <vt:lpstr>28.XK tháng</vt:lpstr>
      <vt:lpstr>29.NK tháng</vt:lpstr>
      <vt:lpstr>30.XK quý</vt:lpstr>
      <vt:lpstr>31.NK quý</vt:lpstr>
      <vt:lpstr>32.XNK Dich vu</vt:lpstr>
      <vt:lpstr>33.CPI</vt:lpstr>
      <vt:lpstr>34.Gia SX</vt:lpstr>
      <vt:lpstr>35.Gia Van tai</vt:lpstr>
      <vt:lpstr>36.Gia NVL</vt:lpstr>
      <vt:lpstr>37.Gia XK</vt:lpstr>
      <vt:lpstr>38.Gia NK</vt:lpstr>
      <vt:lpstr>39.TygiaTM</vt:lpstr>
      <vt:lpstr>40.Van tai HK</vt:lpstr>
      <vt:lpstr>41.Van tai HK quy</vt:lpstr>
      <vt:lpstr>42. VT HH</vt:lpstr>
      <vt:lpstr>43.Van tai HH quy</vt:lpstr>
      <vt:lpstr>44.KQT</vt:lpstr>
      <vt:lpstr>45.KQT quy</vt:lpstr>
      <vt:lpstr>46.DS</vt:lpstr>
      <vt:lpstr>47.Laodong</vt:lpstr>
      <vt:lpstr>48.thatnghiep</vt:lpstr>
      <vt:lpstr>49.LĐPhiCT</vt:lpstr>
      <vt:lpstr>50.XHMT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Bùi Trâm Anh</cp:lastModifiedBy>
  <cp:lastPrinted>2026-01-05T08:25:50Z</cp:lastPrinted>
  <dcterms:created xsi:type="dcterms:W3CDTF">2026-01-01T08:21:18Z</dcterms:created>
  <dcterms:modified xsi:type="dcterms:W3CDTF">2026-01-07T09:41:39Z</dcterms:modified>
</cp:coreProperties>
</file>